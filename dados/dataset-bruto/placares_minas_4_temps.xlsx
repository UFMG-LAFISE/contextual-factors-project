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bb_minas\"/>
    </mc:Choice>
  </mc:AlternateContent>
  <xr:revisionPtr revIDLastSave="0" documentId="13_ncr:1_{7ACD670A-5D42-48E1-92EA-1EFA197F5C15}" xr6:coauthVersionLast="47" xr6:coauthVersionMax="47" xr10:uidLastSave="{00000000-0000-0000-0000-000000000000}"/>
  <bookViews>
    <workbookView xWindow="-120" yWindow="-120" windowWidth="21840" windowHeight="13020" firstSheet="189" activeTab="192" xr2:uid="{00000000-000D-0000-FFFF-FFFF00000000}"/>
  </bookViews>
  <sheets>
    <sheet name="001_MIN-C R_22-23" sheetId="1" r:id="rId1"/>
    <sheet name="002_MIN-ESP_22-23" sheetId="2" r:id="rId2"/>
    <sheet name="003_MIN-ZOP_22-23" sheetId="3" r:id="rId3"/>
    <sheet name="004_MIN-FRA_22-23" sheetId="4" r:id="rId4"/>
    <sheet name="005_MIN-CAX_22-23" sheetId="5" r:id="rId5"/>
    <sheet name="006_MIN-UNC_22-23" sheetId="6" r:id="rId6"/>
    <sheet name="007_MIN-CER_22-23" sheetId="7" r:id="rId7"/>
    <sheet name="008_MIN-BRA_22-23" sheetId="8" r:id="rId8"/>
    <sheet name="009_MIN-SJB_22-23" sheetId="9" r:id="rId9"/>
    <sheet name="010_MIN-FOR_22-23" sheetId="10" r:id="rId10"/>
    <sheet name="011_MIN-PAU_22-23" sheetId="11" r:id="rId11"/>
    <sheet name="012_MIN-RIO_22-23" sheetId="12" r:id="rId12"/>
    <sheet name="013_MIN-COR_22-23" sheetId="13" r:id="rId13"/>
    <sheet name="014_MIN-PAT_22-23" sheetId="14" r:id="rId14"/>
    <sheet name="015_MIN-SPA_22-23" sheetId="15" r:id="rId15"/>
    <sheet name="016_MIN-UNI_22-23" sheetId="16" r:id="rId16"/>
    <sheet name="017_MIN-BAU_22-23" sheetId="17" r:id="rId17"/>
    <sheet name="018_MIN-PIN_22-23" sheetId="18" r:id="rId18"/>
    <sheet name="019_MIN-COR_S8-23" sheetId="19" r:id="rId19"/>
    <sheet name="020_MIN-SJB_22-23" sheetId="20" r:id="rId20"/>
    <sheet name="021_MIN-CAX_22-23" sheetId="21" r:id="rId21"/>
    <sheet name="022_MIN-UNC_22-23" sheetId="22" r:id="rId22"/>
    <sheet name="023_MIN-CER_22-23" sheetId="23" r:id="rId23"/>
    <sheet name="024_MIN-BRB_22-23" sheetId="24" r:id="rId24"/>
    <sheet name="025_MIN-FLA_22-23" sheetId="25" r:id="rId25"/>
    <sheet name="026_MIN-SPA_22-23" sheetId="26" r:id="rId26"/>
    <sheet name="027_MIN-FRA_22-23" sheetId="27" r:id="rId27"/>
    <sheet name="028_MIN-RIO_22-23" sheetId="28" r:id="rId28"/>
    <sheet name="029_MIN-COR_22-23" sheetId="29" r:id="rId29"/>
    <sheet name="030_MIN-PAT_22-23" sheetId="30" r:id="rId30"/>
    <sheet name="031_MIN-PAU_22-23" sheetId="31" r:id="rId31"/>
    <sheet name="032_MIN-UNI_22-23" sheetId="32" r:id="rId32"/>
    <sheet name="033_MIN-FOR_22-23" sheetId="33" r:id="rId33"/>
    <sheet name="034_MIN-PAU_22-23" sheetId="34" r:id="rId34"/>
    <sheet name="035_MIN-PAU_22-23" sheetId="35" r:id="rId35"/>
    <sheet name="036_MIN-PAU_22-23" sheetId="36" r:id="rId36"/>
    <sheet name="037_MIN-PAU_22-23" sheetId="37" r:id="rId37"/>
    <sheet name="038_MIN-PAU_22-23" sheetId="38" r:id="rId38"/>
    <sheet name="039_MIN-FRA_22-23" sheetId="39" r:id="rId39"/>
    <sheet name="040_MIN-FRA_22-23" sheetId="40" r:id="rId40"/>
    <sheet name="041_MIN-FRA_22-23" sheetId="41" r:id="rId41"/>
    <sheet name="042_MIN-FRA_22-23" sheetId="42" r:id="rId42"/>
    <sheet name="043_MIN-FRA_22-23" sheetId="43" r:id="rId43"/>
    <sheet name="044_MIN-FLA_23-24" sheetId="44" r:id="rId44"/>
    <sheet name="045_MIN-BOT_23-24" sheetId="45" r:id="rId45"/>
    <sheet name="046_MIN-R10_23-24" sheetId="46" r:id="rId46"/>
    <sheet name="047_MIN-COO_23-24" sheetId="47" r:id="rId47"/>
    <sheet name="048_MIN-MOG_23-24" sheetId="48" r:id="rId48"/>
    <sheet name="049_MIN-BAU_23-24" sheetId="49" r:id="rId49"/>
    <sheet name="050_MIN-FRA_23-24" sheetId="50" r:id="rId50"/>
    <sheet name="051_MIN-SPA_23-24" sheetId="51" r:id="rId51"/>
    <sheet name="052_MIN-PAU_23-24" sheetId="52" r:id="rId52"/>
    <sheet name="053_MIN-UNI_23-24" sheetId="53" r:id="rId53"/>
    <sheet name="054_MIN-FOR_23-24" sheetId="54" r:id="rId54"/>
    <sheet name="055_MIN-CER_23-24" sheetId="55" r:id="rId55"/>
    <sheet name="056_MIN-COR_23-24" sheetId="56" r:id="rId56"/>
    <sheet name="057_MIN-PIN_23-24" sheetId="57" r:id="rId57"/>
    <sheet name="058_MIN-BRB_23-24" sheetId="58" r:id="rId58"/>
    <sheet name="059_MIN-PAT_23-24" sheetId="59" r:id="rId59"/>
    <sheet name="060_MIN-CAX_23-24" sheetId="60" r:id="rId60"/>
    <sheet name="061_MIN-UNC_23-24" sheetId="61" r:id="rId61"/>
    <sheet name="062_MIN-BOT_23-24" sheetId="62" r:id="rId62"/>
    <sheet name="063_MIN-FLA_23-24" sheetId="63" r:id="rId63"/>
    <sheet name="064_MIN-R10_23-24" sheetId="64" r:id="rId64"/>
    <sheet name="065_MIN-BRB_23-24" sheetId="65" r:id="rId65"/>
    <sheet name="066_MIN-CER_23-24" sheetId="66" r:id="rId66"/>
    <sheet name="067_MIN-FOR_S8-24" sheetId="67" r:id="rId67"/>
    <sheet name="068_MIN-UNI_S8-24" sheetId="68" r:id="rId68"/>
    <sheet name="069_MIN-MOG_23-24" sheetId="69" r:id="rId69"/>
    <sheet name="070_MIN-SPA_23-24" sheetId="70" r:id="rId70"/>
    <sheet name="071_MIN-FRA_23-24" sheetId="71" r:id="rId71"/>
    <sheet name="072_MIN-BAU_23-24" sheetId="72" r:id="rId72"/>
    <sheet name="073_MIN-PAU_23-24" sheetId="73" r:id="rId73"/>
    <sheet name="074_MIN-FOR_23-24" sheetId="74" r:id="rId74"/>
    <sheet name="075_MIN-UNI_23-24" sheetId="75" r:id="rId75"/>
    <sheet name="076_MIN-COO_23-24" sheetId="76" r:id="rId76"/>
    <sheet name="077_MIN-PIN_23-24" sheetId="77" r:id="rId77"/>
    <sheet name="078_MIN-COR_23-24" sheetId="78" r:id="rId78"/>
    <sheet name="079_MIN-PAT_23-24" sheetId="79" r:id="rId79"/>
    <sheet name="080_MIN-CAX_23-24" sheetId="80" r:id="rId80"/>
    <sheet name="081_MIN-UNC_23-24" sheetId="81" r:id="rId81"/>
    <sheet name="082_MIN-UNC_23-24" sheetId="82" r:id="rId82"/>
    <sheet name="083_MIN-UNC_23-24" sheetId="83" r:id="rId83"/>
    <sheet name="084_MIN-SPA_23-24" sheetId="84" r:id="rId84"/>
    <sheet name="085_MIN-SPA_23-24" sheetId="85" r:id="rId85"/>
    <sheet name="086_MIN-SPA_23-24" sheetId="86" r:id="rId86"/>
    <sheet name="087_MIN-SPA_23-24" sheetId="87" r:id="rId87"/>
    <sheet name="088_MIN-SPA_23-24" sheetId="88" r:id="rId88"/>
    <sheet name="089_MIN-FRA_23-24" sheetId="89" r:id="rId89"/>
    <sheet name="090_MIN-FRA_23-24" sheetId="90" r:id="rId90"/>
    <sheet name="091_MIN-FRA_23-24" sheetId="91" r:id="rId91"/>
    <sheet name="092_MIN-FRA_23-24" sheetId="92" r:id="rId92"/>
    <sheet name="093_MIN-FRA_23-24" sheetId="93" r:id="rId93"/>
    <sheet name="094_MIN-CAI_24-25" sheetId="94" r:id="rId94"/>
    <sheet name="095_MIN-FRA_24-25" sheetId="95" r:id="rId95"/>
    <sheet name="096_MIN-BAU_24-25" sheetId="96" r:id="rId96"/>
    <sheet name="097_MIN-FAR_24-25" sheetId="97" r:id="rId97"/>
    <sheet name="098_MIN-MOG_24-25" sheetId="98" r:id="rId98"/>
    <sheet name="099_MIN-PIN_24-25" sheetId="99" r:id="rId99"/>
    <sheet name="100_MIN-COR_24-25" sheetId="100" r:id="rId100"/>
    <sheet name="101_MIN-FOR_24-25" sheetId="101" r:id="rId101"/>
    <sheet name="102_MIN-UNI_24-25" sheetId="102" r:id="rId102"/>
    <sheet name="103_MIN-UNC_24-25" sheetId="103" r:id="rId103"/>
    <sheet name="104_MIN-CAX_24-25" sheetId="104" r:id="rId104"/>
    <sheet name="105_MIN-FLA_24-25" sheetId="105" r:id="rId105"/>
    <sheet name="106_MIN-BOT_24-25" sheetId="106" r:id="rId106"/>
    <sheet name="107_MIN-PAT_24-25" sheetId="107" r:id="rId107"/>
    <sheet name="108_MIN-R10_24-25" sheetId="108" r:id="rId108"/>
    <sheet name="109_MIN-PAU_24-25" sheetId="109" r:id="rId109"/>
    <sheet name="110_MIN-SPA_24-25" sheetId="110" r:id="rId110"/>
    <sheet name="111_MIN-BAU_24-25" sheetId="111" r:id="rId111"/>
    <sheet name="112_MIN-FRA_24-25" sheetId="112" r:id="rId112"/>
    <sheet name="113_MIN-FAR_24-25" sheetId="113" r:id="rId113"/>
    <sheet name="114_MIN-MOG_24-25" sheetId="114" r:id="rId114"/>
    <sheet name="115_MIN-SPA_S8-25" sheetId="115" r:id="rId115"/>
    <sheet name="116_MIN-CAI_S8-25" sheetId="116" r:id="rId116"/>
    <sheet name="117_MIN-FLA_S8-25" sheetId="117" r:id="rId117"/>
    <sheet name="118_MIN-COR_24-25" sheetId="118" r:id="rId118"/>
    <sheet name="119_MIN-PIN_24-25" sheetId="119" r:id="rId119"/>
    <sheet name="120_MIN-FOR_24-25" sheetId="120" r:id="rId120"/>
    <sheet name="121_MIN-UNI_24-25" sheetId="121" r:id="rId121"/>
    <sheet name="122_MIN-FLA_24-25" sheetId="122" r:id="rId122"/>
    <sheet name="123_MIN-CAX_24-25" sheetId="123" r:id="rId123"/>
    <sheet name="124_MIN-UNC_24-25" sheetId="124" r:id="rId124"/>
    <sheet name="125_MIN-CAI_24-25" sheetId="125" r:id="rId125"/>
    <sheet name="126_MIN-PAT_24-25" sheetId="126" r:id="rId126"/>
    <sheet name="127_MIN-R10_24-25" sheetId="127" r:id="rId127"/>
    <sheet name="128_MIN-BOT_24-25" sheetId="128" r:id="rId128"/>
    <sheet name="129_MIN-SPA_24-25" sheetId="129" r:id="rId129"/>
    <sheet name="130_MIN-PAU_24-25" sheetId="130" r:id="rId130"/>
    <sheet name="131_MIN-MOG_24-25" sheetId="131" r:id="rId131"/>
    <sheet name="132_MIN-MOG_24-25" sheetId="132" r:id="rId132"/>
    <sheet name="133_MIN-MOG_24-25" sheetId="133" r:id="rId133"/>
    <sheet name="134_MIN-R10_24-25" sheetId="134" r:id="rId134"/>
    <sheet name="135_MIN-R10_24-25" sheetId="135" r:id="rId135"/>
    <sheet name="136_MIN-R10_24-25" sheetId="136" r:id="rId136"/>
    <sheet name="137_MIN-BAU_24-25" sheetId="137" r:id="rId137"/>
    <sheet name="138_MIN-BAU_24-25" sheetId="138" r:id="rId138"/>
    <sheet name="139_MIN-BAU_24-25" sheetId="139" r:id="rId139"/>
    <sheet name="140_MIN-FRA_24-25" sheetId="140" r:id="rId140"/>
    <sheet name="141_MIN-FRA_24-25" sheetId="141" r:id="rId141"/>
    <sheet name="142_MIN-FRA_24-25" sheetId="142" r:id="rId142"/>
    <sheet name="143_MIN-FRA_24-25" sheetId="143" r:id="rId143"/>
    <sheet name="144_MIN-COR_25-26" sheetId="144" r:id="rId144"/>
    <sheet name="145_MIN-SJB_25-26" sheetId="145" r:id="rId145"/>
    <sheet name="146_MIN-MOG_25-26" sheetId="146" r:id="rId146"/>
    <sheet name="147_MIN-PAT_25-26" sheetId="147" r:id="rId147"/>
    <sheet name="148_MIN-CRU_25-26" sheetId="148" r:id="rId148"/>
    <sheet name="149_MIN-FRA_25-26" sheetId="149" r:id="rId149"/>
    <sheet name="150_MIN-RIO_25-26" sheetId="150" r:id="rId150"/>
    <sheet name="151_MIN-CAI_25-26" sheetId="151" r:id="rId151"/>
    <sheet name="152_MIN-OSA_25-26" sheetId="152" r:id="rId152"/>
    <sheet name="153_MIN-PAU_25-26" sheetId="153" r:id="rId153"/>
    <sheet name="154_MIN-PIN_25-26" sheetId="154" r:id="rId154"/>
    <sheet name="155_MIN-BAU_25-26" sheetId="155" r:id="rId155"/>
    <sheet name="156_MIN-CAX_25-26" sheetId="156" r:id="rId156"/>
    <sheet name="157_MIN-CEI_25-26" sheetId="157" r:id="rId157"/>
    <sheet name="158_MIN-BOT_25-26" sheetId="158" r:id="rId158"/>
    <sheet name="159_MIN-VAS_25-26" sheetId="159" r:id="rId159"/>
    <sheet name="160_MIN-FLA_25-26" sheetId="160" r:id="rId160"/>
    <sheet name="161_MIN-FOR_25-26" sheetId="161" r:id="rId161"/>
    <sheet name="162_MIN-UNI_25-26" sheetId="162" r:id="rId162"/>
    <sheet name="163_MIN-COR_25-26" sheetId="163" r:id="rId163"/>
    <sheet name="164_MIN-MOG_25-26" sheetId="164" r:id="rId164"/>
    <sheet name="165_MIN-SJB_25-26" sheetId="165" r:id="rId165"/>
    <sheet name="166_MIN-PAT_25-26" sheetId="166" r:id="rId166"/>
    <sheet name="167_MIN-COR_S8-26" sheetId="167" r:id="rId167"/>
    <sheet name="168_MIN-FLA_S8-26" sheetId="168" r:id="rId168"/>
    <sheet name="169_MIN-PIN_S8-26" sheetId="169" r:id="rId169"/>
    <sheet name="170_MIN-BAU_25-26" sheetId="170" r:id="rId170"/>
    <sheet name="171_MIN-FRA_25-26" sheetId="171" r:id="rId171"/>
    <sheet name="172_MIN-CAI_25-26" sheetId="172" r:id="rId172"/>
    <sheet name="173_MIN-RIO_25-26" sheetId="173" r:id="rId173"/>
    <sheet name="174_MIN-PAU_25-26" sheetId="174" r:id="rId174"/>
    <sheet name="175_MIN-CEI_25-26" sheetId="175" r:id="rId175"/>
    <sheet name="176_MIN-CAX_25-26" sheetId="176" r:id="rId176"/>
    <sheet name="177_MIN-OSA_25-26" sheetId="177" r:id="rId177"/>
    <sheet name="178_MIN-PIN_25-26" sheetId="178" r:id="rId178"/>
    <sheet name="179_MIN-CRU_25-26" sheetId="179" r:id="rId179"/>
    <sheet name="180_MIN-VAS_25-26" sheetId="180" r:id="rId180"/>
    <sheet name="181_MIN-FLA_25-26" sheetId="181" r:id="rId181"/>
    <sheet name="182_MIN-BOT_25-26" sheetId="182" r:id="rId182"/>
    <sheet name="183_MIN-UNI_25-26" sheetId="183" r:id="rId183"/>
    <sheet name="184_MIN-FOR_25-26" sheetId="184" r:id="rId184"/>
    <sheet name="185_MIN-CRU_25-26" sheetId="185" r:id="rId185"/>
    <sheet name="186_MIN-CRU_25-26" sheetId="186" r:id="rId186"/>
    <sheet name="187_MIN-CRU_25-26" sheetId="187" r:id="rId187"/>
    <sheet name="188_MIN-CRU_25-26" sheetId="188" r:id="rId188"/>
    <sheet name="189_MIN-COR_25-26" sheetId="189" r:id="rId189"/>
    <sheet name="190_MIN-COR_25-26" sheetId="190" r:id="rId190"/>
    <sheet name="191_MIN-COR_25-26" sheetId="191" r:id="rId191"/>
    <sheet name="192_MIN-COR_25-26" sheetId="192" r:id="rId192"/>
    <sheet name="Resumo" sheetId="193" r:id="rId1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3" i="193" l="1"/>
  <c r="I192" i="193"/>
  <c r="I191" i="193"/>
  <c r="I190" i="193"/>
  <c r="I189" i="193"/>
  <c r="I188" i="193"/>
  <c r="I187" i="193"/>
  <c r="I186" i="193"/>
  <c r="I185" i="193"/>
  <c r="I184" i="193"/>
  <c r="I183" i="193"/>
  <c r="I182" i="193"/>
  <c r="I181" i="193"/>
  <c r="I180" i="193"/>
  <c r="I179" i="193"/>
  <c r="I178" i="193"/>
  <c r="I177" i="193"/>
  <c r="I176" i="193"/>
  <c r="I175" i="193"/>
  <c r="I174" i="193"/>
  <c r="I173" i="193"/>
  <c r="I172" i="193"/>
  <c r="I171" i="193"/>
  <c r="I170" i="193"/>
  <c r="I169" i="193"/>
  <c r="I168" i="193"/>
  <c r="I167" i="193"/>
  <c r="I166" i="193"/>
  <c r="I165" i="193"/>
  <c r="I164" i="193"/>
  <c r="I163" i="193"/>
  <c r="I162" i="193"/>
  <c r="I161" i="193"/>
  <c r="I160" i="193"/>
  <c r="I159" i="193"/>
  <c r="I158" i="193"/>
  <c r="I157" i="193"/>
  <c r="I156" i="193"/>
  <c r="I155" i="193"/>
  <c r="I154" i="193"/>
  <c r="I153" i="193"/>
  <c r="I152" i="193"/>
  <c r="I151" i="193"/>
  <c r="I150" i="193"/>
  <c r="I149" i="193"/>
  <c r="I148" i="193"/>
  <c r="I147" i="193"/>
  <c r="I146" i="193"/>
  <c r="I145" i="193"/>
  <c r="I144" i="193"/>
  <c r="I143" i="193"/>
  <c r="I142" i="193"/>
  <c r="I141" i="193"/>
  <c r="I140" i="193"/>
  <c r="I139" i="193"/>
  <c r="I138" i="193"/>
  <c r="I137" i="193"/>
  <c r="I136" i="193"/>
  <c r="I135" i="193"/>
  <c r="I134" i="193"/>
  <c r="I133" i="193"/>
  <c r="I132" i="193"/>
  <c r="I131" i="193"/>
  <c r="I130" i="193"/>
  <c r="I129" i="193"/>
  <c r="I128" i="193"/>
  <c r="I127" i="193"/>
  <c r="I126" i="193"/>
  <c r="I125" i="193"/>
  <c r="I124" i="193"/>
  <c r="I123" i="193"/>
  <c r="I122" i="193"/>
  <c r="I121" i="193"/>
  <c r="I120" i="193"/>
  <c r="I119" i="193"/>
  <c r="I118" i="193"/>
  <c r="I117" i="193"/>
  <c r="I116" i="193"/>
  <c r="I115" i="193"/>
  <c r="I114" i="193"/>
  <c r="I113" i="193"/>
  <c r="I112" i="193"/>
  <c r="I111" i="193"/>
  <c r="I110" i="193"/>
  <c r="I109" i="193"/>
  <c r="I108" i="193"/>
  <c r="I107" i="193"/>
  <c r="I106" i="193"/>
  <c r="I105" i="193"/>
  <c r="I104" i="193"/>
  <c r="I103" i="193"/>
  <c r="I102" i="193"/>
  <c r="I101" i="193"/>
  <c r="I100" i="193"/>
  <c r="I99" i="193"/>
  <c r="I98" i="193"/>
  <c r="I97" i="193"/>
  <c r="I96" i="193"/>
  <c r="I95" i="193"/>
  <c r="I94" i="193"/>
  <c r="I93" i="193"/>
  <c r="I92" i="193"/>
  <c r="I91" i="193"/>
  <c r="I90" i="193"/>
  <c r="I89" i="193"/>
  <c r="I88" i="193"/>
  <c r="I87" i="193"/>
  <c r="I86" i="193"/>
  <c r="I85" i="193"/>
  <c r="I84" i="193"/>
  <c r="I83" i="193"/>
  <c r="I82" i="193"/>
  <c r="I81" i="193"/>
  <c r="I80" i="193"/>
  <c r="I79" i="193"/>
  <c r="I78" i="193"/>
  <c r="I77" i="193"/>
  <c r="I76" i="193"/>
  <c r="I75" i="193"/>
  <c r="I74" i="193"/>
  <c r="I73" i="193"/>
  <c r="I72" i="193"/>
  <c r="I71" i="193"/>
  <c r="I70" i="193"/>
  <c r="I69" i="193"/>
  <c r="I68" i="193"/>
  <c r="I67" i="193"/>
  <c r="I66" i="193"/>
  <c r="I65" i="193"/>
  <c r="I64" i="193"/>
  <c r="I63" i="193"/>
  <c r="I62" i="193"/>
  <c r="I61" i="193"/>
  <c r="I60" i="193"/>
  <c r="I59" i="193"/>
  <c r="I58" i="193"/>
  <c r="I57" i="193"/>
  <c r="I56" i="193"/>
  <c r="I55" i="193"/>
  <c r="I54" i="193"/>
  <c r="I53" i="193"/>
  <c r="I52" i="193"/>
  <c r="I51" i="193"/>
  <c r="I50" i="193"/>
  <c r="I49" i="193"/>
  <c r="I48" i="193"/>
  <c r="I47" i="193"/>
  <c r="I46" i="193"/>
  <c r="I45" i="193"/>
  <c r="I44" i="193"/>
  <c r="I43" i="193"/>
  <c r="I42" i="193"/>
  <c r="I41" i="193"/>
  <c r="I40" i="193"/>
  <c r="I39" i="193"/>
  <c r="I38" i="193"/>
  <c r="I37" i="193"/>
  <c r="I36" i="193"/>
  <c r="I35" i="193"/>
  <c r="I34" i="193"/>
  <c r="I33" i="193"/>
  <c r="I32" i="193"/>
  <c r="I31" i="193"/>
  <c r="I30" i="193"/>
  <c r="I29" i="193"/>
  <c r="I28" i="193"/>
  <c r="I27" i="193"/>
  <c r="I26" i="193"/>
  <c r="I25" i="193"/>
  <c r="I24" i="193"/>
  <c r="I23" i="193"/>
  <c r="I22" i="193"/>
  <c r="I21" i="193"/>
  <c r="I20" i="193"/>
  <c r="I19" i="193"/>
  <c r="I18" i="193"/>
  <c r="I17" i="193"/>
  <c r="I16" i="193"/>
  <c r="I15" i="193"/>
  <c r="I14" i="193"/>
  <c r="I13" i="193"/>
  <c r="I12" i="193"/>
  <c r="I11" i="193"/>
  <c r="I10" i="193"/>
  <c r="I9" i="193"/>
  <c r="I8" i="193"/>
  <c r="I7" i="193"/>
  <c r="I6" i="193"/>
  <c r="I5" i="193"/>
  <c r="I4" i="193"/>
  <c r="I3" i="193"/>
  <c r="I2" i="193"/>
  <c r="D107" i="192"/>
  <c r="D106" i="192"/>
  <c r="D105" i="192"/>
  <c r="D104" i="192"/>
  <c r="D101" i="192"/>
  <c r="D100" i="192"/>
  <c r="D99" i="192"/>
  <c r="D98" i="192"/>
  <c r="D97" i="192"/>
  <c r="D96" i="192"/>
  <c r="D127" i="191"/>
  <c r="D126" i="191"/>
  <c r="D125" i="191"/>
  <c r="D124" i="191"/>
  <c r="D121" i="191"/>
  <c r="D120" i="191"/>
  <c r="D119" i="191"/>
  <c r="D118" i="191"/>
  <c r="D117" i="191"/>
  <c r="D116" i="191"/>
  <c r="D108" i="190"/>
  <c r="D107" i="190"/>
  <c r="D106" i="190"/>
  <c r="D105" i="190"/>
  <c r="D102" i="190"/>
  <c r="D101" i="190"/>
  <c r="D100" i="190"/>
  <c r="D99" i="190"/>
  <c r="D98" i="190"/>
  <c r="D97" i="190"/>
  <c r="D119" i="189"/>
  <c r="D118" i="189"/>
  <c r="D117" i="189"/>
  <c r="D116" i="189"/>
  <c r="D113" i="189"/>
  <c r="D112" i="189"/>
  <c r="D111" i="189"/>
  <c r="D110" i="189"/>
  <c r="D109" i="189"/>
  <c r="D108" i="189"/>
  <c r="D127" i="188"/>
  <c r="D126" i="188"/>
  <c r="D125" i="188"/>
  <c r="D124" i="188"/>
  <c r="D121" i="188"/>
  <c r="D120" i="188"/>
  <c r="D119" i="188"/>
  <c r="D118" i="188"/>
  <c r="D117" i="188"/>
  <c r="D116" i="188"/>
  <c r="D106" i="187"/>
  <c r="D105" i="187"/>
  <c r="D104" i="187"/>
  <c r="D103" i="187"/>
  <c r="D100" i="187"/>
  <c r="D99" i="187"/>
  <c r="D98" i="187"/>
  <c r="D97" i="187"/>
  <c r="D96" i="187"/>
  <c r="D95" i="187"/>
  <c r="D111" i="186"/>
  <c r="D110" i="186"/>
  <c r="D109" i="186"/>
  <c r="D108" i="186"/>
  <c r="D105" i="186"/>
  <c r="D104" i="186"/>
  <c r="D103" i="186"/>
  <c r="D102" i="186"/>
  <c r="D101" i="186"/>
  <c r="D100" i="186"/>
  <c r="D120" i="185"/>
  <c r="D119" i="185"/>
  <c r="D118" i="185"/>
  <c r="D117" i="185"/>
  <c r="D114" i="185"/>
  <c r="D113" i="185"/>
  <c r="D112" i="185"/>
  <c r="D111" i="185"/>
  <c r="D110" i="185"/>
  <c r="D109" i="185"/>
  <c r="D88" i="184"/>
  <c r="D87" i="184"/>
  <c r="D86" i="184"/>
  <c r="D85" i="184"/>
  <c r="D82" i="184"/>
  <c r="D81" i="184"/>
  <c r="D80" i="184"/>
  <c r="D79" i="184"/>
  <c r="D78" i="184"/>
  <c r="D77" i="184"/>
  <c r="D102" i="183"/>
  <c r="D101" i="183"/>
  <c r="D100" i="183"/>
  <c r="D99" i="183"/>
  <c r="D96" i="183"/>
  <c r="D95" i="183"/>
  <c r="D94" i="183"/>
  <c r="D93" i="183"/>
  <c r="D92" i="183"/>
  <c r="D91" i="183"/>
  <c r="D99" i="182"/>
  <c r="D98" i="182"/>
  <c r="D97" i="182"/>
  <c r="D96" i="182"/>
  <c r="D93" i="182"/>
  <c r="D92" i="182"/>
  <c r="D91" i="182"/>
  <c r="D90" i="182"/>
  <c r="D89" i="182"/>
  <c r="D88" i="182"/>
  <c r="D117" i="181"/>
  <c r="D116" i="181"/>
  <c r="D115" i="181"/>
  <c r="D114" i="181"/>
  <c r="D111" i="181"/>
  <c r="D110" i="181"/>
  <c r="D109" i="181"/>
  <c r="D108" i="181"/>
  <c r="D107" i="181"/>
  <c r="D106" i="181"/>
  <c r="D121" i="180"/>
  <c r="D120" i="180"/>
  <c r="D119" i="180"/>
  <c r="D118" i="180"/>
  <c r="D115" i="180"/>
  <c r="D114" i="180"/>
  <c r="D113" i="180"/>
  <c r="D112" i="180"/>
  <c r="D111" i="180"/>
  <c r="D110" i="180"/>
  <c r="D112" i="179"/>
  <c r="D111" i="179"/>
  <c r="D110" i="179"/>
  <c r="D109" i="179"/>
  <c r="D106" i="179"/>
  <c r="D105" i="179"/>
  <c r="D104" i="179"/>
  <c r="D103" i="179"/>
  <c r="D102" i="179"/>
  <c r="D101" i="179"/>
  <c r="D110" i="178"/>
  <c r="D109" i="178"/>
  <c r="D108" i="178"/>
  <c r="D107" i="178"/>
  <c r="D104" i="178"/>
  <c r="D103" i="178"/>
  <c r="D102" i="178"/>
  <c r="D101" i="178"/>
  <c r="D100" i="178"/>
  <c r="D99" i="178"/>
  <c r="D82" i="177"/>
  <c r="D81" i="177"/>
  <c r="D80" i="177"/>
  <c r="D79" i="177"/>
  <c r="D76" i="177"/>
  <c r="D75" i="177"/>
  <c r="D74" i="177"/>
  <c r="D73" i="177"/>
  <c r="D72" i="177"/>
  <c r="D71" i="177"/>
  <c r="D101" i="176"/>
  <c r="D100" i="176"/>
  <c r="D99" i="176"/>
  <c r="D98" i="176"/>
  <c r="D95" i="176"/>
  <c r="D94" i="176"/>
  <c r="D93" i="176"/>
  <c r="D92" i="176"/>
  <c r="D91" i="176"/>
  <c r="D90" i="176"/>
  <c r="D109" i="175"/>
  <c r="D108" i="175"/>
  <c r="D107" i="175"/>
  <c r="D106" i="175"/>
  <c r="D103" i="175"/>
  <c r="D102" i="175"/>
  <c r="D101" i="175"/>
  <c r="D100" i="175"/>
  <c r="D99" i="175"/>
  <c r="D98" i="175"/>
  <c r="D114" i="174"/>
  <c r="D113" i="174"/>
  <c r="D112" i="174"/>
  <c r="D111" i="174"/>
  <c r="D108" i="174"/>
  <c r="D107" i="174"/>
  <c r="D106" i="174"/>
  <c r="D105" i="174"/>
  <c r="D104" i="174"/>
  <c r="D103" i="174"/>
  <c r="D123" i="173"/>
  <c r="D122" i="173"/>
  <c r="D121" i="173"/>
  <c r="D120" i="173"/>
  <c r="D117" i="173"/>
  <c r="D116" i="173"/>
  <c r="D115" i="173"/>
  <c r="D114" i="173"/>
  <c r="D113" i="173"/>
  <c r="D112" i="173"/>
  <c r="D106" i="172"/>
  <c r="D105" i="172"/>
  <c r="D104" i="172"/>
  <c r="D103" i="172"/>
  <c r="D100" i="172"/>
  <c r="D99" i="172"/>
  <c r="D98" i="172"/>
  <c r="D97" i="172"/>
  <c r="D96" i="172"/>
  <c r="D95" i="172"/>
  <c r="D119" i="171"/>
  <c r="D118" i="171"/>
  <c r="D117" i="171"/>
  <c r="D116" i="171"/>
  <c r="D113" i="171"/>
  <c r="D112" i="171"/>
  <c r="D111" i="171"/>
  <c r="D110" i="171"/>
  <c r="D109" i="171"/>
  <c r="D108" i="171"/>
  <c r="D119" i="170"/>
  <c r="D118" i="170"/>
  <c r="D117" i="170"/>
  <c r="D116" i="170"/>
  <c r="D113" i="170"/>
  <c r="D112" i="170"/>
  <c r="D111" i="170"/>
  <c r="D110" i="170"/>
  <c r="D109" i="170"/>
  <c r="D108" i="170"/>
  <c r="D95" i="169"/>
  <c r="D94" i="169"/>
  <c r="D93" i="169"/>
  <c r="D92" i="169"/>
  <c r="D89" i="169"/>
  <c r="D88" i="169"/>
  <c r="D87" i="169"/>
  <c r="D86" i="169"/>
  <c r="D85" i="169"/>
  <c r="D84" i="169"/>
  <c r="D100" i="168"/>
  <c r="D99" i="168"/>
  <c r="D98" i="168"/>
  <c r="D97" i="168"/>
  <c r="D94" i="168"/>
  <c r="D93" i="168"/>
  <c r="D92" i="168"/>
  <c r="D91" i="168"/>
  <c r="D90" i="168"/>
  <c r="D89" i="168"/>
  <c r="D108" i="167"/>
  <c r="D107" i="167"/>
  <c r="D106" i="167"/>
  <c r="D105" i="167"/>
  <c r="D102" i="167"/>
  <c r="D101" i="167"/>
  <c r="D100" i="167"/>
  <c r="D99" i="167"/>
  <c r="D98" i="167"/>
  <c r="D97" i="167"/>
  <c r="D89" i="166"/>
  <c r="D88" i="166"/>
  <c r="D87" i="166"/>
  <c r="D86" i="166"/>
  <c r="D83" i="166"/>
  <c r="D82" i="166"/>
  <c r="D81" i="166"/>
  <c r="D80" i="166"/>
  <c r="D79" i="166"/>
  <c r="D78" i="166"/>
  <c r="D114" i="165"/>
  <c r="D113" i="165"/>
  <c r="D112" i="165"/>
  <c r="D111" i="165"/>
  <c r="D108" i="165"/>
  <c r="D107" i="165"/>
  <c r="D106" i="165"/>
  <c r="D105" i="165"/>
  <c r="D104" i="165"/>
  <c r="D103" i="165"/>
  <c r="D109" i="164"/>
  <c r="D108" i="164"/>
  <c r="D107" i="164"/>
  <c r="D106" i="164"/>
  <c r="D103" i="164"/>
  <c r="D102" i="164"/>
  <c r="D101" i="164"/>
  <c r="D100" i="164"/>
  <c r="D99" i="164"/>
  <c r="D98" i="164"/>
  <c r="D100" i="163"/>
  <c r="D99" i="163"/>
  <c r="D98" i="163"/>
  <c r="D97" i="163"/>
  <c r="D94" i="163"/>
  <c r="D93" i="163"/>
  <c r="D92" i="163"/>
  <c r="D91" i="163"/>
  <c r="D90" i="163"/>
  <c r="D89" i="163"/>
  <c r="D128" i="162"/>
  <c r="D127" i="162"/>
  <c r="D126" i="162"/>
  <c r="D125" i="162"/>
  <c r="D122" i="162"/>
  <c r="D121" i="162"/>
  <c r="D120" i="162"/>
  <c r="D119" i="162"/>
  <c r="D118" i="162"/>
  <c r="D117" i="162"/>
  <c r="D117" i="161"/>
  <c r="D116" i="161"/>
  <c r="D115" i="161"/>
  <c r="D114" i="161"/>
  <c r="D111" i="161"/>
  <c r="D110" i="161"/>
  <c r="D109" i="161"/>
  <c r="D108" i="161"/>
  <c r="D107" i="161"/>
  <c r="D106" i="161"/>
  <c r="D101" i="160"/>
  <c r="D100" i="160"/>
  <c r="D99" i="160"/>
  <c r="D98" i="160"/>
  <c r="D95" i="160"/>
  <c r="D94" i="160"/>
  <c r="D93" i="160"/>
  <c r="D92" i="160"/>
  <c r="D91" i="160"/>
  <c r="D90" i="160"/>
  <c r="D87" i="159"/>
  <c r="D86" i="159"/>
  <c r="D85" i="159"/>
  <c r="D84" i="159"/>
  <c r="D81" i="159"/>
  <c r="D80" i="159"/>
  <c r="D79" i="159"/>
  <c r="D78" i="159"/>
  <c r="D77" i="159"/>
  <c r="D76" i="159"/>
  <c r="D113" i="158"/>
  <c r="D112" i="158"/>
  <c r="D111" i="158"/>
  <c r="D110" i="158"/>
  <c r="D107" i="158"/>
  <c r="D106" i="158"/>
  <c r="D105" i="158"/>
  <c r="D104" i="158"/>
  <c r="D103" i="158"/>
  <c r="D102" i="158"/>
  <c r="D90" i="157"/>
  <c r="D89" i="157"/>
  <c r="D88" i="157"/>
  <c r="D87" i="157"/>
  <c r="D84" i="157"/>
  <c r="D83" i="157"/>
  <c r="D82" i="157"/>
  <c r="D81" i="157"/>
  <c r="D80" i="157"/>
  <c r="D79" i="157"/>
  <c r="D102" i="156"/>
  <c r="D101" i="156"/>
  <c r="D100" i="156"/>
  <c r="D99" i="156"/>
  <c r="D96" i="156"/>
  <c r="D95" i="156"/>
  <c r="D94" i="156"/>
  <c r="D93" i="156"/>
  <c r="D92" i="156"/>
  <c r="D91" i="156"/>
  <c r="D117" i="155"/>
  <c r="D116" i="155"/>
  <c r="D115" i="155"/>
  <c r="D114" i="155"/>
  <c r="D111" i="155"/>
  <c r="D110" i="155"/>
  <c r="D109" i="155"/>
  <c r="D108" i="155"/>
  <c r="D107" i="155"/>
  <c r="D106" i="155"/>
  <c r="D96" i="154"/>
  <c r="D95" i="154"/>
  <c r="D94" i="154"/>
  <c r="D93" i="154"/>
  <c r="D90" i="154"/>
  <c r="D89" i="154"/>
  <c r="D88" i="154"/>
  <c r="D87" i="154"/>
  <c r="D86" i="154"/>
  <c r="D85" i="154"/>
  <c r="D100" i="153"/>
  <c r="D99" i="153"/>
  <c r="D98" i="153"/>
  <c r="D97" i="153"/>
  <c r="D94" i="153"/>
  <c r="D93" i="153"/>
  <c r="D92" i="153"/>
  <c r="D91" i="153"/>
  <c r="D90" i="153"/>
  <c r="D89" i="153"/>
  <c r="D102" i="152"/>
  <c r="D101" i="152"/>
  <c r="D100" i="152"/>
  <c r="D99" i="152"/>
  <c r="D96" i="152"/>
  <c r="D95" i="152"/>
  <c r="D94" i="152"/>
  <c r="D93" i="152"/>
  <c r="D92" i="152"/>
  <c r="D91" i="152"/>
  <c r="D99" i="151"/>
  <c r="D98" i="151"/>
  <c r="D97" i="151"/>
  <c r="D96" i="151"/>
  <c r="D93" i="151"/>
  <c r="D92" i="151"/>
  <c r="D91" i="151"/>
  <c r="D90" i="151"/>
  <c r="D89" i="151"/>
  <c r="D88" i="151"/>
  <c r="D109" i="150"/>
  <c r="D108" i="150"/>
  <c r="D107" i="150"/>
  <c r="D106" i="150"/>
  <c r="D103" i="150"/>
  <c r="D102" i="150"/>
  <c r="D101" i="150"/>
  <c r="D100" i="150"/>
  <c r="D99" i="150"/>
  <c r="D98" i="150"/>
  <c r="D99" i="149"/>
  <c r="D98" i="149"/>
  <c r="D97" i="149"/>
  <c r="D96" i="149"/>
  <c r="D93" i="149"/>
  <c r="D92" i="149"/>
  <c r="D91" i="149"/>
  <c r="D90" i="149"/>
  <c r="D89" i="149"/>
  <c r="D88" i="149"/>
  <c r="D102" i="148"/>
  <c r="D101" i="148"/>
  <c r="D100" i="148"/>
  <c r="D99" i="148"/>
  <c r="D96" i="148"/>
  <c r="D95" i="148"/>
  <c r="D94" i="148"/>
  <c r="D93" i="148"/>
  <c r="D92" i="148"/>
  <c r="D91" i="148"/>
  <c r="D90" i="147"/>
  <c r="D89" i="147"/>
  <c r="D88" i="147"/>
  <c r="D87" i="147"/>
  <c r="D84" i="147"/>
  <c r="D83" i="147"/>
  <c r="D82" i="147"/>
  <c r="D81" i="147"/>
  <c r="D80" i="147"/>
  <c r="D79" i="147"/>
  <c r="D100" i="146"/>
  <c r="D99" i="146"/>
  <c r="D98" i="146"/>
  <c r="D97" i="146"/>
  <c r="D94" i="146"/>
  <c r="D93" i="146"/>
  <c r="D92" i="146"/>
  <c r="D91" i="146"/>
  <c r="D90" i="146"/>
  <c r="D89" i="146"/>
  <c r="D113" i="145"/>
  <c r="D112" i="145"/>
  <c r="D111" i="145"/>
  <c r="D110" i="145"/>
  <c r="D107" i="145"/>
  <c r="D106" i="145"/>
  <c r="D105" i="145"/>
  <c r="D104" i="145"/>
  <c r="D103" i="145"/>
  <c r="D102" i="145"/>
  <c r="D100" i="144"/>
  <c r="D99" i="144"/>
  <c r="D98" i="144"/>
  <c r="D97" i="144"/>
  <c r="D94" i="144"/>
  <c r="D93" i="144"/>
  <c r="D92" i="144"/>
  <c r="D91" i="144"/>
  <c r="D90" i="144"/>
  <c r="D89" i="144"/>
  <c r="D102" i="143"/>
  <c r="D101" i="143"/>
  <c r="D100" i="143"/>
  <c r="D99" i="143"/>
  <c r="D96" i="143"/>
  <c r="D95" i="143"/>
  <c r="D94" i="143"/>
  <c r="D93" i="143"/>
  <c r="D92" i="143"/>
  <c r="D91" i="143"/>
  <c r="D105" i="142"/>
  <c r="D104" i="142"/>
  <c r="D103" i="142"/>
  <c r="D102" i="142"/>
  <c r="D99" i="142"/>
  <c r="D98" i="142"/>
  <c r="D97" i="142"/>
  <c r="D96" i="142"/>
  <c r="D95" i="142"/>
  <c r="D94" i="142"/>
  <c r="D102" i="141"/>
  <c r="D101" i="141"/>
  <c r="D100" i="141"/>
  <c r="D99" i="141"/>
  <c r="D96" i="141"/>
  <c r="D95" i="141"/>
  <c r="D94" i="141"/>
  <c r="D93" i="141"/>
  <c r="D92" i="141"/>
  <c r="D91" i="141"/>
  <c r="D83" i="140"/>
  <c r="D82" i="140"/>
  <c r="D81" i="140"/>
  <c r="D80" i="140"/>
  <c r="D77" i="140"/>
  <c r="D76" i="140"/>
  <c r="D75" i="140"/>
  <c r="D74" i="140"/>
  <c r="D73" i="140"/>
  <c r="D72" i="140"/>
  <c r="D85" i="139"/>
  <c r="D84" i="139"/>
  <c r="D83" i="139"/>
  <c r="D82" i="139"/>
  <c r="D79" i="139"/>
  <c r="D78" i="139"/>
  <c r="D77" i="139"/>
  <c r="D76" i="139"/>
  <c r="D75" i="139"/>
  <c r="D74" i="139"/>
  <c r="D92" i="138"/>
  <c r="D91" i="138"/>
  <c r="D90" i="138"/>
  <c r="D89" i="138"/>
  <c r="D86" i="138"/>
  <c r="D85" i="138"/>
  <c r="D84" i="138"/>
  <c r="D83" i="138"/>
  <c r="D82" i="138"/>
  <c r="D81" i="138"/>
  <c r="D80" i="137"/>
  <c r="D79" i="137"/>
  <c r="D78" i="137"/>
  <c r="D77" i="137"/>
  <c r="D74" i="137"/>
  <c r="D73" i="137"/>
  <c r="D72" i="137"/>
  <c r="D71" i="137"/>
  <c r="D70" i="137"/>
  <c r="D69" i="137"/>
  <c r="D96" i="136"/>
  <c r="D95" i="136"/>
  <c r="D94" i="136"/>
  <c r="D93" i="136"/>
  <c r="D90" i="136"/>
  <c r="D89" i="136"/>
  <c r="D88" i="136"/>
  <c r="D87" i="136"/>
  <c r="D86" i="136"/>
  <c r="D85" i="136"/>
  <c r="D106" i="135"/>
  <c r="D105" i="135"/>
  <c r="D104" i="135"/>
  <c r="D103" i="135"/>
  <c r="D100" i="135"/>
  <c r="D99" i="135"/>
  <c r="D98" i="135"/>
  <c r="D97" i="135"/>
  <c r="D96" i="135"/>
  <c r="D95" i="135"/>
  <c r="D108" i="134"/>
  <c r="D107" i="134"/>
  <c r="D106" i="134"/>
  <c r="D105" i="134"/>
  <c r="D102" i="134"/>
  <c r="D101" i="134"/>
  <c r="D100" i="134"/>
  <c r="D99" i="134"/>
  <c r="D98" i="134"/>
  <c r="D97" i="134"/>
  <c r="D84" i="133"/>
  <c r="D83" i="133"/>
  <c r="D82" i="133"/>
  <c r="D81" i="133"/>
  <c r="D78" i="133"/>
  <c r="D77" i="133"/>
  <c r="D76" i="133"/>
  <c r="D75" i="133"/>
  <c r="D74" i="133"/>
  <c r="D73" i="133"/>
  <c r="D101" i="132"/>
  <c r="D100" i="132"/>
  <c r="D99" i="132"/>
  <c r="D98" i="132"/>
  <c r="D95" i="132"/>
  <c r="D94" i="132"/>
  <c r="D93" i="132"/>
  <c r="D92" i="132"/>
  <c r="D91" i="132"/>
  <c r="D90" i="132"/>
  <c r="D99" i="131"/>
  <c r="D98" i="131"/>
  <c r="D97" i="131"/>
  <c r="D96" i="131"/>
  <c r="D93" i="131"/>
  <c r="D92" i="131"/>
  <c r="D91" i="131"/>
  <c r="D90" i="131"/>
  <c r="D89" i="131"/>
  <c r="D88" i="131"/>
  <c r="D88" i="130"/>
  <c r="D87" i="130"/>
  <c r="D86" i="130"/>
  <c r="D85" i="130"/>
  <c r="D82" i="130"/>
  <c r="D81" i="130"/>
  <c r="D80" i="130"/>
  <c r="D79" i="130"/>
  <c r="D78" i="130"/>
  <c r="D77" i="130"/>
  <c r="D88" i="129"/>
  <c r="D87" i="129"/>
  <c r="D86" i="129"/>
  <c r="D85" i="129"/>
  <c r="D82" i="129"/>
  <c r="D81" i="129"/>
  <c r="D80" i="129"/>
  <c r="D79" i="129"/>
  <c r="D78" i="129"/>
  <c r="D77" i="129"/>
  <c r="D87" i="128"/>
  <c r="D86" i="128"/>
  <c r="D85" i="128"/>
  <c r="D84" i="128"/>
  <c r="D81" i="128"/>
  <c r="D80" i="128"/>
  <c r="D79" i="128"/>
  <c r="D78" i="128"/>
  <c r="D77" i="128"/>
  <c r="D76" i="128"/>
  <c r="D93" i="127"/>
  <c r="D92" i="127"/>
  <c r="D91" i="127"/>
  <c r="D90" i="127"/>
  <c r="D87" i="127"/>
  <c r="D86" i="127"/>
  <c r="D85" i="127"/>
  <c r="D84" i="127"/>
  <c r="D83" i="127"/>
  <c r="D82" i="127"/>
  <c r="D87" i="126"/>
  <c r="D86" i="126"/>
  <c r="D85" i="126"/>
  <c r="D84" i="126"/>
  <c r="D81" i="126"/>
  <c r="D80" i="126"/>
  <c r="D79" i="126"/>
  <c r="D78" i="126"/>
  <c r="D77" i="126"/>
  <c r="D76" i="126"/>
  <c r="D85" i="125"/>
  <c r="D84" i="125"/>
  <c r="D83" i="125"/>
  <c r="D82" i="125"/>
  <c r="D79" i="125"/>
  <c r="D78" i="125"/>
  <c r="D77" i="125"/>
  <c r="D76" i="125"/>
  <c r="D75" i="125"/>
  <c r="D74" i="125"/>
  <c r="D102" i="124"/>
  <c r="D101" i="124"/>
  <c r="D100" i="124"/>
  <c r="D99" i="124"/>
  <c r="D96" i="124"/>
  <c r="D95" i="124"/>
  <c r="D94" i="124"/>
  <c r="D93" i="124"/>
  <c r="D92" i="124"/>
  <c r="D91" i="124"/>
  <c r="D95" i="123"/>
  <c r="D94" i="123"/>
  <c r="D93" i="123"/>
  <c r="D92" i="123"/>
  <c r="D89" i="123"/>
  <c r="D88" i="123"/>
  <c r="D87" i="123"/>
  <c r="D86" i="123"/>
  <c r="D85" i="123"/>
  <c r="D84" i="123"/>
  <c r="D95" i="122"/>
  <c r="D94" i="122"/>
  <c r="D93" i="122"/>
  <c r="D92" i="122"/>
  <c r="D89" i="122"/>
  <c r="D88" i="122"/>
  <c r="D87" i="122"/>
  <c r="D86" i="122"/>
  <c r="D85" i="122"/>
  <c r="D84" i="122"/>
  <c r="D102" i="121"/>
  <c r="D101" i="121"/>
  <c r="D100" i="121"/>
  <c r="D99" i="121"/>
  <c r="D96" i="121"/>
  <c r="D95" i="121"/>
  <c r="D94" i="121"/>
  <c r="D93" i="121"/>
  <c r="D92" i="121"/>
  <c r="D91" i="121"/>
  <c r="D109" i="120"/>
  <c r="D108" i="120"/>
  <c r="D107" i="120"/>
  <c r="D106" i="120"/>
  <c r="D103" i="120"/>
  <c r="D102" i="120"/>
  <c r="D101" i="120"/>
  <c r="D100" i="120"/>
  <c r="D99" i="120"/>
  <c r="D98" i="120"/>
  <c r="D78" i="119"/>
  <c r="D77" i="119"/>
  <c r="D76" i="119"/>
  <c r="D75" i="119"/>
  <c r="D72" i="119"/>
  <c r="D71" i="119"/>
  <c r="D70" i="119"/>
  <c r="D69" i="119"/>
  <c r="D68" i="119"/>
  <c r="D67" i="119"/>
  <c r="D88" i="118"/>
  <c r="D87" i="118"/>
  <c r="D86" i="118"/>
  <c r="D85" i="118"/>
  <c r="D82" i="118"/>
  <c r="D81" i="118"/>
  <c r="D80" i="118"/>
  <c r="D79" i="118"/>
  <c r="D78" i="118"/>
  <c r="D77" i="118"/>
  <c r="D79" i="117"/>
  <c r="D78" i="117"/>
  <c r="D77" i="117"/>
  <c r="D76" i="117"/>
  <c r="D73" i="117"/>
  <c r="D72" i="117"/>
  <c r="D71" i="117"/>
  <c r="D70" i="117"/>
  <c r="D69" i="117"/>
  <c r="D68" i="117"/>
  <c r="D76" i="116"/>
  <c r="D75" i="116"/>
  <c r="D74" i="116"/>
  <c r="D73" i="116"/>
  <c r="D70" i="116"/>
  <c r="D69" i="116"/>
  <c r="D68" i="116"/>
  <c r="D67" i="116"/>
  <c r="D66" i="116"/>
  <c r="D65" i="116"/>
  <c r="D92" i="115"/>
  <c r="D91" i="115"/>
  <c r="D90" i="115"/>
  <c r="D89" i="115"/>
  <c r="D86" i="115"/>
  <c r="D85" i="115"/>
  <c r="D84" i="115"/>
  <c r="D83" i="115"/>
  <c r="D82" i="115"/>
  <c r="D81" i="115"/>
  <c r="D105" i="114"/>
  <c r="D104" i="114"/>
  <c r="D103" i="114"/>
  <c r="D102" i="114"/>
  <c r="D99" i="114"/>
  <c r="D98" i="114"/>
  <c r="D97" i="114"/>
  <c r="D96" i="114"/>
  <c r="D95" i="114"/>
  <c r="D94" i="114"/>
  <c r="D103" i="113"/>
  <c r="D102" i="113"/>
  <c r="D101" i="113"/>
  <c r="D100" i="113"/>
  <c r="D97" i="113"/>
  <c r="D96" i="113"/>
  <c r="D95" i="113"/>
  <c r="D94" i="113"/>
  <c r="D93" i="113"/>
  <c r="D92" i="113"/>
  <c r="D102" i="112"/>
  <c r="D101" i="112"/>
  <c r="D100" i="112"/>
  <c r="D99" i="112"/>
  <c r="D96" i="112"/>
  <c r="D95" i="112"/>
  <c r="D94" i="112"/>
  <c r="D93" i="112"/>
  <c r="D92" i="112"/>
  <c r="D91" i="112"/>
  <c r="D99" i="111"/>
  <c r="D98" i="111"/>
  <c r="D97" i="111"/>
  <c r="D96" i="111"/>
  <c r="D93" i="111"/>
  <c r="D92" i="111"/>
  <c r="D91" i="111"/>
  <c r="D90" i="111"/>
  <c r="D89" i="111"/>
  <c r="D88" i="111"/>
  <c r="D86" i="110"/>
  <c r="D85" i="110"/>
  <c r="D84" i="110"/>
  <c r="D83" i="110"/>
  <c r="D80" i="110"/>
  <c r="D79" i="110"/>
  <c r="D78" i="110"/>
  <c r="D77" i="110"/>
  <c r="D76" i="110"/>
  <c r="D75" i="110"/>
  <c r="D106" i="109"/>
  <c r="D105" i="109"/>
  <c r="D104" i="109"/>
  <c r="D103" i="109"/>
  <c r="D100" i="109"/>
  <c r="D99" i="109"/>
  <c r="D98" i="109"/>
  <c r="D97" i="109"/>
  <c r="D96" i="109"/>
  <c r="D95" i="109"/>
  <c r="D97" i="108"/>
  <c r="D96" i="108"/>
  <c r="D95" i="108"/>
  <c r="D94" i="108"/>
  <c r="D91" i="108"/>
  <c r="D90" i="108"/>
  <c r="D89" i="108"/>
  <c r="D88" i="108"/>
  <c r="D87" i="108"/>
  <c r="D86" i="108"/>
  <c r="D91" i="107"/>
  <c r="D90" i="107"/>
  <c r="D89" i="107"/>
  <c r="D88" i="107"/>
  <c r="D85" i="107"/>
  <c r="D84" i="107"/>
  <c r="D83" i="107"/>
  <c r="D82" i="107"/>
  <c r="D81" i="107"/>
  <c r="D80" i="107"/>
  <c r="D96" i="106"/>
  <c r="D95" i="106"/>
  <c r="D94" i="106"/>
  <c r="D93" i="106"/>
  <c r="D90" i="106"/>
  <c r="D89" i="106"/>
  <c r="D88" i="106"/>
  <c r="D87" i="106"/>
  <c r="D86" i="106"/>
  <c r="D85" i="106"/>
  <c r="D96" i="105"/>
  <c r="D95" i="105"/>
  <c r="D94" i="105"/>
  <c r="D93" i="105"/>
  <c r="D90" i="105"/>
  <c r="D89" i="105"/>
  <c r="D88" i="105"/>
  <c r="D87" i="105"/>
  <c r="D86" i="105"/>
  <c r="D85" i="105"/>
  <c r="D86" i="104"/>
  <c r="D85" i="104"/>
  <c r="D84" i="104"/>
  <c r="D83" i="104"/>
  <c r="D80" i="104"/>
  <c r="D79" i="104"/>
  <c r="D78" i="104"/>
  <c r="D77" i="104"/>
  <c r="D76" i="104"/>
  <c r="D75" i="104"/>
  <c r="D100" i="103"/>
  <c r="D99" i="103"/>
  <c r="D98" i="103"/>
  <c r="D97" i="103"/>
  <c r="D94" i="103"/>
  <c r="D93" i="103"/>
  <c r="D92" i="103"/>
  <c r="D91" i="103"/>
  <c r="D90" i="103"/>
  <c r="D89" i="103"/>
  <c r="D92" i="102"/>
  <c r="D91" i="102"/>
  <c r="D90" i="102"/>
  <c r="D89" i="102"/>
  <c r="D86" i="102"/>
  <c r="D85" i="102"/>
  <c r="D84" i="102"/>
  <c r="D83" i="102"/>
  <c r="D82" i="102"/>
  <c r="D81" i="102"/>
  <c r="D88" i="101"/>
  <c r="D87" i="101"/>
  <c r="D86" i="101"/>
  <c r="D85" i="101"/>
  <c r="D82" i="101"/>
  <c r="D81" i="101"/>
  <c r="D80" i="101"/>
  <c r="D79" i="101"/>
  <c r="D78" i="101"/>
  <c r="D77" i="101"/>
  <c r="D88" i="100"/>
  <c r="D87" i="100"/>
  <c r="D86" i="100"/>
  <c r="D85" i="100"/>
  <c r="D82" i="100"/>
  <c r="D81" i="100"/>
  <c r="D80" i="100"/>
  <c r="D79" i="100"/>
  <c r="D78" i="100"/>
  <c r="D77" i="100"/>
  <c r="D86" i="99"/>
  <c r="D85" i="99"/>
  <c r="D84" i="99"/>
  <c r="D83" i="99"/>
  <c r="D80" i="99"/>
  <c r="D79" i="99"/>
  <c r="D78" i="99"/>
  <c r="D77" i="99"/>
  <c r="D76" i="99"/>
  <c r="D75" i="99"/>
  <c r="D98" i="98"/>
  <c r="D97" i="98"/>
  <c r="D96" i="98"/>
  <c r="D95" i="98"/>
  <c r="D92" i="98"/>
  <c r="D91" i="98"/>
  <c r="D90" i="98"/>
  <c r="D89" i="98"/>
  <c r="D88" i="98"/>
  <c r="D87" i="98"/>
  <c r="D97" i="97"/>
  <c r="D96" i="97"/>
  <c r="D95" i="97"/>
  <c r="D94" i="97"/>
  <c r="D91" i="97"/>
  <c r="D90" i="97"/>
  <c r="D89" i="97"/>
  <c r="D88" i="97"/>
  <c r="D87" i="97"/>
  <c r="D86" i="97"/>
  <c r="D110" i="96"/>
  <c r="D109" i="96"/>
  <c r="D108" i="96"/>
  <c r="D107" i="96"/>
  <c r="D104" i="96"/>
  <c r="D103" i="96"/>
  <c r="D102" i="96"/>
  <c r="D101" i="96"/>
  <c r="D100" i="96"/>
  <c r="D99" i="96"/>
  <c r="D104" i="95"/>
  <c r="D103" i="95"/>
  <c r="D102" i="95"/>
  <c r="D101" i="95"/>
  <c r="D98" i="95"/>
  <c r="D97" i="95"/>
  <c r="D96" i="95"/>
  <c r="D95" i="95"/>
  <c r="D94" i="95"/>
  <c r="D93" i="95"/>
  <c r="D92" i="94"/>
  <c r="D91" i="94"/>
  <c r="D90" i="94"/>
  <c r="D89" i="94"/>
  <c r="D86" i="94"/>
  <c r="D85" i="94"/>
  <c r="D84" i="94"/>
  <c r="D83" i="94"/>
  <c r="D82" i="94"/>
  <c r="D81" i="94"/>
  <c r="D98" i="93"/>
  <c r="D97" i="93"/>
  <c r="D96" i="93"/>
  <c r="D95" i="93"/>
  <c r="D92" i="93"/>
  <c r="D91" i="93"/>
  <c r="D90" i="93"/>
  <c r="D89" i="93"/>
  <c r="D88" i="93"/>
  <c r="D87" i="93"/>
  <c r="D114" i="92"/>
  <c r="D113" i="92"/>
  <c r="D112" i="92"/>
  <c r="D111" i="92"/>
  <c r="D108" i="92"/>
  <c r="D107" i="92"/>
  <c r="D106" i="92"/>
  <c r="D105" i="92"/>
  <c r="D104" i="92"/>
  <c r="D103" i="92"/>
  <c r="D100" i="91"/>
  <c r="D99" i="91"/>
  <c r="D98" i="91"/>
  <c r="D97" i="91"/>
  <c r="D94" i="91"/>
  <c r="D93" i="91"/>
  <c r="D92" i="91"/>
  <c r="D91" i="91"/>
  <c r="D90" i="91"/>
  <c r="D89" i="91"/>
  <c r="D89" i="90"/>
  <c r="D88" i="90"/>
  <c r="D87" i="90"/>
  <c r="D86" i="90"/>
  <c r="D83" i="90"/>
  <c r="D82" i="90"/>
  <c r="D81" i="90"/>
  <c r="D80" i="90"/>
  <c r="D79" i="90"/>
  <c r="D78" i="90"/>
  <c r="D101" i="89"/>
  <c r="D100" i="89"/>
  <c r="D99" i="89"/>
  <c r="D98" i="89"/>
  <c r="D95" i="89"/>
  <c r="D94" i="89"/>
  <c r="D93" i="89"/>
  <c r="D92" i="89"/>
  <c r="D91" i="89"/>
  <c r="D90" i="89"/>
  <c r="D103" i="88"/>
  <c r="D102" i="88"/>
  <c r="D101" i="88"/>
  <c r="D100" i="88"/>
  <c r="D97" i="88"/>
  <c r="D96" i="88"/>
  <c r="D95" i="88"/>
  <c r="D94" i="88"/>
  <c r="D93" i="88"/>
  <c r="D92" i="88"/>
  <c r="D109" i="87"/>
  <c r="D108" i="87"/>
  <c r="D107" i="87"/>
  <c r="D106" i="87"/>
  <c r="D103" i="87"/>
  <c r="D102" i="87"/>
  <c r="D101" i="87"/>
  <c r="D100" i="87"/>
  <c r="D99" i="87"/>
  <c r="D98" i="87"/>
  <c r="D109" i="86"/>
  <c r="D108" i="86"/>
  <c r="D107" i="86"/>
  <c r="D106" i="86"/>
  <c r="D103" i="86"/>
  <c r="D102" i="86"/>
  <c r="D101" i="86"/>
  <c r="D100" i="86"/>
  <c r="D99" i="86"/>
  <c r="D98" i="86"/>
  <c r="D109" i="85"/>
  <c r="D108" i="85"/>
  <c r="D107" i="85"/>
  <c r="D106" i="85"/>
  <c r="D103" i="85"/>
  <c r="D102" i="85"/>
  <c r="D101" i="85"/>
  <c r="D100" i="85"/>
  <c r="D99" i="85"/>
  <c r="D98" i="85"/>
  <c r="D87" i="84"/>
  <c r="D86" i="84"/>
  <c r="D85" i="84"/>
  <c r="D84" i="84"/>
  <c r="D81" i="84"/>
  <c r="D80" i="84"/>
  <c r="D79" i="84"/>
  <c r="D78" i="84"/>
  <c r="D77" i="84"/>
  <c r="D76" i="84"/>
  <c r="D98" i="83"/>
  <c r="D97" i="83"/>
  <c r="D96" i="83"/>
  <c r="D95" i="83"/>
  <c r="D92" i="83"/>
  <c r="D91" i="83"/>
  <c r="D90" i="83"/>
  <c r="D89" i="83"/>
  <c r="D88" i="83"/>
  <c r="D87" i="83"/>
  <c r="D99" i="82"/>
  <c r="D98" i="82"/>
  <c r="D97" i="82"/>
  <c r="D96" i="82"/>
  <c r="D93" i="82"/>
  <c r="D92" i="82"/>
  <c r="D91" i="82"/>
  <c r="D90" i="82"/>
  <c r="D89" i="82"/>
  <c r="D88" i="82"/>
  <c r="D99" i="81"/>
  <c r="D98" i="81"/>
  <c r="D97" i="81"/>
  <c r="D96" i="81"/>
  <c r="D93" i="81"/>
  <c r="D92" i="81"/>
  <c r="D91" i="81"/>
  <c r="D90" i="81"/>
  <c r="D89" i="81"/>
  <c r="D88" i="81"/>
  <c r="D115" i="80"/>
  <c r="D114" i="80"/>
  <c r="D113" i="80"/>
  <c r="D112" i="80"/>
  <c r="D109" i="80"/>
  <c r="D108" i="80"/>
  <c r="D107" i="80"/>
  <c r="D106" i="80"/>
  <c r="D105" i="80"/>
  <c r="D104" i="80"/>
  <c r="D91" i="79"/>
  <c r="D90" i="79"/>
  <c r="D89" i="79"/>
  <c r="D88" i="79"/>
  <c r="D85" i="79"/>
  <c r="D84" i="79"/>
  <c r="D83" i="79"/>
  <c r="D82" i="79"/>
  <c r="D81" i="79"/>
  <c r="D80" i="79"/>
  <c r="D92" i="78"/>
  <c r="D91" i="78"/>
  <c r="D90" i="78"/>
  <c r="D89" i="78"/>
  <c r="D86" i="78"/>
  <c r="D85" i="78"/>
  <c r="D84" i="78"/>
  <c r="D83" i="78"/>
  <c r="D82" i="78"/>
  <c r="D81" i="78"/>
  <c r="D82" i="77"/>
  <c r="D81" i="77"/>
  <c r="D80" i="77"/>
  <c r="D79" i="77"/>
  <c r="D76" i="77"/>
  <c r="D75" i="77"/>
  <c r="D74" i="77"/>
  <c r="D73" i="77"/>
  <c r="D72" i="77"/>
  <c r="D71" i="77"/>
  <c r="D80" i="76"/>
  <c r="D79" i="76"/>
  <c r="D78" i="76"/>
  <c r="D77" i="76"/>
  <c r="D74" i="76"/>
  <c r="D73" i="76"/>
  <c r="D72" i="76"/>
  <c r="D71" i="76"/>
  <c r="D70" i="76"/>
  <c r="D69" i="76"/>
  <c r="D113" i="75"/>
  <c r="D112" i="75"/>
  <c r="D111" i="75"/>
  <c r="D110" i="75"/>
  <c r="D107" i="75"/>
  <c r="D106" i="75"/>
  <c r="D105" i="75"/>
  <c r="D104" i="75"/>
  <c r="D103" i="75"/>
  <c r="D102" i="75"/>
  <c r="D93" i="74"/>
  <c r="D92" i="74"/>
  <c r="D91" i="74"/>
  <c r="D90" i="74"/>
  <c r="D87" i="74"/>
  <c r="D86" i="74"/>
  <c r="D85" i="74"/>
  <c r="D84" i="74"/>
  <c r="D83" i="74"/>
  <c r="D82" i="74"/>
  <c r="D96" i="73"/>
  <c r="D95" i="73"/>
  <c r="D94" i="73"/>
  <c r="D93" i="73"/>
  <c r="D90" i="73"/>
  <c r="D89" i="73"/>
  <c r="D88" i="73"/>
  <c r="D87" i="73"/>
  <c r="D86" i="73"/>
  <c r="D85" i="73"/>
  <c r="D106" i="72"/>
  <c r="D105" i="72"/>
  <c r="D104" i="72"/>
  <c r="D103" i="72"/>
  <c r="D100" i="72"/>
  <c r="D99" i="72"/>
  <c r="D98" i="72"/>
  <c r="D97" i="72"/>
  <c r="D96" i="72"/>
  <c r="D95" i="72"/>
  <c r="D105" i="71"/>
  <c r="D104" i="71"/>
  <c r="D103" i="71"/>
  <c r="D102" i="71"/>
  <c r="D99" i="71"/>
  <c r="D98" i="71"/>
  <c r="D97" i="71"/>
  <c r="D96" i="71"/>
  <c r="D95" i="71"/>
  <c r="D94" i="71"/>
  <c r="D113" i="70"/>
  <c r="D112" i="70"/>
  <c r="D111" i="70"/>
  <c r="D110" i="70"/>
  <c r="D107" i="70"/>
  <c r="D106" i="70"/>
  <c r="D105" i="70"/>
  <c r="D104" i="70"/>
  <c r="D103" i="70"/>
  <c r="D102" i="70"/>
  <c r="D106" i="69"/>
  <c r="D105" i="69"/>
  <c r="D104" i="69"/>
  <c r="D103" i="69"/>
  <c r="D100" i="69"/>
  <c r="D99" i="69"/>
  <c r="D98" i="69"/>
  <c r="D97" i="69"/>
  <c r="D96" i="69"/>
  <c r="D95" i="69"/>
  <c r="D112" i="68"/>
  <c r="D111" i="68"/>
  <c r="D110" i="68"/>
  <c r="D109" i="68"/>
  <c r="D106" i="68"/>
  <c r="D105" i="68"/>
  <c r="D104" i="68"/>
  <c r="D103" i="68"/>
  <c r="D102" i="68"/>
  <c r="D101" i="68"/>
  <c r="D89" i="67"/>
  <c r="D88" i="67"/>
  <c r="D87" i="67"/>
  <c r="D86" i="67"/>
  <c r="D83" i="67"/>
  <c r="D82" i="67"/>
  <c r="D81" i="67"/>
  <c r="D80" i="67"/>
  <c r="D79" i="67"/>
  <c r="D78" i="67"/>
  <c r="D98" i="66"/>
  <c r="D97" i="66"/>
  <c r="D96" i="66"/>
  <c r="D95" i="66"/>
  <c r="D92" i="66"/>
  <c r="D91" i="66"/>
  <c r="D90" i="66"/>
  <c r="D89" i="66"/>
  <c r="D88" i="66"/>
  <c r="D87" i="66"/>
  <c r="D108" i="65"/>
  <c r="D107" i="65"/>
  <c r="D106" i="65"/>
  <c r="D105" i="65"/>
  <c r="D102" i="65"/>
  <c r="D101" i="65"/>
  <c r="D100" i="65"/>
  <c r="D99" i="65"/>
  <c r="D98" i="65"/>
  <c r="D97" i="65"/>
  <c r="D89" i="64"/>
  <c r="D88" i="64"/>
  <c r="D87" i="64"/>
  <c r="D86" i="64"/>
  <c r="D83" i="64"/>
  <c r="D82" i="64"/>
  <c r="D81" i="64"/>
  <c r="D80" i="64"/>
  <c r="D79" i="64"/>
  <c r="D78" i="64"/>
  <c r="D103" i="63"/>
  <c r="D102" i="63"/>
  <c r="D101" i="63"/>
  <c r="D100" i="63"/>
  <c r="D97" i="63"/>
  <c r="D96" i="63"/>
  <c r="D95" i="63"/>
  <c r="D94" i="63"/>
  <c r="D93" i="63"/>
  <c r="D92" i="63"/>
  <c r="D91" i="62"/>
  <c r="D90" i="62"/>
  <c r="D89" i="62"/>
  <c r="D88" i="62"/>
  <c r="D85" i="62"/>
  <c r="D84" i="62"/>
  <c r="D83" i="62"/>
  <c r="D82" i="62"/>
  <c r="D81" i="62"/>
  <c r="D80" i="62"/>
  <c r="D107" i="61"/>
  <c r="D106" i="61"/>
  <c r="D105" i="61"/>
  <c r="D104" i="61"/>
  <c r="D101" i="61"/>
  <c r="D100" i="61"/>
  <c r="D99" i="61"/>
  <c r="D98" i="61"/>
  <c r="D97" i="61"/>
  <c r="D96" i="61"/>
  <c r="D89" i="60"/>
  <c r="D88" i="60"/>
  <c r="D87" i="60"/>
  <c r="D86" i="60"/>
  <c r="D83" i="60"/>
  <c r="D82" i="60"/>
  <c r="D81" i="60"/>
  <c r="D80" i="60"/>
  <c r="D79" i="60"/>
  <c r="D78" i="60"/>
  <c r="D103" i="59"/>
  <c r="D102" i="59"/>
  <c r="D101" i="59"/>
  <c r="D100" i="59"/>
  <c r="D97" i="59"/>
  <c r="D96" i="59"/>
  <c r="D95" i="59"/>
  <c r="D94" i="59"/>
  <c r="D93" i="59"/>
  <c r="D92" i="59"/>
  <c r="D96" i="58"/>
  <c r="D95" i="58"/>
  <c r="D94" i="58"/>
  <c r="D93" i="58"/>
  <c r="D90" i="58"/>
  <c r="D89" i="58"/>
  <c r="D88" i="58"/>
  <c r="D87" i="58"/>
  <c r="D86" i="58"/>
  <c r="D85" i="58"/>
  <c r="D95" i="57"/>
  <c r="D94" i="57"/>
  <c r="D93" i="57"/>
  <c r="D92" i="57"/>
  <c r="D89" i="57"/>
  <c r="D88" i="57"/>
  <c r="D87" i="57"/>
  <c r="D86" i="57"/>
  <c r="D85" i="57"/>
  <c r="D84" i="57"/>
  <c r="D115" i="56"/>
  <c r="D114" i="56"/>
  <c r="D113" i="56"/>
  <c r="D112" i="56"/>
  <c r="D109" i="56"/>
  <c r="D108" i="56"/>
  <c r="D107" i="56"/>
  <c r="D106" i="56"/>
  <c r="D105" i="56"/>
  <c r="D104" i="56"/>
  <c r="D80" i="55"/>
  <c r="D79" i="55"/>
  <c r="D78" i="55"/>
  <c r="D77" i="55"/>
  <c r="D74" i="55"/>
  <c r="D73" i="55"/>
  <c r="D72" i="55"/>
  <c r="D71" i="55"/>
  <c r="D70" i="55"/>
  <c r="D69" i="55"/>
  <c r="D107" i="54"/>
  <c r="D106" i="54"/>
  <c r="D105" i="54"/>
  <c r="D104" i="54"/>
  <c r="D101" i="54"/>
  <c r="D100" i="54"/>
  <c r="D99" i="54"/>
  <c r="D98" i="54"/>
  <c r="D97" i="54"/>
  <c r="D96" i="54"/>
  <c r="D105" i="53"/>
  <c r="D104" i="53"/>
  <c r="D103" i="53"/>
  <c r="D102" i="53"/>
  <c r="D99" i="53"/>
  <c r="D98" i="53"/>
  <c r="D97" i="53"/>
  <c r="D96" i="53"/>
  <c r="D95" i="53"/>
  <c r="D94" i="53"/>
  <c r="D100" i="52"/>
  <c r="D99" i="52"/>
  <c r="D98" i="52"/>
  <c r="D97" i="52"/>
  <c r="D94" i="52"/>
  <c r="D93" i="52"/>
  <c r="D92" i="52"/>
  <c r="D91" i="52"/>
  <c r="D90" i="52"/>
  <c r="D89" i="52"/>
  <c r="D88" i="51"/>
  <c r="D87" i="51"/>
  <c r="D86" i="51"/>
  <c r="D85" i="51"/>
  <c r="D82" i="51"/>
  <c r="D81" i="51"/>
  <c r="D80" i="51"/>
  <c r="D79" i="51"/>
  <c r="D78" i="51"/>
  <c r="D77" i="51"/>
  <c r="D98" i="50"/>
  <c r="D97" i="50"/>
  <c r="D96" i="50"/>
  <c r="D95" i="50"/>
  <c r="D92" i="50"/>
  <c r="D91" i="50"/>
  <c r="D90" i="50"/>
  <c r="D89" i="50"/>
  <c r="D88" i="50"/>
  <c r="D87" i="50"/>
  <c r="D108" i="49"/>
  <c r="D107" i="49"/>
  <c r="D106" i="49"/>
  <c r="D105" i="49"/>
  <c r="D102" i="49"/>
  <c r="D101" i="49"/>
  <c r="D100" i="49"/>
  <c r="D99" i="49"/>
  <c r="D98" i="49"/>
  <c r="D97" i="49"/>
  <c r="D99" i="48"/>
  <c r="D98" i="48"/>
  <c r="D97" i="48"/>
  <c r="D96" i="48"/>
  <c r="D93" i="48"/>
  <c r="D92" i="48"/>
  <c r="D91" i="48"/>
  <c r="D90" i="48"/>
  <c r="D89" i="48"/>
  <c r="D88" i="48"/>
  <c r="D103" i="47"/>
  <c r="D102" i="47"/>
  <c r="D101" i="47"/>
  <c r="D100" i="47"/>
  <c r="D97" i="47"/>
  <c r="D96" i="47"/>
  <c r="D95" i="47"/>
  <c r="D94" i="47"/>
  <c r="D93" i="47"/>
  <c r="D92" i="47"/>
  <c r="D83" i="46"/>
  <c r="D82" i="46"/>
  <c r="D81" i="46"/>
  <c r="D80" i="46"/>
  <c r="D77" i="46"/>
  <c r="D76" i="46"/>
  <c r="D75" i="46"/>
  <c r="D74" i="46"/>
  <c r="D73" i="46"/>
  <c r="D72" i="46"/>
  <c r="D98" i="45"/>
  <c r="D97" i="45"/>
  <c r="D96" i="45"/>
  <c r="D95" i="45"/>
  <c r="D92" i="45"/>
  <c r="D91" i="45"/>
  <c r="D90" i="45"/>
  <c r="D89" i="45"/>
  <c r="D88" i="45"/>
  <c r="D87" i="45"/>
  <c r="D97" i="44"/>
  <c r="D96" i="44"/>
  <c r="D95" i="44"/>
  <c r="D94" i="44"/>
  <c r="D91" i="44"/>
  <c r="D90" i="44"/>
  <c r="D89" i="44"/>
  <c r="D88" i="44"/>
  <c r="D87" i="44"/>
  <c r="D86" i="44"/>
  <c r="D105" i="43"/>
  <c r="D104" i="43"/>
  <c r="D103" i="43"/>
  <c r="D102" i="43"/>
  <c r="D99" i="43"/>
  <c r="D98" i="43"/>
  <c r="D97" i="43"/>
  <c r="D96" i="43"/>
  <c r="D95" i="43"/>
  <c r="D94" i="43"/>
  <c r="D114" i="42"/>
  <c r="D113" i="42"/>
  <c r="D112" i="42"/>
  <c r="D111" i="42"/>
  <c r="D108" i="42"/>
  <c r="D107" i="42"/>
  <c r="D106" i="42"/>
  <c r="D105" i="42"/>
  <c r="D104" i="42"/>
  <c r="D103" i="42"/>
  <c r="D116" i="41"/>
  <c r="D115" i="41"/>
  <c r="D114" i="41"/>
  <c r="D113" i="41"/>
  <c r="D110" i="41"/>
  <c r="D109" i="41"/>
  <c r="D108" i="41"/>
  <c r="D107" i="41"/>
  <c r="D106" i="41"/>
  <c r="D105" i="41"/>
  <c r="D117" i="40"/>
  <c r="D116" i="40"/>
  <c r="D115" i="40"/>
  <c r="D114" i="40"/>
  <c r="D111" i="40"/>
  <c r="D110" i="40"/>
  <c r="D109" i="40"/>
  <c r="D108" i="40"/>
  <c r="D107" i="40"/>
  <c r="D106" i="40"/>
  <c r="D115" i="39"/>
  <c r="D114" i="39"/>
  <c r="D113" i="39"/>
  <c r="D112" i="39"/>
  <c r="D109" i="39"/>
  <c r="D108" i="39"/>
  <c r="D107" i="39"/>
  <c r="D106" i="39"/>
  <c r="D105" i="39"/>
  <c r="D104" i="39"/>
  <c r="D85" i="38"/>
  <c r="D84" i="38"/>
  <c r="D83" i="38"/>
  <c r="D82" i="38"/>
  <c r="D79" i="38"/>
  <c r="D78" i="38"/>
  <c r="D77" i="38"/>
  <c r="D76" i="38"/>
  <c r="D75" i="38"/>
  <c r="D74" i="38"/>
  <c r="D96" i="37"/>
  <c r="D95" i="37"/>
  <c r="D94" i="37"/>
  <c r="D93" i="37"/>
  <c r="D90" i="37"/>
  <c r="D89" i="37"/>
  <c r="D88" i="37"/>
  <c r="D87" i="37"/>
  <c r="D86" i="37"/>
  <c r="D85" i="37"/>
  <c r="D95" i="36"/>
  <c r="D94" i="36"/>
  <c r="D93" i="36"/>
  <c r="D92" i="36"/>
  <c r="D89" i="36"/>
  <c r="D88" i="36"/>
  <c r="D87" i="36"/>
  <c r="D86" i="36"/>
  <c r="D85" i="36"/>
  <c r="D84" i="36"/>
  <c r="D102" i="35"/>
  <c r="D101" i="35"/>
  <c r="D100" i="35"/>
  <c r="D99" i="35"/>
  <c r="D96" i="35"/>
  <c r="D95" i="35"/>
  <c r="D94" i="35"/>
  <c r="D93" i="35"/>
  <c r="D92" i="35"/>
  <c r="D91" i="35"/>
  <c r="D99" i="34"/>
  <c r="D98" i="34"/>
  <c r="D97" i="34"/>
  <c r="D96" i="34"/>
  <c r="D93" i="34"/>
  <c r="D92" i="34"/>
  <c r="D91" i="34"/>
  <c r="D90" i="34"/>
  <c r="D89" i="34"/>
  <c r="D88" i="34"/>
  <c r="D106" i="33"/>
  <c r="D105" i="33"/>
  <c r="D104" i="33"/>
  <c r="D103" i="33"/>
  <c r="D100" i="33"/>
  <c r="D99" i="33"/>
  <c r="D98" i="33"/>
  <c r="D97" i="33"/>
  <c r="D96" i="33"/>
  <c r="D95" i="33"/>
  <c r="D92" i="32"/>
  <c r="D91" i="32"/>
  <c r="D90" i="32"/>
  <c r="D89" i="32"/>
  <c r="D86" i="32"/>
  <c r="D85" i="32"/>
  <c r="D84" i="32"/>
  <c r="D83" i="32"/>
  <c r="D82" i="32"/>
  <c r="D81" i="32"/>
  <c r="D107" i="31"/>
  <c r="D106" i="31"/>
  <c r="D105" i="31"/>
  <c r="D104" i="31"/>
  <c r="D101" i="31"/>
  <c r="D100" i="31"/>
  <c r="D99" i="31"/>
  <c r="D98" i="31"/>
  <c r="D97" i="31"/>
  <c r="D96" i="31"/>
  <c r="D104" i="30"/>
  <c r="D103" i="30"/>
  <c r="D102" i="30"/>
  <c r="D101" i="30"/>
  <c r="D98" i="30"/>
  <c r="D97" i="30"/>
  <c r="D96" i="30"/>
  <c r="D95" i="30"/>
  <c r="D94" i="30"/>
  <c r="D93" i="30"/>
  <c r="D107" i="29"/>
  <c r="D106" i="29"/>
  <c r="D105" i="29"/>
  <c r="D104" i="29"/>
  <c r="D101" i="29"/>
  <c r="D100" i="29"/>
  <c r="D99" i="29"/>
  <c r="D98" i="29"/>
  <c r="D97" i="29"/>
  <c r="D96" i="29"/>
  <c r="D115" i="28"/>
  <c r="D114" i="28"/>
  <c r="D113" i="28"/>
  <c r="D112" i="28"/>
  <c r="D109" i="28"/>
  <c r="D108" i="28"/>
  <c r="D107" i="28"/>
  <c r="D106" i="28"/>
  <c r="D105" i="28"/>
  <c r="D104" i="28"/>
  <c r="D109" i="27"/>
  <c r="D108" i="27"/>
  <c r="D107" i="27"/>
  <c r="D106" i="27"/>
  <c r="D103" i="27"/>
  <c r="D102" i="27"/>
  <c r="D101" i="27"/>
  <c r="D100" i="27"/>
  <c r="D99" i="27"/>
  <c r="D98" i="27"/>
  <c r="D105" i="26"/>
  <c r="D104" i="26"/>
  <c r="D103" i="26"/>
  <c r="D102" i="26"/>
  <c r="D99" i="26"/>
  <c r="D98" i="26"/>
  <c r="D97" i="26"/>
  <c r="D96" i="26"/>
  <c r="D95" i="26"/>
  <c r="D94" i="26"/>
  <c r="D97" i="25"/>
  <c r="D96" i="25"/>
  <c r="D95" i="25"/>
  <c r="D94" i="25"/>
  <c r="D91" i="25"/>
  <c r="D90" i="25"/>
  <c r="D89" i="25"/>
  <c r="D88" i="25"/>
  <c r="D87" i="25"/>
  <c r="D86" i="25"/>
  <c r="D104" i="24"/>
  <c r="D103" i="24"/>
  <c r="D102" i="24"/>
  <c r="D101" i="24"/>
  <c r="D98" i="24"/>
  <c r="D97" i="24"/>
  <c r="D96" i="24"/>
  <c r="D95" i="24"/>
  <c r="D94" i="24"/>
  <c r="D93" i="24"/>
  <c r="D96" i="23"/>
  <c r="D95" i="23"/>
  <c r="D94" i="23"/>
  <c r="D93" i="23"/>
  <c r="D90" i="23"/>
  <c r="D89" i="23"/>
  <c r="D88" i="23"/>
  <c r="D87" i="23"/>
  <c r="D86" i="23"/>
  <c r="D85" i="23"/>
  <c r="D101" i="22"/>
  <c r="D100" i="22"/>
  <c r="D99" i="22"/>
  <c r="D98" i="22"/>
  <c r="D95" i="22"/>
  <c r="D94" i="22"/>
  <c r="D93" i="22"/>
  <c r="D92" i="22"/>
  <c r="D91" i="22"/>
  <c r="D90" i="22"/>
  <c r="D91" i="21"/>
  <c r="D90" i="21"/>
  <c r="D89" i="21"/>
  <c r="D88" i="21"/>
  <c r="D85" i="21"/>
  <c r="D84" i="21"/>
  <c r="D83" i="21"/>
  <c r="D82" i="21"/>
  <c r="D81" i="21"/>
  <c r="D80" i="21"/>
  <c r="D105" i="20"/>
  <c r="D104" i="20"/>
  <c r="D103" i="20"/>
  <c r="D102" i="20"/>
  <c r="D99" i="20"/>
  <c r="D98" i="20"/>
  <c r="D97" i="20"/>
  <c r="D96" i="20"/>
  <c r="D95" i="20"/>
  <c r="D94" i="20"/>
  <c r="D127" i="19"/>
  <c r="D126" i="19"/>
  <c r="D125" i="19"/>
  <c r="D124" i="19"/>
  <c r="D121" i="19"/>
  <c r="D120" i="19"/>
  <c r="D119" i="19"/>
  <c r="D118" i="19"/>
  <c r="D117" i="19"/>
  <c r="D116" i="19"/>
  <c r="D90" i="18"/>
  <c r="D89" i="18"/>
  <c r="D88" i="18"/>
  <c r="D87" i="18"/>
  <c r="D84" i="18"/>
  <c r="D83" i="18"/>
  <c r="D82" i="18"/>
  <c r="D81" i="18"/>
  <c r="D80" i="18"/>
  <c r="D79" i="18"/>
  <c r="D81" i="17"/>
  <c r="D80" i="17"/>
  <c r="D79" i="17"/>
  <c r="D78" i="17"/>
  <c r="D75" i="17"/>
  <c r="D74" i="17"/>
  <c r="D73" i="17"/>
  <c r="D72" i="17"/>
  <c r="D71" i="17"/>
  <c r="D70" i="17"/>
  <c r="D97" i="16"/>
  <c r="D96" i="16"/>
  <c r="D95" i="16"/>
  <c r="D94" i="16"/>
  <c r="D91" i="16"/>
  <c r="D90" i="16"/>
  <c r="D89" i="16"/>
  <c r="D88" i="16"/>
  <c r="D87" i="16"/>
  <c r="D86" i="16"/>
  <c r="D105" i="15"/>
  <c r="D104" i="15"/>
  <c r="D103" i="15"/>
  <c r="D102" i="15"/>
  <c r="D99" i="15"/>
  <c r="D98" i="15"/>
  <c r="D97" i="15"/>
  <c r="D96" i="15"/>
  <c r="D95" i="15"/>
  <c r="D94" i="15"/>
  <c r="D92" i="14"/>
  <c r="D91" i="14"/>
  <c r="D90" i="14"/>
  <c r="D89" i="14"/>
  <c r="D86" i="14"/>
  <c r="D85" i="14"/>
  <c r="D84" i="14"/>
  <c r="D83" i="14"/>
  <c r="D82" i="14"/>
  <c r="D81" i="14"/>
  <c r="D97" i="13"/>
  <c r="D96" i="13"/>
  <c r="D95" i="13"/>
  <c r="D94" i="13"/>
  <c r="D91" i="13"/>
  <c r="D90" i="13"/>
  <c r="D89" i="13"/>
  <c r="D88" i="13"/>
  <c r="D87" i="13"/>
  <c r="D86" i="13"/>
  <c r="D89" i="12"/>
  <c r="D88" i="12"/>
  <c r="D87" i="12"/>
  <c r="D86" i="12"/>
  <c r="D83" i="12"/>
  <c r="D82" i="12"/>
  <c r="D81" i="12"/>
  <c r="D80" i="12"/>
  <c r="D79" i="12"/>
  <c r="D78" i="12"/>
  <c r="D96" i="11"/>
  <c r="D95" i="11"/>
  <c r="D94" i="11"/>
  <c r="D93" i="11"/>
  <c r="D90" i="11"/>
  <c r="D89" i="11"/>
  <c r="D88" i="11"/>
  <c r="D87" i="11"/>
  <c r="D86" i="11"/>
  <c r="D85" i="11"/>
  <c r="D97" i="10"/>
  <c r="D96" i="10"/>
  <c r="D95" i="10"/>
  <c r="D94" i="10"/>
  <c r="D91" i="10"/>
  <c r="D90" i="10"/>
  <c r="D89" i="10"/>
  <c r="D88" i="10"/>
  <c r="D87" i="10"/>
  <c r="D86" i="10"/>
  <c r="D93" i="9"/>
  <c r="D92" i="9"/>
  <c r="D91" i="9"/>
  <c r="D90" i="9"/>
  <c r="D87" i="9"/>
  <c r="D86" i="9"/>
  <c r="D85" i="9"/>
  <c r="D84" i="9"/>
  <c r="D83" i="9"/>
  <c r="D82" i="9"/>
  <c r="D99" i="8"/>
  <c r="D98" i="8"/>
  <c r="D97" i="8"/>
  <c r="D96" i="8"/>
  <c r="D93" i="8"/>
  <c r="D92" i="8"/>
  <c r="D91" i="8"/>
  <c r="D90" i="8"/>
  <c r="D89" i="8"/>
  <c r="D88" i="8"/>
  <c r="D126" i="7"/>
  <c r="D125" i="7"/>
  <c r="D124" i="7"/>
  <c r="D123" i="7"/>
  <c r="D120" i="7"/>
  <c r="D119" i="7"/>
  <c r="D118" i="7"/>
  <c r="D117" i="7"/>
  <c r="D116" i="7"/>
  <c r="D115" i="7"/>
  <c r="D89" i="6"/>
  <c r="D88" i="6"/>
  <c r="D87" i="6"/>
  <c r="D86" i="6"/>
  <c r="D83" i="6"/>
  <c r="D82" i="6"/>
  <c r="D81" i="6"/>
  <c r="D80" i="6"/>
  <c r="D79" i="6"/>
  <c r="D78" i="6"/>
  <c r="D107" i="5"/>
  <c r="D106" i="5"/>
  <c r="D105" i="5"/>
  <c r="D104" i="5"/>
  <c r="D101" i="5"/>
  <c r="D100" i="5"/>
  <c r="D99" i="5"/>
  <c r="D98" i="5"/>
  <c r="D97" i="5"/>
  <c r="D96" i="5"/>
  <c r="D109" i="4"/>
  <c r="D108" i="4"/>
  <c r="D107" i="4"/>
  <c r="D106" i="4"/>
  <c r="D103" i="4"/>
  <c r="D102" i="4"/>
  <c r="D101" i="4"/>
  <c r="D100" i="4"/>
  <c r="D99" i="4"/>
  <c r="D98" i="4"/>
  <c r="D94" i="3"/>
  <c r="D93" i="3"/>
  <c r="D92" i="3"/>
  <c r="D91" i="3"/>
  <c r="D88" i="3"/>
  <c r="D87" i="3"/>
  <c r="D86" i="3"/>
  <c r="D85" i="3"/>
  <c r="D84" i="3"/>
  <c r="D83" i="3"/>
  <c r="D96" i="2"/>
  <c r="D95" i="2"/>
  <c r="D94" i="2"/>
  <c r="D93" i="2"/>
  <c r="D90" i="2"/>
  <c r="D89" i="2"/>
  <c r="D88" i="2"/>
  <c r="D87" i="2"/>
  <c r="D86" i="2"/>
  <c r="D85" i="2"/>
  <c r="D95" i="1"/>
  <c r="D94" i="1"/>
  <c r="D93" i="1"/>
  <c r="D92" i="1"/>
  <c r="D89" i="1"/>
  <c r="D88" i="1"/>
  <c r="D87" i="1"/>
  <c r="D86" i="1"/>
  <c r="D85" i="1"/>
  <c r="D84" i="1"/>
</calcChain>
</file>

<file path=xl/sharedStrings.xml><?xml version="1.0" encoding="utf-8"?>
<sst xmlns="http://schemas.openxmlformats.org/spreadsheetml/2006/main" count="53400" uniqueCount="4962">
  <si>
    <t>Período</t>
  </si>
  <si>
    <t>Hora</t>
  </si>
  <si>
    <t>Placar</t>
  </si>
  <si>
    <t>Diferença (MIN - C R)</t>
  </si>
  <si>
    <t>1</t>
  </si>
  <si>
    <t>09:31</t>
  </si>
  <si>
    <t>2-0</t>
  </si>
  <si>
    <t>09:09</t>
  </si>
  <si>
    <t>2-2</t>
  </si>
  <si>
    <t>08:13</t>
  </si>
  <si>
    <t>2-4</t>
  </si>
  <si>
    <t>07:58</t>
  </si>
  <si>
    <t>4-4</t>
  </si>
  <si>
    <t>06:46</t>
  </si>
  <si>
    <t>4-7</t>
  </si>
  <si>
    <t>06:00</t>
  </si>
  <si>
    <t>6-7</t>
  </si>
  <si>
    <t>05:36</t>
  </si>
  <si>
    <t>6-8</t>
  </si>
  <si>
    <t>05:06</t>
  </si>
  <si>
    <t>8-8</t>
  </si>
  <si>
    <t>04:30</t>
  </si>
  <si>
    <t>10-8</t>
  </si>
  <si>
    <t>03:42</t>
  </si>
  <si>
    <t>12-8</t>
  </si>
  <si>
    <t>03:12</t>
  </si>
  <si>
    <t>12-9</t>
  </si>
  <si>
    <t>02:11</t>
  </si>
  <si>
    <t>12-11</t>
  </si>
  <si>
    <t>01:49</t>
  </si>
  <si>
    <t>12-13</t>
  </si>
  <si>
    <t>01:27</t>
  </si>
  <si>
    <t>14-13</t>
  </si>
  <si>
    <t>00:36</t>
  </si>
  <si>
    <t>14-14</t>
  </si>
  <si>
    <t>14-15</t>
  </si>
  <si>
    <t>00:22</t>
  </si>
  <si>
    <t>14-18</t>
  </si>
  <si>
    <t>00:02</t>
  </si>
  <si>
    <t>17-18</t>
  </si>
  <si>
    <t>2</t>
  </si>
  <si>
    <t>09:49</t>
  </si>
  <si>
    <t>17-21</t>
  </si>
  <si>
    <t>08:57</t>
  </si>
  <si>
    <t>19-21</t>
  </si>
  <si>
    <t>08:49</t>
  </si>
  <si>
    <t>19-24</t>
  </si>
  <si>
    <t>08:26</t>
  </si>
  <si>
    <t>21-24</t>
  </si>
  <si>
    <t>08:09</t>
  </si>
  <si>
    <t>21-26</t>
  </si>
  <si>
    <t>07:37</t>
  </si>
  <si>
    <t>22-26</t>
  </si>
  <si>
    <t>23-26</t>
  </si>
  <si>
    <t>06:37</t>
  </si>
  <si>
    <t>23-29</t>
  </si>
  <si>
    <t>06:16</t>
  </si>
  <si>
    <t>25-29</t>
  </si>
  <si>
    <t>05:46</t>
  </si>
  <si>
    <t>28-29</t>
  </si>
  <si>
    <t>05:12</t>
  </si>
  <si>
    <t>28-31</t>
  </si>
  <si>
    <t>05:04</t>
  </si>
  <si>
    <t>30-31</t>
  </si>
  <si>
    <t>03:58</t>
  </si>
  <si>
    <t>30-32</t>
  </si>
  <si>
    <t>30-33</t>
  </si>
  <si>
    <t>03:28</t>
  </si>
  <si>
    <t>30-35</t>
  </si>
  <si>
    <t>30-36</t>
  </si>
  <si>
    <t>02:42</t>
  </si>
  <si>
    <t>30-38</t>
  </si>
  <si>
    <t>01:16</t>
  </si>
  <si>
    <t>32-38</t>
  </si>
  <si>
    <t>00:54</t>
  </si>
  <si>
    <t>32-41</t>
  </si>
  <si>
    <t>00:28</t>
  </si>
  <si>
    <t>32-42</t>
  </si>
  <si>
    <t>00:01</t>
  </si>
  <si>
    <t>34-42</t>
  </si>
  <si>
    <t>3</t>
  </si>
  <si>
    <t>09:14</t>
  </si>
  <si>
    <t>34-44</t>
  </si>
  <si>
    <t>08:48</t>
  </si>
  <si>
    <t>36-44</t>
  </si>
  <si>
    <t>07:59</t>
  </si>
  <si>
    <t>36-45</t>
  </si>
  <si>
    <t>07:47</t>
  </si>
  <si>
    <t>38-45</t>
  </si>
  <si>
    <t>07:29</t>
  </si>
  <si>
    <t>38-46</t>
  </si>
  <si>
    <t>06:32</t>
  </si>
  <si>
    <t>41-46</t>
  </si>
  <si>
    <t>05:48</t>
  </si>
  <si>
    <t>42-46</t>
  </si>
  <si>
    <t>05:29</t>
  </si>
  <si>
    <t>42-47</t>
  </si>
  <si>
    <t>05:20</t>
  </si>
  <si>
    <t>42-50</t>
  </si>
  <si>
    <t>05:02</t>
  </si>
  <si>
    <t>44-50</t>
  </si>
  <si>
    <t>04:26</t>
  </si>
  <si>
    <t>44-51</t>
  </si>
  <si>
    <t>44-52</t>
  </si>
  <si>
    <t>04:06</t>
  </si>
  <si>
    <t>47-52</t>
  </si>
  <si>
    <t>03:49</t>
  </si>
  <si>
    <t>47-54</t>
  </si>
  <si>
    <t>03:48</t>
  </si>
  <si>
    <t>47-56</t>
  </si>
  <si>
    <t>03:24</t>
  </si>
  <si>
    <t>49-56</t>
  </si>
  <si>
    <t>03:08</t>
  </si>
  <si>
    <t>49-59</t>
  </si>
  <si>
    <t>02:50</t>
  </si>
  <si>
    <t>51-59</t>
  </si>
  <si>
    <t>02:21</t>
  </si>
  <si>
    <t>53-59</t>
  </si>
  <si>
    <t>01:42</t>
  </si>
  <si>
    <t>56-59</t>
  </si>
  <si>
    <t>01:19</t>
  </si>
  <si>
    <t>56-60</t>
  </si>
  <si>
    <t>56-62</t>
  </si>
  <si>
    <t>4</t>
  </si>
  <si>
    <t>09:41</t>
  </si>
  <si>
    <t>56-65</t>
  </si>
  <si>
    <t>09:27</t>
  </si>
  <si>
    <t>58-65</t>
  </si>
  <si>
    <t>09:04</t>
  </si>
  <si>
    <t>58-67</t>
  </si>
  <si>
    <t>08:45</t>
  </si>
  <si>
    <t>58-70</t>
  </si>
  <si>
    <t>07:14</t>
  </si>
  <si>
    <t>60-70</t>
  </si>
  <si>
    <t>61-70</t>
  </si>
  <si>
    <t>05:57</t>
  </si>
  <si>
    <t>61-72</t>
  </si>
  <si>
    <t>64-72</t>
  </si>
  <si>
    <t>05:32</t>
  </si>
  <si>
    <t>65-72</t>
  </si>
  <si>
    <t>05:03</t>
  </si>
  <si>
    <t>68-72</t>
  </si>
  <si>
    <t>03:34</t>
  </si>
  <si>
    <t>68-75</t>
  </si>
  <si>
    <t>02:55</t>
  </si>
  <si>
    <t>68-78</t>
  </si>
  <si>
    <t>02:30</t>
  </si>
  <si>
    <t>71-78</t>
  </si>
  <si>
    <t>02:13</t>
  </si>
  <si>
    <t>71-81</t>
  </si>
  <si>
    <t>71-82</t>
  </si>
  <si>
    <t>71-83</t>
  </si>
  <si>
    <t>01:21</t>
  </si>
  <si>
    <t>73-83</t>
  </si>
  <si>
    <t>00:25</t>
  </si>
  <si>
    <t>73-84</t>
  </si>
  <si>
    <t>73-85</t>
  </si>
  <si>
    <t>RESUMO ESTATÍSTICO</t>
  </si>
  <si>
    <t>Média Geral da Diferença</t>
  </si>
  <si>
    <t>Diferença Máxima</t>
  </si>
  <si>
    <t>Diferença Mínima</t>
  </si>
  <si>
    <t>Nº de cestas com MIN na frente</t>
  </si>
  <si>
    <t>Nº de cestas empatadas</t>
  </si>
  <si>
    <t>Nº de cestas com C R na frente</t>
  </si>
  <si>
    <t>MÉDIA DA DIFERENÇA POR PERÍODO</t>
  </si>
  <si>
    <t>Período 1</t>
  </si>
  <si>
    <t>Período 2</t>
  </si>
  <si>
    <t>Período 3</t>
  </si>
  <si>
    <t>Período 4</t>
  </si>
  <si>
    <t>Diferença (MIN - ESP)</t>
  </si>
  <si>
    <t>09:17</t>
  </si>
  <si>
    <t>3-0</t>
  </si>
  <si>
    <t>07:46</t>
  </si>
  <si>
    <t>3-1</t>
  </si>
  <si>
    <t>3-2</t>
  </si>
  <si>
    <t>07:24</t>
  </si>
  <si>
    <t>6-2</t>
  </si>
  <si>
    <t>06:45</t>
  </si>
  <si>
    <t>6-4</t>
  </si>
  <si>
    <t>06:17</t>
  </si>
  <si>
    <t>8-4</t>
  </si>
  <si>
    <t>05:52</t>
  </si>
  <si>
    <t>9-4</t>
  </si>
  <si>
    <t>10-4</t>
  </si>
  <si>
    <t>05:26</t>
  </si>
  <si>
    <t>10-6</t>
  </si>
  <si>
    <t>05:10</t>
  </si>
  <si>
    <t>13-6</t>
  </si>
  <si>
    <t>04:38</t>
  </si>
  <si>
    <t>16-6</t>
  </si>
  <si>
    <t>03:54</t>
  </si>
  <si>
    <t>16-8</t>
  </si>
  <si>
    <t>03:33</t>
  </si>
  <si>
    <t>18-8</t>
  </si>
  <si>
    <t>18-9</t>
  </si>
  <si>
    <t>18-10</t>
  </si>
  <si>
    <t>02:51</t>
  </si>
  <si>
    <t>18-13</t>
  </si>
  <si>
    <t>02:00</t>
  </si>
  <si>
    <t>20-13</t>
  </si>
  <si>
    <t>20-15</t>
  </si>
  <si>
    <t>22-15</t>
  </si>
  <si>
    <t>00:50</t>
  </si>
  <si>
    <t>24-15</t>
  </si>
  <si>
    <t>24-17</t>
  </si>
  <si>
    <t>08:44</t>
  </si>
  <si>
    <t>24-18</t>
  </si>
  <si>
    <t>24-19</t>
  </si>
  <si>
    <t>07:49</t>
  </si>
  <si>
    <t>25-19</t>
  </si>
  <si>
    <t>26-19</t>
  </si>
  <si>
    <t>07:34</t>
  </si>
  <si>
    <t>26-21</t>
  </si>
  <si>
    <t>06:18</t>
  </si>
  <si>
    <t>26-23</t>
  </si>
  <si>
    <t>05:40</t>
  </si>
  <si>
    <t>29-23</t>
  </si>
  <si>
    <t>05:19</t>
  </si>
  <si>
    <t>29-26</t>
  </si>
  <si>
    <t>04:58</t>
  </si>
  <si>
    <t>32-26</t>
  </si>
  <si>
    <t>04:45</t>
  </si>
  <si>
    <t>32-28</t>
  </si>
  <si>
    <t>03:59</t>
  </si>
  <si>
    <t>34-28</t>
  </si>
  <si>
    <t>03:19</t>
  </si>
  <si>
    <t>36-28</t>
  </si>
  <si>
    <t>36-30</t>
  </si>
  <si>
    <t>02:15</t>
  </si>
  <si>
    <t>36-32</t>
  </si>
  <si>
    <t>36-34</t>
  </si>
  <si>
    <t>01:36</t>
  </si>
  <si>
    <t>36-36</t>
  </si>
  <si>
    <t>00:49</t>
  </si>
  <si>
    <t>36-39</t>
  </si>
  <si>
    <t>00:06</t>
  </si>
  <si>
    <t>36-40</t>
  </si>
  <si>
    <t>09:45</t>
  </si>
  <si>
    <t>38-40</t>
  </si>
  <si>
    <t>09:28</t>
  </si>
  <si>
    <t>38-41</t>
  </si>
  <si>
    <t>38-42</t>
  </si>
  <si>
    <t>09:10</t>
  </si>
  <si>
    <t>41-42</t>
  </si>
  <si>
    <t>08:38</t>
  </si>
  <si>
    <t>42-42</t>
  </si>
  <si>
    <t>07:41</t>
  </si>
  <si>
    <t>42-43</t>
  </si>
  <si>
    <t>42-44</t>
  </si>
  <si>
    <t>42-45</t>
  </si>
  <si>
    <t>07:13</t>
  </si>
  <si>
    <t>43-45</t>
  </si>
  <si>
    <t>44-45</t>
  </si>
  <si>
    <t>45-45</t>
  </si>
  <si>
    <t>06:15</t>
  </si>
  <si>
    <t>45-48</t>
  </si>
  <si>
    <t>06:01</t>
  </si>
  <si>
    <t>46-48</t>
  </si>
  <si>
    <t>47-48</t>
  </si>
  <si>
    <t>05:51</t>
  </si>
  <si>
    <t>47-50</t>
  </si>
  <si>
    <t>04:32</t>
  </si>
  <si>
    <t>49-50</t>
  </si>
  <si>
    <t>04:19</t>
  </si>
  <si>
    <t>49-52</t>
  </si>
  <si>
    <t>49-55</t>
  </si>
  <si>
    <t>49-57</t>
  </si>
  <si>
    <t>02:19</t>
  </si>
  <si>
    <t>52-57</t>
  </si>
  <si>
    <t>09:16</t>
  </si>
  <si>
    <t>54-57</t>
  </si>
  <si>
    <t>08:51</t>
  </si>
  <si>
    <t>54-60</t>
  </si>
  <si>
    <t>08:34</t>
  </si>
  <si>
    <t>07:15</t>
  </si>
  <si>
    <t>06:54</t>
  </si>
  <si>
    <t>59-62</t>
  </si>
  <si>
    <t>06:33</t>
  </si>
  <si>
    <t>59-63</t>
  </si>
  <si>
    <t>59-64</t>
  </si>
  <si>
    <t>05:59</t>
  </si>
  <si>
    <t>61-64</t>
  </si>
  <si>
    <t>61-67</t>
  </si>
  <si>
    <t>61-69</t>
  </si>
  <si>
    <t>04:22</t>
  </si>
  <si>
    <t>03:32</t>
  </si>
  <si>
    <t>03:14</t>
  </si>
  <si>
    <t>64-75</t>
  </si>
  <si>
    <t>03:00</t>
  </si>
  <si>
    <t>67-75</t>
  </si>
  <si>
    <t>02:23</t>
  </si>
  <si>
    <t>67-77</t>
  </si>
  <si>
    <t>02:10</t>
  </si>
  <si>
    <t>70-77</t>
  </si>
  <si>
    <t>01:11</t>
  </si>
  <si>
    <t>72-77</t>
  </si>
  <si>
    <t>01:03</t>
  </si>
  <si>
    <t>72-78</t>
  </si>
  <si>
    <t>00:40</t>
  </si>
  <si>
    <t>72-79</t>
  </si>
  <si>
    <t>72-80</t>
  </si>
  <si>
    <t>00:31</t>
  </si>
  <si>
    <t>72-81</t>
  </si>
  <si>
    <t>Nº de cestas com ESP na frente</t>
  </si>
  <si>
    <t>Diferença (MIN - ZOP)</t>
  </si>
  <si>
    <t>08:18</t>
  </si>
  <si>
    <t>2-3</t>
  </si>
  <si>
    <t>06:40</t>
  </si>
  <si>
    <t>4-3</t>
  </si>
  <si>
    <t>4-5</t>
  </si>
  <si>
    <t>4-6</t>
  </si>
  <si>
    <t>7-6</t>
  </si>
  <si>
    <t>05:18</t>
  </si>
  <si>
    <t>04:49</t>
  </si>
  <si>
    <t>12-6</t>
  </si>
  <si>
    <t>04:11</t>
  </si>
  <si>
    <t>14-6</t>
  </si>
  <si>
    <t>03:21</t>
  </si>
  <si>
    <t>14-8</t>
  </si>
  <si>
    <t>03:05</t>
  </si>
  <si>
    <t>01:29</t>
  </si>
  <si>
    <t>16-10</t>
  </si>
  <si>
    <t>00:42</t>
  </si>
  <si>
    <t>19-10</t>
  </si>
  <si>
    <t>19-12</t>
  </si>
  <si>
    <t>09:30</t>
  </si>
  <si>
    <t>20-12</t>
  </si>
  <si>
    <t>21-12</t>
  </si>
  <si>
    <t>21-14</t>
  </si>
  <si>
    <t>08:28</t>
  </si>
  <si>
    <t>21-16</t>
  </si>
  <si>
    <t>21-18</t>
  </si>
  <si>
    <t>07:27</t>
  </si>
  <si>
    <t>06:42</t>
  </si>
  <si>
    <t>24-21</t>
  </si>
  <si>
    <t>06:04</t>
  </si>
  <si>
    <t>26-24</t>
  </si>
  <si>
    <t>04:08</t>
  </si>
  <si>
    <t>28-24</t>
  </si>
  <si>
    <t>04:00</t>
  </si>
  <si>
    <t>28-25</t>
  </si>
  <si>
    <t>03:35</t>
  </si>
  <si>
    <t>28-28</t>
  </si>
  <si>
    <t>30-28</t>
  </si>
  <si>
    <t>01:13</t>
  </si>
  <si>
    <t>31-31</t>
  </si>
  <si>
    <t>01:02</t>
  </si>
  <si>
    <t>33-31</t>
  </si>
  <si>
    <t>00:30</t>
  </si>
  <si>
    <t>34-31</t>
  </si>
  <si>
    <t>00:16</t>
  </si>
  <si>
    <t>34-33</t>
  </si>
  <si>
    <t>09:38</t>
  </si>
  <si>
    <t>36-33</t>
  </si>
  <si>
    <t>36-35</t>
  </si>
  <si>
    <t>07:56</t>
  </si>
  <si>
    <t>39-36</t>
  </si>
  <si>
    <t>07:42</t>
  </si>
  <si>
    <t>39-38</t>
  </si>
  <si>
    <t>07:30</t>
  </si>
  <si>
    <t>41-38</t>
  </si>
  <si>
    <t>07:03</t>
  </si>
  <si>
    <t>41-40</t>
  </si>
  <si>
    <t>06:20</t>
  </si>
  <si>
    <t>06:14</t>
  </si>
  <si>
    <t>44-42</t>
  </si>
  <si>
    <t>05:43</t>
  </si>
  <si>
    <t>44-44</t>
  </si>
  <si>
    <t>05:31</t>
  </si>
  <si>
    <t>47-44</t>
  </si>
  <si>
    <t>04:57</t>
  </si>
  <si>
    <t>47-45</t>
  </si>
  <si>
    <t>47-46</t>
  </si>
  <si>
    <t>49-46</t>
  </si>
  <si>
    <t>04:24</t>
  </si>
  <si>
    <t>49-48</t>
  </si>
  <si>
    <t>03:56</t>
  </si>
  <si>
    <t>49-51</t>
  </si>
  <si>
    <t>03:44</t>
  </si>
  <si>
    <t>52-51</t>
  </si>
  <si>
    <t>03:26</t>
  </si>
  <si>
    <t>52-53</t>
  </si>
  <si>
    <t>54-53</t>
  </si>
  <si>
    <t>55-53</t>
  </si>
  <si>
    <t>02:59</t>
  </si>
  <si>
    <t>55-55</t>
  </si>
  <si>
    <t>02:33</t>
  </si>
  <si>
    <t>57-55</t>
  </si>
  <si>
    <t>57-58</t>
  </si>
  <si>
    <t>01:50</t>
  </si>
  <si>
    <t>58-58</t>
  </si>
  <si>
    <t>59-58</t>
  </si>
  <si>
    <t>01:25</t>
  </si>
  <si>
    <t>61-58</t>
  </si>
  <si>
    <t>00:37</t>
  </si>
  <si>
    <t>63-58</t>
  </si>
  <si>
    <t>00:05</t>
  </si>
  <si>
    <t>66-58</t>
  </si>
  <si>
    <t>08:06</t>
  </si>
  <si>
    <t>68-58</t>
  </si>
  <si>
    <t>07:44</t>
  </si>
  <si>
    <t>68-60</t>
  </si>
  <si>
    <t>70-60</t>
  </si>
  <si>
    <t>70-61</t>
  </si>
  <si>
    <t>70-63</t>
  </si>
  <si>
    <t>05:55</t>
  </si>
  <si>
    <t>71-63</t>
  </si>
  <si>
    <t>72-63</t>
  </si>
  <si>
    <t>05:34</t>
  </si>
  <si>
    <t>72-65</t>
  </si>
  <si>
    <t>72-67</t>
  </si>
  <si>
    <t>03:38</t>
  </si>
  <si>
    <t>74-67</t>
  </si>
  <si>
    <t>75-67</t>
  </si>
  <si>
    <t>02:32</t>
  </si>
  <si>
    <t>76-67</t>
  </si>
  <si>
    <t>77-67</t>
  </si>
  <si>
    <t>02:07</t>
  </si>
  <si>
    <t>77-69</t>
  </si>
  <si>
    <t>77-72</t>
  </si>
  <si>
    <t>79-72</t>
  </si>
  <si>
    <t>80-72</t>
  </si>
  <si>
    <t>00:20</t>
  </si>
  <si>
    <t>81-72</t>
  </si>
  <si>
    <t>82-72</t>
  </si>
  <si>
    <t>Nº de cestas com ZOP na frente</t>
  </si>
  <si>
    <t>Diferença (MIN - FRA)</t>
  </si>
  <si>
    <t>09:06</t>
  </si>
  <si>
    <t>09:00</t>
  </si>
  <si>
    <t>5-3</t>
  </si>
  <si>
    <t>7-3</t>
  </si>
  <si>
    <t>06:57</t>
  </si>
  <si>
    <t>7-5</t>
  </si>
  <si>
    <t>05:53</t>
  </si>
  <si>
    <t>7-8</t>
  </si>
  <si>
    <t>04:51</t>
  </si>
  <si>
    <t>7-10</t>
  </si>
  <si>
    <t>04:35</t>
  </si>
  <si>
    <t>9-10</t>
  </si>
  <si>
    <t>11-10</t>
  </si>
  <si>
    <t>03:15</t>
  </si>
  <si>
    <t>11-13</t>
  </si>
  <si>
    <t>02:57</t>
  </si>
  <si>
    <t>13-13</t>
  </si>
  <si>
    <t>02:27</t>
  </si>
  <si>
    <t>13-15</t>
  </si>
  <si>
    <t>16-15</t>
  </si>
  <si>
    <t>16-17</t>
  </si>
  <si>
    <t>01:47</t>
  </si>
  <si>
    <t>19-17</t>
  </si>
  <si>
    <t>20-17</t>
  </si>
  <si>
    <t>00:07</t>
  </si>
  <si>
    <t>20-20</t>
  </si>
  <si>
    <t>09:43</t>
  </si>
  <si>
    <t>20-22</t>
  </si>
  <si>
    <t>23-22</t>
  </si>
  <si>
    <t>23-25</t>
  </si>
  <si>
    <t>25-25</t>
  </si>
  <si>
    <t>07:38</t>
  </si>
  <si>
    <t>25-28</t>
  </si>
  <si>
    <t>06:47</t>
  </si>
  <si>
    <t>25-30</t>
  </si>
  <si>
    <t>06:31</t>
  </si>
  <si>
    <t>28-30</t>
  </si>
  <si>
    <t>30-30</t>
  </si>
  <si>
    <t>05:37</t>
  </si>
  <si>
    <t>32-32</t>
  </si>
  <si>
    <t>03:30</t>
  </si>
  <si>
    <t>34-32</t>
  </si>
  <si>
    <t>03:22</t>
  </si>
  <si>
    <t>34-34</t>
  </si>
  <si>
    <t>03:07</t>
  </si>
  <si>
    <t>02:40</t>
  </si>
  <si>
    <t>02:26</t>
  </si>
  <si>
    <t>38-36</t>
  </si>
  <si>
    <t>02:14</t>
  </si>
  <si>
    <t>38-37</t>
  </si>
  <si>
    <t>01:59</t>
  </si>
  <si>
    <t>41-37</t>
  </si>
  <si>
    <t>41-39</t>
  </si>
  <si>
    <t>41-41</t>
  </si>
  <si>
    <t>00:51</t>
  </si>
  <si>
    <t>43-42</t>
  </si>
  <si>
    <t>00:39</t>
  </si>
  <si>
    <t>45-42</t>
  </si>
  <si>
    <t>48-42</t>
  </si>
  <si>
    <t>48-44</t>
  </si>
  <si>
    <t>09:02</t>
  </si>
  <si>
    <t>50-44</t>
  </si>
  <si>
    <t>50-46</t>
  </si>
  <si>
    <t>08:33</t>
  </si>
  <si>
    <t>53-46</t>
  </si>
  <si>
    <t>55-46</t>
  </si>
  <si>
    <t>55-49</t>
  </si>
  <si>
    <t>06:58</t>
  </si>
  <si>
    <t>55-50</t>
  </si>
  <si>
    <t>55-51</t>
  </si>
  <si>
    <t>06:23</t>
  </si>
  <si>
    <t>58-55</t>
  </si>
  <si>
    <t>05:16</t>
  </si>
  <si>
    <t>60-55</t>
  </si>
  <si>
    <t>61-55</t>
  </si>
  <si>
    <t>61-57</t>
  </si>
  <si>
    <t>02:24</t>
  </si>
  <si>
    <t>61-60</t>
  </si>
  <si>
    <t>01:14</t>
  </si>
  <si>
    <t>63-60</t>
  </si>
  <si>
    <t>63-63</t>
  </si>
  <si>
    <t>00:09</t>
  </si>
  <si>
    <t>65-63</t>
  </si>
  <si>
    <t>65-66</t>
  </si>
  <si>
    <t>08:36</t>
  </si>
  <si>
    <t>65-68</t>
  </si>
  <si>
    <t>67-68</t>
  </si>
  <si>
    <t>07:18</t>
  </si>
  <si>
    <t>67-70</t>
  </si>
  <si>
    <t>69-70</t>
  </si>
  <si>
    <t>06:02</t>
  </si>
  <si>
    <t>69-72</t>
  </si>
  <si>
    <t>04:17</t>
  </si>
  <si>
    <t>69-73</t>
  </si>
  <si>
    <t>69-74</t>
  </si>
  <si>
    <t>72-74</t>
  </si>
  <si>
    <t>72-75</t>
  </si>
  <si>
    <t>03:11</t>
  </si>
  <si>
    <t>73-75</t>
  </si>
  <si>
    <t>74-75</t>
  </si>
  <si>
    <t>74-76</t>
  </si>
  <si>
    <t>76-76</t>
  </si>
  <si>
    <t>01:53</t>
  </si>
  <si>
    <t>76-78</t>
  </si>
  <si>
    <t>01:09</t>
  </si>
  <si>
    <t>77-78</t>
  </si>
  <si>
    <t>78-78</t>
  </si>
  <si>
    <t>00:59</t>
  </si>
  <si>
    <t>78-79</t>
  </si>
  <si>
    <t>78-81</t>
  </si>
  <si>
    <t>00:19</t>
  </si>
  <si>
    <t>81-81</t>
  </si>
  <si>
    <t>04:31</t>
  </si>
  <si>
    <t>82-81</t>
  </si>
  <si>
    <t>04:13</t>
  </si>
  <si>
    <t>82-84</t>
  </si>
  <si>
    <t>85-84</t>
  </si>
  <si>
    <t>03:17</t>
  </si>
  <si>
    <t>85-87</t>
  </si>
  <si>
    <t>02:49</t>
  </si>
  <si>
    <t>85-88</t>
  </si>
  <si>
    <t>85-89</t>
  </si>
  <si>
    <t>87-89</t>
  </si>
  <si>
    <t>01:30</t>
  </si>
  <si>
    <t>87-91</t>
  </si>
  <si>
    <t>01:22</t>
  </si>
  <si>
    <t>89-91</t>
  </si>
  <si>
    <t>01:05</t>
  </si>
  <si>
    <t>89-93</t>
  </si>
  <si>
    <t>00:43</t>
  </si>
  <si>
    <t>90-93</t>
  </si>
  <si>
    <t>92-93</t>
  </si>
  <si>
    <t>00:03</t>
  </si>
  <si>
    <t>92-94</t>
  </si>
  <si>
    <t>Nº de cestas com FRA na frente</t>
  </si>
  <si>
    <t>Diferença (MIN - CAX)</t>
  </si>
  <si>
    <t>09:48</t>
  </si>
  <si>
    <t>4-2</t>
  </si>
  <si>
    <t>08:41</t>
  </si>
  <si>
    <t>07:12</t>
  </si>
  <si>
    <t>7-7</t>
  </si>
  <si>
    <t>07:00</t>
  </si>
  <si>
    <t>9-7</t>
  </si>
  <si>
    <t>06:51</t>
  </si>
  <si>
    <t>9-9</t>
  </si>
  <si>
    <t>06:25</t>
  </si>
  <si>
    <t>11-9</t>
  </si>
  <si>
    <t>11-11</t>
  </si>
  <si>
    <t>11-12</t>
  </si>
  <si>
    <t>11-15</t>
  </si>
  <si>
    <t>03:40</t>
  </si>
  <si>
    <t>13-18</t>
  </si>
  <si>
    <t>02:28</t>
  </si>
  <si>
    <t>15-18</t>
  </si>
  <si>
    <t>01:43</t>
  </si>
  <si>
    <t>00:47</t>
  </si>
  <si>
    <t>19-18</t>
  </si>
  <si>
    <t>00:04</t>
  </si>
  <si>
    <t>19-19</t>
  </si>
  <si>
    <t>22-19</t>
  </si>
  <si>
    <t>22-21</t>
  </si>
  <si>
    <t>07:43</t>
  </si>
  <si>
    <t>22-23</t>
  </si>
  <si>
    <t>07:17</t>
  </si>
  <si>
    <t>24-23</t>
  </si>
  <si>
    <t>24-26</t>
  </si>
  <si>
    <t>25-26</t>
  </si>
  <si>
    <t>05:24</t>
  </si>
  <si>
    <t>25-27</t>
  </si>
  <si>
    <t>05:07</t>
  </si>
  <si>
    <t>26-28</t>
  </si>
  <si>
    <t>04:47</t>
  </si>
  <si>
    <t>26-30</t>
  </si>
  <si>
    <t>04:20</t>
  </si>
  <si>
    <t>26-33</t>
  </si>
  <si>
    <t>28-33</t>
  </si>
  <si>
    <t>28-34</t>
  </si>
  <si>
    <t>28-35</t>
  </si>
  <si>
    <t>03:27</t>
  </si>
  <si>
    <t>29-35</t>
  </si>
  <si>
    <t>03:06</t>
  </si>
  <si>
    <t>29-37</t>
  </si>
  <si>
    <t>32-37</t>
  </si>
  <si>
    <t>32-40</t>
  </si>
  <si>
    <t>01:58</t>
  </si>
  <si>
    <t>01:24</t>
  </si>
  <si>
    <t>34-41</t>
  </si>
  <si>
    <t>34-43</t>
  </si>
  <si>
    <t>36-43</t>
  </si>
  <si>
    <t>08:24</t>
  </si>
  <si>
    <t>39-43</t>
  </si>
  <si>
    <t>07:54</t>
  </si>
  <si>
    <t>39-46</t>
  </si>
  <si>
    <t>39-48</t>
  </si>
  <si>
    <t>07:05</t>
  </si>
  <si>
    <t>42-48</t>
  </si>
  <si>
    <t>06:34</t>
  </si>
  <si>
    <t>44-48</t>
  </si>
  <si>
    <t>06:09</t>
  </si>
  <si>
    <t>44-49</t>
  </si>
  <si>
    <t>46-51</t>
  </si>
  <si>
    <t>04:44</t>
  </si>
  <si>
    <t>02:58</t>
  </si>
  <si>
    <t>52-54</t>
  </si>
  <si>
    <t>02:34</t>
  </si>
  <si>
    <t>52-56</t>
  </si>
  <si>
    <t>54-56</t>
  </si>
  <si>
    <t>00:53</t>
  </si>
  <si>
    <t>57-56</t>
  </si>
  <si>
    <t>59-56</t>
  </si>
  <si>
    <t>62-56</t>
  </si>
  <si>
    <t>62-58</t>
  </si>
  <si>
    <t>62-60</t>
  </si>
  <si>
    <t>64-60</t>
  </si>
  <si>
    <t>07:22</t>
  </si>
  <si>
    <t>64-62</t>
  </si>
  <si>
    <t>07:02</t>
  </si>
  <si>
    <t>66-62</t>
  </si>
  <si>
    <t>06:38</t>
  </si>
  <si>
    <t>66-64</t>
  </si>
  <si>
    <t>68-64</t>
  </si>
  <si>
    <t>06:03</t>
  </si>
  <si>
    <t>68-65</t>
  </si>
  <si>
    <t>68-66</t>
  </si>
  <si>
    <t>05:44</t>
  </si>
  <si>
    <t>68-67</t>
  </si>
  <si>
    <t>68-68</t>
  </si>
  <si>
    <t>05:28</t>
  </si>
  <si>
    <t>69-68</t>
  </si>
  <si>
    <t>70-68</t>
  </si>
  <si>
    <t>70-70</t>
  </si>
  <si>
    <t>70-71</t>
  </si>
  <si>
    <t>71-71</t>
  </si>
  <si>
    <t>72-71</t>
  </si>
  <si>
    <t>04:25</t>
  </si>
  <si>
    <t>72-73</t>
  </si>
  <si>
    <t>04:12</t>
  </si>
  <si>
    <t>73-73</t>
  </si>
  <si>
    <t>74-73</t>
  </si>
  <si>
    <t>76-73</t>
  </si>
  <si>
    <t>02:48</t>
  </si>
  <si>
    <t>76-74</t>
  </si>
  <si>
    <t>77-74</t>
  </si>
  <si>
    <t>78-74</t>
  </si>
  <si>
    <t>02:06</t>
  </si>
  <si>
    <t>78-76</t>
  </si>
  <si>
    <t>01:06</t>
  </si>
  <si>
    <t>80-76</t>
  </si>
  <si>
    <t>00:55</t>
  </si>
  <si>
    <t>81-76</t>
  </si>
  <si>
    <t>82-76</t>
  </si>
  <si>
    <t>83-76</t>
  </si>
  <si>
    <t>84-76</t>
  </si>
  <si>
    <t>84-77</t>
  </si>
  <si>
    <t>00:34</t>
  </si>
  <si>
    <t>84-78</t>
  </si>
  <si>
    <t>00:26</t>
  </si>
  <si>
    <t>85-78</t>
  </si>
  <si>
    <t>87-78</t>
  </si>
  <si>
    <t>87-81</t>
  </si>
  <si>
    <t>Nº de cestas com CAX na frente</t>
  </si>
  <si>
    <t>Diferença (MIN - UNC)</t>
  </si>
  <si>
    <t>09:08</t>
  </si>
  <si>
    <t>6-0</t>
  </si>
  <si>
    <t>08:19</t>
  </si>
  <si>
    <t>6-3</t>
  </si>
  <si>
    <t>08:01</t>
  </si>
  <si>
    <t>8-3</t>
  </si>
  <si>
    <t>8-5</t>
  </si>
  <si>
    <t>8-7</t>
  </si>
  <si>
    <t>8-9</t>
  </si>
  <si>
    <t>05:35</t>
  </si>
  <si>
    <t>10-9</t>
  </si>
  <si>
    <t>04:50</t>
  </si>
  <si>
    <t>03:55</t>
  </si>
  <si>
    <t>03:29</t>
  </si>
  <si>
    <t>13-16</t>
  </si>
  <si>
    <t>03:09</t>
  </si>
  <si>
    <t>15-16</t>
  </si>
  <si>
    <t>02:44</t>
  </si>
  <si>
    <t>17-16</t>
  </si>
  <si>
    <t>19-16</t>
  </si>
  <si>
    <t>01:55</t>
  </si>
  <si>
    <t>01:17</t>
  </si>
  <si>
    <t>21-20</t>
  </si>
  <si>
    <t>23-20</t>
  </si>
  <si>
    <t>25-20</t>
  </si>
  <si>
    <t>09:36</t>
  </si>
  <si>
    <t>27-20</t>
  </si>
  <si>
    <t>09:19</t>
  </si>
  <si>
    <t>27-23</t>
  </si>
  <si>
    <t>27-26</t>
  </si>
  <si>
    <t>08:32</t>
  </si>
  <si>
    <t>30-26</t>
  </si>
  <si>
    <t>08:05</t>
  </si>
  <si>
    <t>30-27</t>
  </si>
  <si>
    <t>07:48</t>
  </si>
  <si>
    <t>07:21</t>
  </si>
  <si>
    <t>32-31</t>
  </si>
  <si>
    <t>05:23</t>
  </si>
  <si>
    <t>35-31</t>
  </si>
  <si>
    <t>35-33</t>
  </si>
  <si>
    <t>04:09</t>
  </si>
  <si>
    <t>35-35</t>
  </si>
  <si>
    <t>35-37</t>
  </si>
  <si>
    <t>01:31</t>
  </si>
  <si>
    <t>40-40</t>
  </si>
  <si>
    <t>42-40</t>
  </si>
  <si>
    <t>43-40</t>
  </si>
  <si>
    <t>45-44</t>
  </si>
  <si>
    <t>06:21</t>
  </si>
  <si>
    <t>45-46</t>
  </si>
  <si>
    <t>45-49</t>
  </si>
  <si>
    <t>05:05</t>
  </si>
  <si>
    <t>46-49</t>
  </si>
  <si>
    <t>47-49</t>
  </si>
  <si>
    <t>04:16</t>
  </si>
  <si>
    <t>48-49</t>
  </si>
  <si>
    <t>49-49</t>
  </si>
  <si>
    <t>04:05</t>
  </si>
  <si>
    <t>03:41</t>
  </si>
  <si>
    <t>52-52</t>
  </si>
  <si>
    <t>03:04</t>
  </si>
  <si>
    <t>52-55</t>
  </si>
  <si>
    <t>54-55</t>
  </si>
  <si>
    <t>56-55</t>
  </si>
  <si>
    <t>56-57</t>
  </si>
  <si>
    <t>56-58</t>
  </si>
  <si>
    <t>59-60</t>
  </si>
  <si>
    <t>59-61</t>
  </si>
  <si>
    <t>08:56</t>
  </si>
  <si>
    <t>61-63</t>
  </si>
  <si>
    <t>07:11</t>
  </si>
  <si>
    <t>66-63</t>
  </si>
  <si>
    <t>68-63</t>
  </si>
  <si>
    <t>04:34</t>
  </si>
  <si>
    <t>71-66</t>
  </si>
  <si>
    <t>04:01</t>
  </si>
  <si>
    <t>73-66</t>
  </si>
  <si>
    <t>03:25</t>
  </si>
  <si>
    <t>75-66</t>
  </si>
  <si>
    <t>75-69</t>
  </si>
  <si>
    <t>75-72</t>
  </si>
  <si>
    <t>00:17</t>
  </si>
  <si>
    <t>79-75</t>
  </si>
  <si>
    <t>00:12</t>
  </si>
  <si>
    <t>80-75</t>
  </si>
  <si>
    <t>81-75</t>
  </si>
  <si>
    <t>Nº de cestas com UNC na frente</t>
  </si>
  <si>
    <t>Diferença (MIN - CER)</t>
  </si>
  <si>
    <t>08:58</t>
  </si>
  <si>
    <t>07:53</t>
  </si>
  <si>
    <t>06:28</t>
  </si>
  <si>
    <t>9-3</t>
  </si>
  <si>
    <t>10-3</t>
  </si>
  <si>
    <t>12-3</t>
  </si>
  <si>
    <t>12-5</t>
  </si>
  <si>
    <t>12-7</t>
  </si>
  <si>
    <t>13-8</t>
  </si>
  <si>
    <t>15-8</t>
  </si>
  <si>
    <t>18-11</t>
  </si>
  <si>
    <t>02:01</t>
  </si>
  <si>
    <t>18-16</t>
  </si>
  <si>
    <t>20-16</t>
  </si>
  <si>
    <t>20-18</t>
  </si>
  <si>
    <t>20-19</t>
  </si>
  <si>
    <t>00:23</t>
  </si>
  <si>
    <t>20-21</t>
  </si>
  <si>
    <t>09:46</t>
  </si>
  <si>
    <t>20-24</t>
  </si>
  <si>
    <t>08:25</t>
  </si>
  <si>
    <t>20-27</t>
  </si>
  <si>
    <t>23-27</t>
  </si>
  <si>
    <t>07:31</t>
  </si>
  <si>
    <t>23-30</t>
  </si>
  <si>
    <t>05:56</t>
  </si>
  <si>
    <t>26-35</t>
  </si>
  <si>
    <t>05:39</t>
  </si>
  <si>
    <t>04:23</t>
  </si>
  <si>
    <t>28-37</t>
  </si>
  <si>
    <t>04:14</t>
  </si>
  <si>
    <t>28-39</t>
  </si>
  <si>
    <t>30-39</t>
  </si>
  <si>
    <t>30-40</t>
  </si>
  <si>
    <t>30-41</t>
  </si>
  <si>
    <t>02:53</t>
  </si>
  <si>
    <t>02:29</t>
  </si>
  <si>
    <t>32-44</t>
  </si>
  <si>
    <t>01:34</t>
  </si>
  <si>
    <t>36-46</t>
  </si>
  <si>
    <t>00:00</t>
  </si>
  <si>
    <t>40-46</t>
  </si>
  <si>
    <t>09:34</t>
  </si>
  <si>
    <t>40-48</t>
  </si>
  <si>
    <t>41-48</t>
  </si>
  <si>
    <t>43-48</t>
  </si>
  <si>
    <t>08:46</t>
  </si>
  <si>
    <t>43-51</t>
  </si>
  <si>
    <t>43-52</t>
  </si>
  <si>
    <t>43-53</t>
  </si>
  <si>
    <t>07:50</t>
  </si>
  <si>
    <t>46-53</t>
  </si>
  <si>
    <t>46-54</t>
  </si>
  <si>
    <t>46-55</t>
  </si>
  <si>
    <t>46-58</t>
  </si>
  <si>
    <t>06:27</t>
  </si>
  <si>
    <t>48-58</t>
  </si>
  <si>
    <t>06:06</t>
  </si>
  <si>
    <t>50-58</t>
  </si>
  <si>
    <t>05:49</t>
  </si>
  <si>
    <t>52-58</t>
  </si>
  <si>
    <t>55-58</t>
  </si>
  <si>
    <t>55-59</t>
  </si>
  <si>
    <t>57-59</t>
  </si>
  <si>
    <t>59-59</t>
  </si>
  <si>
    <t>60-61</t>
  </si>
  <si>
    <t>61-61</t>
  </si>
  <si>
    <t>63-64</t>
  </si>
  <si>
    <t>02:41</t>
  </si>
  <si>
    <t>63-67</t>
  </si>
  <si>
    <t>66-67</t>
  </si>
  <si>
    <t>66-69</t>
  </si>
  <si>
    <t>68-69</t>
  </si>
  <si>
    <t>68-70</t>
  </si>
  <si>
    <t>68-71</t>
  </si>
  <si>
    <t>68-74</t>
  </si>
  <si>
    <t>70-74</t>
  </si>
  <si>
    <t>70-76</t>
  </si>
  <si>
    <t>09:50</t>
  </si>
  <si>
    <t>70-79</t>
  </si>
  <si>
    <t>09:24</t>
  </si>
  <si>
    <t>73-79</t>
  </si>
  <si>
    <t>08:30</t>
  </si>
  <si>
    <t>76-79</t>
  </si>
  <si>
    <t>76-82</t>
  </si>
  <si>
    <t>07:45</t>
  </si>
  <si>
    <t>76-84</t>
  </si>
  <si>
    <t>79-84</t>
  </si>
  <si>
    <t>07:04</t>
  </si>
  <si>
    <t>81-84</t>
  </si>
  <si>
    <t>81-87</t>
  </si>
  <si>
    <t>06:10</t>
  </si>
  <si>
    <t>83-87</t>
  </si>
  <si>
    <t>05:25</t>
  </si>
  <si>
    <t>87-87</t>
  </si>
  <si>
    <t>05:01</t>
  </si>
  <si>
    <t>87-90</t>
  </si>
  <si>
    <t>04:42</t>
  </si>
  <si>
    <t>89-90</t>
  </si>
  <si>
    <t>02:38</t>
  </si>
  <si>
    <t>01:54</t>
  </si>
  <si>
    <t>92-91</t>
  </si>
  <si>
    <t>94-91</t>
  </si>
  <si>
    <t>00:56</t>
  </si>
  <si>
    <t>94-94</t>
  </si>
  <si>
    <t>96-94</t>
  </si>
  <si>
    <t>97-94</t>
  </si>
  <si>
    <t>97-95</t>
  </si>
  <si>
    <t>97-96</t>
  </si>
  <si>
    <t>97-97</t>
  </si>
  <si>
    <t>04:03</t>
  </si>
  <si>
    <t>99-97</t>
  </si>
  <si>
    <t>100-97</t>
  </si>
  <si>
    <t>03:39</t>
  </si>
  <si>
    <t>100-100</t>
  </si>
  <si>
    <t>101-100</t>
  </si>
  <si>
    <t>102-100</t>
  </si>
  <si>
    <t>02:31</t>
  </si>
  <si>
    <t>103-100</t>
  </si>
  <si>
    <t>02:02</t>
  </si>
  <si>
    <t>106-100</t>
  </si>
  <si>
    <t>01:41</t>
  </si>
  <si>
    <t>107-100</t>
  </si>
  <si>
    <t>01:01</t>
  </si>
  <si>
    <t>109-100</t>
  </si>
  <si>
    <t>00:24</t>
  </si>
  <si>
    <t>109-102</t>
  </si>
  <si>
    <t>112-102</t>
  </si>
  <si>
    <t>Nº de cestas com CER na frente</t>
  </si>
  <si>
    <t>Diferença (MIN - BRA)</t>
  </si>
  <si>
    <t>09:47</t>
  </si>
  <si>
    <t>0-2</t>
  </si>
  <si>
    <t>0-5</t>
  </si>
  <si>
    <t>3-5</t>
  </si>
  <si>
    <t>3-7</t>
  </si>
  <si>
    <t>07:36</t>
  </si>
  <si>
    <t>5-7</t>
  </si>
  <si>
    <t>06:41</t>
  </si>
  <si>
    <t>8-10</t>
  </si>
  <si>
    <t>06:24</t>
  </si>
  <si>
    <t>12-10</t>
  </si>
  <si>
    <t>13-10</t>
  </si>
  <si>
    <t>13-12</t>
  </si>
  <si>
    <t>15-12</t>
  </si>
  <si>
    <t>15-14</t>
  </si>
  <si>
    <t>04:04</t>
  </si>
  <si>
    <t>23-16</t>
  </si>
  <si>
    <t>03:10</t>
  </si>
  <si>
    <t>23-19</t>
  </si>
  <si>
    <t>25-22</t>
  </si>
  <si>
    <t>00:52</t>
  </si>
  <si>
    <t>27-22</t>
  </si>
  <si>
    <t>27-24</t>
  </si>
  <si>
    <t>00:21</t>
  </si>
  <si>
    <t>29-24</t>
  </si>
  <si>
    <t>09:11</t>
  </si>
  <si>
    <t>09:03</t>
  </si>
  <si>
    <t>31-26</t>
  </si>
  <si>
    <t>08:12</t>
  </si>
  <si>
    <t>31-29</t>
  </si>
  <si>
    <t>06:43</t>
  </si>
  <si>
    <t>33-29</t>
  </si>
  <si>
    <t>36-31</t>
  </si>
  <si>
    <t>37-31</t>
  </si>
  <si>
    <t>04:46</t>
  </si>
  <si>
    <t>39-31</t>
  </si>
  <si>
    <t>04:27</t>
  </si>
  <si>
    <t>39-33</t>
  </si>
  <si>
    <t>41-33</t>
  </si>
  <si>
    <t>42-33</t>
  </si>
  <si>
    <t>43-33</t>
  </si>
  <si>
    <t>46-33</t>
  </si>
  <si>
    <t>46-35</t>
  </si>
  <si>
    <t>48-35</t>
  </si>
  <si>
    <t>49-35</t>
  </si>
  <si>
    <t>50-35</t>
  </si>
  <si>
    <t>52-35</t>
  </si>
  <si>
    <t>08:02</t>
  </si>
  <si>
    <t>55-35</t>
  </si>
  <si>
    <t>57-35</t>
  </si>
  <si>
    <t>58-35</t>
  </si>
  <si>
    <t>58-38</t>
  </si>
  <si>
    <t>60-38</t>
  </si>
  <si>
    <t>60-40</t>
  </si>
  <si>
    <t>04:48</t>
  </si>
  <si>
    <t>60-42</t>
  </si>
  <si>
    <t>62-42</t>
  </si>
  <si>
    <t>62-44</t>
  </si>
  <si>
    <t>62-45</t>
  </si>
  <si>
    <t>64-45</t>
  </si>
  <si>
    <t>64-46</t>
  </si>
  <si>
    <t>64-47</t>
  </si>
  <si>
    <t>66-47</t>
  </si>
  <si>
    <t>66-49</t>
  </si>
  <si>
    <t>68-49</t>
  </si>
  <si>
    <t>00:29</t>
  </si>
  <si>
    <t>70-49</t>
  </si>
  <si>
    <t>70-51</t>
  </si>
  <si>
    <t>72-51</t>
  </si>
  <si>
    <t>72-53</t>
  </si>
  <si>
    <t>74-53</t>
  </si>
  <si>
    <t>74-56</t>
  </si>
  <si>
    <t>76-56</t>
  </si>
  <si>
    <t>76-58</t>
  </si>
  <si>
    <t>77-58</t>
  </si>
  <si>
    <t>79-58</t>
  </si>
  <si>
    <t>82-58</t>
  </si>
  <si>
    <t>03:45</t>
  </si>
  <si>
    <t>82-61</t>
  </si>
  <si>
    <t>82-63</t>
  </si>
  <si>
    <t>03:13</t>
  </si>
  <si>
    <t>82-65</t>
  </si>
  <si>
    <t>82-68</t>
  </si>
  <si>
    <t>02:36</t>
  </si>
  <si>
    <t>82-69</t>
  </si>
  <si>
    <t>82-70</t>
  </si>
  <si>
    <t>83-70</t>
  </si>
  <si>
    <t>84-70</t>
  </si>
  <si>
    <t>84-73</t>
  </si>
  <si>
    <t>01:26</t>
  </si>
  <si>
    <t>86-73</t>
  </si>
  <si>
    <t>87-73</t>
  </si>
  <si>
    <t>00:57</t>
  </si>
  <si>
    <t>90-73</t>
  </si>
  <si>
    <t>92-73</t>
  </si>
  <si>
    <t>00:13</t>
  </si>
  <si>
    <t>92-74</t>
  </si>
  <si>
    <t>94-74</t>
  </si>
  <si>
    <t>Nº de cestas com BRA na frente</t>
  </si>
  <si>
    <t>Diferença (MIN - SJB)</t>
  </si>
  <si>
    <t>09:29</t>
  </si>
  <si>
    <t>0-3</t>
  </si>
  <si>
    <t>08:53</t>
  </si>
  <si>
    <t>08:04</t>
  </si>
  <si>
    <t>06:48</t>
  </si>
  <si>
    <t>9-5</t>
  </si>
  <si>
    <t>06:08</t>
  </si>
  <si>
    <t>15-7</t>
  </si>
  <si>
    <t>17-8</t>
  </si>
  <si>
    <t>03:53</t>
  </si>
  <si>
    <t>20-8</t>
  </si>
  <si>
    <t>20-10</t>
  </si>
  <si>
    <t>01:28</t>
  </si>
  <si>
    <t>22-12</t>
  </si>
  <si>
    <t>24-12</t>
  </si>
  <si>
    <t>09:40</t>
  </si>
  <si>
    <t>26-15</t>
  </si>
  <si>
    <t>09:25</t>
  </si>
  <si>
    <t>26-18</t>
  </si>
  <si>
    <t>28-18</t>
  </si>
  <si>
    <t>08:17</t>
  </si>
  <si>
    <t>30-18</t>
  </si>
  <si>
    <t>07:40</t>
  </si>
  <si>
    <t>33-18</t>
  </si>
  <si>
    <t>33-20</t>
  </si>
  <si>
    <t>35-20</t>
  </si>
  <si>
    <t>06:05</t>
  </si>
  <si>
    <t>35-22</t>
  </si>
  <si>
    <t>36-22</t>
  </si>
  <si>
    <t>39-22</t>
  </si>
  <si>
    <t>42-22</t>
  </si>
  <si>
    <t>03:37</t>
  </si>
  <si>
    <t>44-22</t>
  </si>
  <si>
    <t>03:18</t>
  </si>
  <si>
    <t>46-22</t>
  </si>
  <si>
    <t>46-24</t>
  </si>
  <si>
    <t>02:37</t>
  </si>
  <si>
    <t>48-24</t>
  </si>
  <si>
    <t>02:09</t>
  </si>
  <si>
    <t>48-25</t>
  </si>
  <si>
    <t>48-26</t>
  </si>
  <si>
    <t>01:51</t>
  </si>
  <si>
    <t>50-26</t>
  </si>
  <si>
    <t>01:07</t>
  </si>
  <si>
    <t>52-26</t>
  </si>
  <si>
    <t>52-28</t>
  </si>
  <si>
    <t>54-28</t>
  </si>
  <si>
    <t>56-28</t>
  </si>
  <si>
    <t>09:39</t>
  </si>
  <si>
    <t>56-30</t>
  </si>
  <si>
    <t>08:42</t>
  </si>
  <si>
    <t>59-30</t>
  </si>
  <si>
    <t>59-31</t>
  </si>
  <si>
    <t>59-32</t>
  </si>
  <si>
    <t>62-32</t>
  </si>
  <si>
    <t>63-32</t>
  </si>
  <si>
    <t>64-32</t>
  </si>
  <si>
    <t>67-32</t>
  </si>
  <si>
    <t>06:07</t>
  </si>
  <si>
    <t>68-32</t>
  </si>
  <si>
    <t>69-32</t>
  </si>
  <si>
    <t>71-32</t>
  </si>
  <si>
    <t>05:42</t>
  </si>
  <si>
    <t>73-32</t>
  </si>
  <si>
    <t>76-32</t>
  </si>
  <si>
    <t>78-32</t>
  </si>
  <si>
    <t>03:02</t>
  </si>
  <si>
    <t>78-35</t>
  </si>
  <si>
    <t>79-35</t>
  </si>
  <si>
    <t>01:52</t>
  </si>
  <si>
    <t>81-35</t>
  </si>
  <si>
    <t>81-36</t>
  </si>
  <si>
    <t>84-36</t>
  </si>
  <si>
    <t>86-36</t>
  </si>
  <si>
    <t>86-38</t>
  </si>
  <si>
    <t>88-38</t>
  </si>
  <si>
    <t>08:59</t>
  </si>
  <si>
    <t>88-40</t>
  </si>
  <si>
    <t>91-40</t>
  </si>
  <si>
    <t>06:50</t>
  </si>
  <si>
    <t>94-40</t>
  </si>
  <si>
    <t>97-40</t>
  </si>
  <si>
    <t>97-42</t>
  </si>
  <si>
    <t>04:37</t>
  </si>
  <si>
    <t>99-42</t>
  </si>
  <si>
    <t>04:07</t>
  </si>
  <si>
    <t>100-42</t>
  </si>
  <si>
    <t>100-44</t>
  </si>
  <si>
    <t>100-45</t>
  </si>
  <si>
    <t>100-47</t>
  </si>
  <si>
    <t>100-49</t>
  </si>
  <si>
    <t>100-51</t>
  </si>
  <si>
    <t>101-51</t>
  </si>
  <si>
    <t>102-51</t>
  </si>
  <si>
    <t>104-51</t>
  </si>
  <si>
    <t>104-53</t>
  </si>
  <si>
    <t>Nº de cestas com SJB na frente</t>
  </si>
  <si>
    <t>Diferença (MIN - FOR)</t>
  </si>
  <si>
    <t>05:45</t>
  </si>
  <si>
    <t>5-4</t>
  </si>
  <si>
    <t>5-6</t>
  </si>
  <si>
    <t>04:10</t>
  </si>
  <si>
    <t>5-8</t>
  </si>
  <si>
    <t>10-10</t>
  </si>
  <si>
    <t>15-10</t>
  </si>
  <si>
    <t>01:44</t>
  </si>
  <si>
    <t>01:12</t>
  </si>
  <si>
    <t>15-13</t>
  </si>
  <si>
    <t>01:00</t>
  </si>
  <si>
    <t>09:05</t>
  </si>
  <si>
    <t>08:14</t>
  </si>
  <si>
    <t>07:19</t>
  </si>
  <si>
    <t>07:10</t>
  </si>
  <si>
    <t>22-18</t>
  </si>
  <si>
    <t>22-20</t>
  </si>
  <si>
    <t>24-20</t>
  </si>
  <si>
    <t>26-20</t>
  </si>
  <si>
    <t>27-25</t>
  </si>
  <si>
    <t>31-25</t>
  </si>
  <si>
    <t>31-28</t>
  </si>
  <si>
    <t>02:39</t>
  </si>
  <si>
    <t>31-30</t>
  </si>
  <si>
    <t>02:22</t>
  </si>
  <si>
    <t>32-30</t>
  </si>
  <si>
    <t>33-30</t>
  </si>
  <si>
    <t>01:56</t>
  </si>
  <si>
    <t>33-32</t>
  </si>
  <si>
    <t>33-34</t>
  </si>
  <si>
    <t>00:27</t>
  </si>
  <si>
    <t>09:35</t>
  </si>
  <si>
    <t>39-34</t>
  </si>
  <si>
    <t>09:07</t>
  </si>
  <si>
    <t>42-34</t>
  </si>
  <si>
    <t>43-34</t>
  </si>
  <si>
    <t>44-34</t>
  </si>
  <si>
    <t>44-36</t>
  </si>
  <si>
    <t>07:35</t>
  </si>
  <si>
    <t>44-38</t>
  </si>
  <si>
    <t>47-38</t>
  </si>
  <si>
    <t>06:56</t>
  </si>
  <si>
    <t>47-40</t>
  </si>
  <si>
    <t>49-40</t>
  </si>
  <si>
    <t>51-40</t>
  </si>
  <si>
    <t>54-40</t>
  </si>
  <si>
    <t>04:36</t>
  </si>
  <si>
    <t>54-42</t>
  </si>
  <si>
    <t>03:31</t>
  </si>
  <si>
    <t>54-45</t>
  </si>
  <si>
    <t>54-46</t>
  </si>
  <si>
    <t>56-46</t>
  </si>
  <si>
    <t>58-46</t>
  </si>
  <si>
    <t>58-48</t>
  </si>
  <si>
    <t>58-50</t>
  </si>
  <si>
    <t>59-50</t>
  </si>
  <si>
    <t>60-50</t>
  </si>
  <si>
    <t>00:10</t>
  </si>
  <si>
    <t>60-52</t>
  </si>
  <si>
    <t>60-54</t>
  </si>
  <si>
    <t>62-54</t>
  </si>
  <si>
    <t>62-55</t>
  </si>
  <si>
    <t>62-57</t>
  </si>
  <si>
    <t>64-57</t>
  </si>
  <si>
    <t>07:23</t>
  </si>
  <si>
    <t>04:53</t>
  </si>
  <si>
    <t>65-60</t>
  </si>
  <si>
    <t>65-62</t>
  </si>
  <si>
    <t>67-62</t>
  </si>
  <si>
    <t>67-64</t>
  </si>
  <si>
    <t>67-66</t>
  </si>
  <si>
    <t>69-66</t>
  </si>
  <si>
    <t>01:48</t>
  </si>
  <si>
    <t>70-66</t>
  </si>
  <si>
    <t>72-66</t>
  </si>
  <si>
    <t>00:44</t>
  </si>
  <si>
    <t>75-68</t>
  </si>
  <si>
    <t>76-69</t>
  </si>
  <si>
    <t>77-71</t>
  </si>
  <si>
    <t>78-71</t>
  </si>
  <si>
    <t>79-71</t>
  </si>
  <si>
    <t>Nº de cestas com FOR na frente</t>
  </si>
  <si>
    <t>Diferença (MIN - PAU)</t>
  </si>
  <si>
    <t>1-2</t>
  </si>
  <si>
    <t>1-3</t>
  </si>
  <si>
    <t>08:10</t>
  </si>
  <si>
    <t>3-3</t>
  </si>
  <si>
    <t>08:08</t>
  </si>
  <si>
    <t>6-5</t>
  </si>
  <si>
    <t>06:39</t>
  </si>
  <si>
    <t>14-5</t>
  </si>
  <si>
    <t>14-7</t>
  </si>
  <si>
    <t>16-7</t>
  </si>
  <si>
    <t>03:47</t>
  </si>
  <si>
    <t>18-12</t>
  </si>
  <si>
    <t>03:01</t>
  </si>
  <si>
    <t>19-15</t>
  </si>
  <si>
    <t>02:18</t>
  </si>
  <si>
    <t>21-15</t>
  </si>
  <si>
    <t>01:10</t>
  </si>
  <si>
    <t>23-15</t>
  </si>
  <si>
    <t>00:48</t>
  </si>
  <si>
    <t>23-18</t>
  </si>
  <si>
    <t>09:42</t>
  </si>
  <si>
    <t>28-21</t>
  </si>
  <si>
    <t>08:23</t>
  </si>
  <si>
    <t>30-24</t>
  </si>
  <si>
    <t>30-29</t>
  </si>
  <si>
    <t>32-29</t>
  </si>
  <si>
    <t>34-29</t>
  </si>
  <si>
    <t>37-29</t>
  </si>
  <si>
    <t>37-33</t>
  </si>
  <si>
    <t>02:56</t>
  </si>
  <si>
    <t>37-35</t>
  </si>
  <si>
    <t>39-35</t>
  </si>
  <si>
    <t>39-37</t>
  </si>
  <si>
    <t>39-39</t>
  </si>
  <si>
    <t>01:08</t>
  </si>
  <si>
    <t>42-39</t>
  </si>
  <si>
    <t>42-41</t>
  </si>
  <si>
    <t>43-43</t>
  </si>
  <si>
    <t>44-43</t>
  </si>
  <si>
    <t>05:50</t>
  </si>
  <si>
    <t>05:00</t>
  </si>
  <si>
    <t>49-53</t>
  </si>
  <si>
    <t>04:40</t>
  </si>
  <si>
    <t>04:18</t>
  </si>
  <si>
    <t>51-55</t>
  </si>
  <si>
    <t>52-59</t>
  </si>
  <si>
    <t>54-59</t>
  </si>
  <si>
    <t>55-61</t>
  </si>
  <si>
    <t>58-61</t>
  </si>
  <si>
    <t>01:18</t>
  </si>
  <si>
    <t>58-63</t>
  </si>
  <si>
    <t>58-66</t>
  </si>
  <si>
    <t>58-69</t>
  </si>
  <si>
    <t>60-69</t>
  </si>
  <si>
    <t>60-72</t>
  </si>
  <si>
    <t>62-72</t>
  </si>
  <si>
    <t>08:21</t>
  </si>
  <si>
    <t>62-74</t>
  </si>
  <si>
    <t>07:33</t>
  </si>
  <si>
    <t>62-76</t>
  </si>
  <si>
    <t>07:06</t>
  </si>
  <si>
    <t>62-78</t>
  </si>
  <si>
    <t>62-81</t>
  </si>
  <si>
    <t>64-81</t>
  </si>
  <si>
    <t>64-84</t>
  </si>
  <si>
    <t>64-86</t>
  </si>
  <si>
    <t>64-88</t>
  </si>
  <si>
    <t>66-88</t>
  </si>
  <si>
    <t>67-88</t>
  </si>
  <si>
    <t>68-88</t>
  </si>
  <si>
    <t>69-88</t>
  </si>
  <si>
    <t>70-88</t>
  </si>
  <si>
    <t>71-88</t>
  </si>
  <si>
    <t>00:18</t>
  </si>
  <si>
    <t>71-90</t>
  </si>
  <si>
    <t>73-90</t>
  </si>
  <si>
    <t>Nº de cestas com PAU na frente</t>
  </si>
  <si>
    <t>Diferença (MIN - RIO)</t>
  </si>
  <si>
    <t>08:47</t>
  </si>
  <si>
    <t>08:29</t>
  </si>
  <si>
    <t>8-0</t>
  </si>
  <si>
    <t>10-0</t>
  </si>
  <si>
    <t>13-3</t>
  </si>
  <si>
    <t>13-5</t>
  </si>
  <si>
    <t>15-5</t>
  </si>
  <si>
    <t>17-7</t>
  </si>
  <si>
    <t>17-9</t>
  </si>
  <si>
    <t>19-9</t>
  </si>
  <si>
    <t>00:11</t>
  </si>
  <si>
    <t>21-9</t>
  </si>
  <si>
    <t>24-9</t>
  </si>
  <si>
    <t>26-9</t>
  </si>
  <si>
    <t>07:32</t>
  </si>
  <si>
    <t>26-11</t>
  </si>
  <si>
    <t>28-11</t>
  </si>
  <si>
    <t>30-11</t>
  </si>
  <si>
    <t>05:47</t>
  </si>
  <si>
    <t>32-11</t>
  </si>
  <si>
    <t>33-11</t>
  </si>
  <si>
    <t>33-13</t>
  </si>
  <si>
    <t>04:59</t>
  </si>
  <si>
    <t>33-16</t>
  </si>
  <si>
    <t>35-16</t>
  </si>
  <si>
    <t>36-16</t>
  </si>
  <si>
    <t>36-19</t>
  </si>
  <si>
    <t>37-19</t>
  </si>
  <si>
    <t>38-19</t>
  </si>
  <si>
    <t>38-20</t>
  </si>
  <si>
    <t>38-21</t>
  </si>
  <si>
    <t>40-21</t>
  </si>
  <si>
    <t>40-24</t>
  </si>
  <si>
    <t>42-24</t>
  </si>
  <si>
    <t>44-24</t>
  </si>
  <si>
    <t>51-24</t>
  </si>
  <si>
    <t>51-26</t>
  </si>
  <si>
    <t>53-26</t>
  </si>
  <si>
    <t>56-26</t>
  </si>
  <si>
    <t>56-29</t>
  </si>
  <si>
    <t>58-29</t>
  </si>
  <si>
    <t>61-29</t>
  </si>
  <si>
    <t>61-31</t>
  </si>
  <si>
    <t>61-32</t>
  </si>
  <si>
    <t>61-33</t>
  </si>
  <si>
    <t>63-33</t>
  </si>
  <si>
    <t>02:16</t>
  </si>
  <si>
    <t>63-35</t>
  </si>
  <si>
    <t>66-35</t>
  </si>
  <si>
    <t>69-35</t>
  </si>
  <si>
    <t>69-38</t>
  </si>
  <si>
    <t>71-38</t>
  </si>
  <si>
    <t>73-38</t>
  </si>
  <si>
    <t>73-39</t>
  </si>
  <si>
    <t>75-39</t>
  </si>
  <si>
    <t>08:16</t>
  </si>
  <si>
    <t>78-39</t>
  </si>
  <si>
    <t>78-41</t>
  </si>
  <si>
    <t>78-44</t>
  </si>
  <si>
    <t>07:07</t>
  </si>
  <si>
    <t>80-44</t>
  </si>
  <si>
    <t>80-46</t>
  </si>
  <si>
    <t>82-46</t>
  </si>
  <si>
    <t>82-49</t>
  </si>
  <si>
    <t>83-49</t>
  </si>
  <si>
    <t>83-51</t>
  </si>
  <si>
    <t>85-51</t>
  </si>
  <si>
    <t>85-52</t>
  </si>
  <si>
    <t>85-53</t>
  </si>
  <si>
    <t>02:43</t>
  </si>
  <si>
    <t>85-54</t>
  </si>
  <si>
    <t>85-56</t>
  </si>
  <si>
    <t>85-57</t>
  </si>
  <si>
    <t>01:46</t>
  </si>
  <si>
    <t>88-57</t>
  </si>
  <si>
    <t>88-59</t>
  </si>
  <si>
    <t>90-59</t>
  </si>
  <si>
    <t>90-61</t>
  </si>
  <si>
    <t>Nº de cestas com RIO na frente</t>
  </si>
  <si>
    <t>Diferença (MIN - COR)</t>
  </si>
  <si>
    <t>09:13</t>
  </si>
  <si>
    <t>5-2</t>
  </si>
  <si>
    <t>7-4</t>
  </si>
  <si>
    <t>04:56</t>
  </si>
  <si>
    <t>04:33</t>
  </si>
  <si>
    <t>10-7</t>
  </si>
  <si>
    <t>11-7</t>
  </si>
  <si>
    <t>11-8</t>
  </si>
  <si>
    <t>13-9</t>
  </si>
  <si>
    <t>15-9</t>
  </si>
  <si>
    <t>01:20</t>
  </si>
  <si>
    <t>20-11</t>
  </si>
  <si>
    <t>21-11</t>
  </si>
  <si>
    <t>23-11</t>
  </si>
  <si>
    <t>23-14</t>
  </si>
  <si>
    <t>25-14</t>
  </si>
  <si>
    <t>26-14</t>
  </si>
  <si>
    <t>28-14</t>
  </si>
  <si>
    <t>30-14</t>
  </si>
  <si>
    <t>31-14</t>
  </si>
  <si>
    <t>32-14</t>
  </si>
  <si>
    <t>32-16</t>
  </si>
  <si>
    <t>32-18</t>
  </si>
  <si>
    <t>35-18</t>
  </si>
  <si>
    <t>38-18</t>
  </si>
  <si>
    <t>39-18</t>
  </si>
  <si>
    <t>40-18</t>
  </si>
  <si>
    <t>40-19</t>
  </si>
  <si>
    <t>40-20</t>
  </si>
  <si>
    <t>42-20</t>
  </si>
  <si>
    <t>02:45</t>
  </si>
  <si>
    <t>42-23</t>
  </si>
  <si>
    <t>44-23</t>
  </si>
  <si>
    <t>46-23</t>
  </si>
  <si>
    <t>48-23</t>
  </si>
  <si>
    <t>50-23</t>
  </si>
  <si>
    <t>53-23</t>
  </si>
  <si>
    <t>53-24</t>
  </si>
  <si>
    <t>53-25</t>
  </si>
  <si>
    <t>56-25</t>
  </si>
  <si>
    <t>58-25</t>
  </si>
  <si>
    <t>58-27</t>
  </si>
  <si>
    <t>60-27</t>
  </si>
  <si>
    <t>60-30</t>
  </si>
  <si>
    <t>60-31</t>
  </si>
  <si>
    <t>60-32</t>
  </si>
  <si>
    <t>62-35</t>
  </si>
  <si>
    <t>64-35</t>
  </si>
  <si>
    <t>64-37</t>
  </si>
  <si>
    <t>64-38</t>
  </si>
  <si>
    <t>02:54</t>
  </si>
  <si>
    <t>67-38</t>
  </si>
  <si>
    <t>02:08</t>
  </si>
  <si>
    <t>69-40</t>
  </si>
  <si>
    <t>72-40</t>
  </si>
  <si>
    <t>73-40</t>
  </si>
  <si>
    <t>01:37</t>
  </si>
  <si>
    <t>75-40</t>
  </si>
  <si>
    <t>76-40</t>
  </si>
  <si>
    <t>76-43</t>
  </si>
  <si>
    <t>78-43</t>
  </si>
  <si>
    <t>78-45</t>
  </si>
  <si>
    <t>07:57</t>
  </si>
  <si>
    <t>78-47</t>
  </si>
  <si>
    <t>78-50</t>
  </si>
  <si>
    <t>07:09</t>
  </si>
  <si>
    <t>79-50</t>
  </si>
  <si>
    <t>80-50</t>
  </si>
  <si>
    <t>80-52</t>
  </si>
  <si>
    <t>80-53</t>
  </si>
  <si>
    <t>83-53</t>
  </si>
  <si>
    <t>06:35</t>
  </si>
  <si>
    <t>83-56</t>
  </si>
  <si>
    <t>87-56</t>
  </si>
  <si>
    <t>89-56</t>
  </si>
  <si>
    <t>89-58</t>
  </si>
  <si>
    <t>02:20</t>
  </si>
  <si>
    <t>91-58</t>
  </si>
  <si>
    <t>91-60</t>
  </si>
  <si>
    <t>91-62</t>
  </si>
  <si>
    <t>94-62</t>
  </si>
  <si>
    <t>94-65</t>
  </si>
  <si>
    <t>Nº de cestas com COR na frente</t>
  </si>
  <si>
    <t>Diferença (MIN - PAT)</t>
  </si>
  <si>
    <t>09:33</t>
  </si>
  <si>
    <t>08:39</t>
  </si>
  <si>
    <t>06:19</t>
  </si>
  <si>
    <t>9-12</t>
  </si>
  <si>
    <t>04:55</t>
  </si>
  <si>
    <t>13-14</t>
  </si>
  <si>
    <t>03:50</t>
  </si>
  <si>
    <t>01:15</t>
  </si>
  <si>
    <t>21-21</t>
  </si>
  <si>
    <t>25-21</t>
  </si>
  <si>
    <t>25-23</t>
  </si>
  <si>
    <t>05:30</t>
  </si>
  <si>
    <t>03:52</t>
  </si>
  <si>
    <t>35-28</t>
  </si>
  <si>
    <t>35-30</t>
  </si>
  <si>
    <t>37-30</t>
  </si>
  <si>
    <t>40-30</t>
  </si>
  <si>
    <t>43-30</t>
  </si>
  <si>
    <t>44-30</t>
  </si>
  <si>
    <t>46-30</t>
  </si>
  <si>
    <t>46-32</t>
  </si>
  <si>
    <t>46-34</t>
  </si>
  <si>
    <t>48-34</t>
  </si>
  <si>
    <t>07:25</t>
  </si>
  <si>
    <t>48-37</t>
  </si>
  <si>
    <t>50-37</t>
  </si>
  <si>
    <t>53-37</t>
  </si>
  <si>
    <t>53-39</t>
  </si>
  <si>
    <t>53-42</t>
  </si>
  <si>
    <t>55-42</t>
  </si>
  <si>
    <t>55-45</t>
  </si>
  <si>
    <t>57-45</t>
  </si>
  <si>
    <t>57-46</t>
  </si>
  <si>
    <t>57-47</t>
  </si>
  <si>
    <t>59-47</t>
  </si>
  <si>
    <t>59-49</t>
  </si>
  <si>
    <t>62-49</t>
  </si>
  <si>
    <t>62-51</t>
  </si>
  <si>
    <t>66-57</t>
  </si>
  <si>
    <t>68-57</t>
  </si>
  <si>
    <t>71-57</t>
  </si>
  <si>
    <t>71-59</t>
  </si>
  <si>
    <t>71-60</t>
  </si>
  <si>
    <t>73-60</t>
  </si>
  <si>
    <t>75-60</t>
  </si>
  <si>
    <t>05:13</t>
  </si>
  <si>
    <t>77-60</t>
  </si>
  <si>
    <t>77-61</t>
  </si>
  <si>
    <t>77-62</t>
  </si>
  <si>
    <t>80-62</t>
  </si>
  <si>
    <t>80-65</t>
  </si>
  <si>
    <t>02:47</t>
  </si>
  <si>
    <t>80-67</t>
  </si>
  <si>
    <t>82-67</t>
  </si>
  <si>
    <t>01:35</t>
  </si>
  <si>
    <t>84-69</t>
  </si>
  <si>
    <t>84-72</t>
  </si>
  <si>
    <t>86-72</t>
  </si>
  <si>
    <t>86-74</t>
  </si>
  <si>
    <t>00:15</t>
  </si>
  <si>
    <t>88-74</t>
  </si>
  <si>
    <t>Nº de cestas com PAT na frente</t>
  </si>
  <si>
    <t>Diferença (MIN - SPA)</t>
  </si>
  <si>
    <t>07:39</t>
  </si>
  <si>
    <t>3-6</t>
  </si>
  <si>
    <t>06:55</t>
  </si>
  <si>
    <t>5-9</t>
  </si>
  <si>
    <t>7-9</t>
  </si>
  <si>
    <t>06:13</t>
  </si>
  <si>
    <t>7-12</t>
  </si>
  <si>
    <t>10-12</t>
  </si>
  <si>
    <t>10-14</t>
  </si>
  <si>
    <t>10-17</t>
  </si>
  <si>
    <t>03:57</t>
  </si>
  <si>
    <t>13-17</t>
  </si>
  <si>
    <t>15-17</t>
  </si>
  <si>
    <t>15-20</t>
  </si>
  <si>
    <t>17-20</t>
  </si>
  <si>
    <t>19-20</t>
  </si>
  <si>
    <t>19-23</t>
  </si>
  <si>
    <t>22-24</t>
  </si>
  <si>
    <t>22-25</t>
  </si>
  <si>
    <t>27-29</t>
  </si>
  <si>
    <t>27-31</t>
  </si>
  <si>
    <t>29-31</t>
  </si>
  <si>
    <t>31-34</t>
  </si>
  <si>
    <t>35-34</t>
  </si>
  <si>
    <t>03:16</t>
  </si>
  <si>
    <t>36-37</t>
  </si>
  <si>
    <t>38-39</t>
  </si>
  <si>
    <t>38-43</t>
  </si>
  <si>
    <t>40-43</t>
  </si>
  <si>
    <t>45-43</t>
  </si>
  <si>
    <t>47-43</t>
  </si>
  <si>
    <t>09:12</t>
  </si>
  <si>
    <t>51-48</t>
  </si>
  <si>
    <t>53-48</t>
  </si>
  <si>
    <t>53-49</t>
  </si>
  <si>
    <t>53-50</t>
  </si>
  <si>
    <t>06:44</t>
  </si>
  <si>
    <t>53-52</t>
  </si>
  <si>
    <t>56-52</t>
  </si>
  <si>
    <t>56-54</t>
  </si>
  <si>
    <t>05:15</t>
  </si>
  <si>
    <t>58-57</t>
  </si>
  <si>
    <t>58-60</t>
  </si>
  <si>
    <t>03:43</t>
  </si>
  <si>
    <t>61-65</t>
  </si>
  <si>
    <t>61-66</t>
  </si>
  <si>
    <t>61-71</t>
  </si>
  <si>
    <t>61-73</t>
  </si>
  <si>
    <t>09:37</t>
  </si>
  <si>
    <t>64-73</t>
  </si>
  <si>
    <t>08:54</t>
  </si>
  <si>
    <t>64-76</t>
  </si>
  <si>
    <t>08:40</t>
  </si>
  <si>
    <t>66-76</t>
  </si>
  <si>
    <t>66-77</t>
  </si>
  <si>
    <t>66-78</t>
  </si>
  <si>
    <t>06:59</t>
  </si>
  <si>
    <t>66-81</t>
  </si>
  <si>
    <t>69-81</t>
  </si>
  <si>
    <t>69-83</t>
  </si>
  <si>
    <t>72-83</t>
  </si>
  <si>
    <t>72-86</t>
  </si>
  <si>
    <t>73-86</t>
  </si>
  <si>
    <t>74-86</t>
  </si>
  <si>
    <t>74-89</t>
  </si>
  <si>
    <t>76-89</t>
  </si>
  <si>
    <t>79-89</t>
  </si>
  <si>
    <t>79-92</t>
  </si>
  <si>
    <t>80-92</t>
  </si>
  <si>
    <t>81-92</t>
  </si>
  <si>
    <t>81-93</t>
  </si>
  <si>
    <t>81-96</t>
  </si>
  <si>
    <t>82-96</t>
  </si>
  <si>
    <t>83-96</t>
  </si>
  <si>
    <t>83-98</t>
  </si>
  <si>
    <t>00:08</t>
  </si>
  <si>
    <t>83-100</t>
  </si>
  <si>
    <t>Nº de cestas com SPA na frente</t>
  </si>
  <si>
    <t>Diferença (MIN - UNI)</t>
  </si>
  <si>
    <t>5-0</t>
  </si>
  <si>
    <t>07:55</t>
  </si>
  <si>
    <t>8-6</t>
  </si>
  <si>
    <t>14-10</t>
  </si>
  <si>
    <t>17-10</t>
  </si>
  <si>
    <t>17-12</t>
  </si>
  <si>
    <t>17-13</t>
  </si>
  <si>
    <t>19-13</t>
  </si>
  <si>
    <t>19-14</t>
  </si>
  <si>
    <t>25-18</t>
  </si>
  <si>
    <t>27-18</t>
  </si>
  <si>
    <t>30-23</t>
  </si>
  <si>
    <t>30-25</t>
  </si>
  <si>
    <t>32-25</t>
  </si>
  <si>
    <t>34-25</t>
  </si>
  <si>
    <t>37-25</t>
  </si>
  <si>
    <t>37-28</t>
  </si>
  <si>
    <t>40-31</t>
  </si>
  <si>
    <t>40-33</t>
  </si>
  <si>
    <t>40-35</t>
  </si>
  <si>
    <t>42-35</t>
  </si>
  <si>
    <t>42-37</t>
  </si>
  <si>
    <t>45-39</t>
  </si>
  <si>
    <t>48-39</t>
  </si>
  <si>
    <t>49-39</t>
  </si>
  <si>
    <t>49-41</t>
  </si>
  <si>
    <t>05:27</t>
  </si>
  <si>
    <t>52-41</t>
  </si>
  <si>
    <t>52-44</t>
  </si>
  <si>
    <t>54-44</t>
  </si>
  <si>
    <t>03:46</t>
  </si>
  <si>
    <t>56-49</t>
  </si>
  <si>
    <t>59-52</t>
  </si>
  <si>
    <t>59-54</t>
  </si>
  <si>
    <t>61-54</t>
  </si>
  <si>
    <t>61-56</t>
  </si>
  <si>
    <t>09:51</t>
  </si>
  <si>
    <t>64-56</t>
  </si>
  <si>
    <t>64-59</t>
  </si>
  <si>
    <t>66-59</t>
  </si>
  <si>
    <t>68-59</t>
  </si>
  <si>
    <t>08:00</t>
  </si>
  <si>
    <t>68-61</t>
  </si>
  <si>
    <t>71-65</t>
  </si>
  <si>
    <t>74-65</t>
  </si>
  <si>
    <t>76-65</t>
  </si>
  <si>
    <t>76-70</t>
  </si>
  <si>
    <t>02:17</t>
  </si>
  <si>
    <t>78-70</t>
  </si>
  <si>
    <t>78-72</t>
  </si>
  <si>
    <t>01:32</t>
  </si>
  <si>
    <t>80-74</t>
  </si>
  <si>
    <t>83-75</t>
  </si>
  <si>
    <t>83-78</t>
  </si>
  <si>
    <t>87-80</t>
  </si>
  <si>
    <t>00:14</t>
  </si>
  <si>
    <t>87-84</t>
  </si>
  <si>
    <t>87-85</t>
  </si>
  <si>
    <t>88-85</t>
  </si>
  <si>
    <t>88-86</t>
  </si>
  <si>
    <t>88-87</t>
  </si>
  <si>
    <t>Nº de cestas com UNI na frente</t>
  </si>
  <si>
    <t>Diferença (MIN - BAU)</t>
  </si>
  <si>
    <t>5-10</t>
  </si>
  <si>
    <t>6-10</t>
  </si>
  <si>
    <t>7-13</t>
  </si>
  <si>
    <t>03:03</t>
  </si>
  <si>
    <t>7-15</t>
  </si>
  <si>
    <t>02:12</t>
  </si>
  <si>
    <t>7-16</t>
  </si>
  <si>
    <t>7-17</t>
  </si>
  <si>
    <t>8-17</t>
  </si>
  <si>
    <t>8-19</t>
  </si>
  <si>
    <t>10-19</t>
  </si>
  <si>
    <t>00:33</t>
  </si>
  <si>
    <t>10-21</t>
  </si>
  <si>
    <t>09:23</t>
  </si>
  <si>
    <t>10-23</t>
  </si>
  <si>
    <t>12-23</t>
  </si>
  <si>
    <t>12-25</t>
  </si>
  <si>
    <t>14-25</t>
  </si>
  <si>
    <t>15-25</t>
  </si>
  <si>
    <t>17-25</t>
  </si>
  <si>
    <t>17-28</t>
  </si>
  <si>
    <t>19-28</t>
  </si>
  <si>
    <t>19-30</t>
  </si>
  <si>
    <t>21-30</t>
  </si>
  <si>
    <t>21-32</t>
  </si>
  <si>
    <t>22-32</t>
  </si>
  <si>
    <t>24-32</t>
  </si>
  <si>
    <t>26-32</t>
  </si>
  <si>
    <t>29-32</t>
  </si>
  <si>
    <t>09:26</t>
  </si>
  <si>
    <t>08:43</t>
  </si>
  <si>
    <t>08:15</t>
  </si>
  <si>
    <t>37-34</t>
  </si>
  <si>
    <t>38-34</t>
  </si>
  <si>
    <t>40-34</t>
  </si>
  <si>
    <t>41-34</t>
  </si>
  <si>
    <t>42-36</t>
  </si>
  <si>
    <t>43-36</t>
  </si>
  <si>
    <t>44-37</t>
  </si>
  <si>
    <t>46-38</t>
  </si>
  <si>
    <t>01:23</t>
  </si>
  <si>
    <t>48-38</t>
  </si>
  <si>
    <t>51-38</t>
  </si>
  <si>
    <t>51-41</t>
  </si>
  <si>
    <t>53-41</t>
  </si>
  <si>
    <t>09:20</t>
  </si>
  <si>
    <t>55-41</t>
  </si>
  <si>
    <t>55-43</t>
  </si>
  <si>
    <t>06:30</t>
  </si>
  <si>
    <t>59-46</t>
  </si>
  <si>
    <t>61-46</t>
  </si>
  <si>
    <t>61-48</t>
  </si>
  <si>
    <t>61-51</t>
  </si>
  <si>
    <t>61-53</t>
  </si>
  <si>
    <t>Nº de cestas com BAU na frente</t>
  </si>
  <si>
    <t>Diferença (MIN - PIN)</t>
  </si>
  <si>
    <t>08:37</t>
  </si>
  <si>
    <t>0-4</t>
  </si>
  <si>
    <t>06:12</t>
  </si>
  <si>
    <t>4-8</t>
  </si>
  <si>
    <t>04:29</t>
  </si>
  <si>
    <t>6-11</t>
  </si>
  <si>
    <t>6-12</t>
  </si>
  <si>
    <t>03:36</t>
  </si>
  <si>
    <t>8-12</t>
  </si>
  <si>
    <t>03:23</t>
  </si>
  <si>
    <t>10-15</t>
  </si>
  <si>
    <t>10-18</t>
  </si>
  <si>
    <t>12-19</t>
  </si>
  <si>
    <t>09:44</t>
  </si>
  <si>
    <t>13-19</t>
  </si>
  <si>
    <t>14-19</t>
  </si>
  <si>
    <t>14-22</t>
  </si>
  <si>
    <t>16-22</t>
  </si>
  <si>
    <t>16-25</t>
  </si>
  <si>
    <t>19-25</t>
  </si>
  <si>
    <t>19-27</t>
  </si>
  <si>
    <t>21-27</t>
  </si>
  <si>
    <t>22-27</t>
  </si>
  <si>
    <t>26-27</t>
  </si>
  <si>
    <t>26-29</t>
  </si>
  <si>
    <t>29-33</t>
  </si>
  <si>
    <t>30-34</t>
  </si>
  <si>
    <t>33-35</t>
  </si>
  <si>
    <t>33-38</t>
  </si>
  <si>
    <t>34-38</t>
  </si>
  <si>
    <t>34-40</t>
  </si>
  <si>
    <t>39-40</t>
  </si>
  <si>
    <t>06:11</t>
  </si>
  <si>
    <t>05:22</t>
  </si>
  <si>
    <t>05:11</t>
  </si>
  <si>
    <t>45-50</t>
  </si>
  <si>
    <t>48-50</t>
  </si>
  <si>
    <t>50-50</t>
  </si>
  <si>
    <t>50-52</t>
  </si>
  <si>
    <t>51-52</t>
  </si>
  <si>
    <t>54-52</t>
  </si>
  <si>
    <t>54-54</t>
  </si>
  <si>
    <t>00:32</t>
  </si>
  <si>
    <t>56-61</t>
  </si>
  <si>
    <t>08:20</t>
  </si>
  <si>
    <t>63-61</t>
  </si>
  <si>
    <t>63-62</t>
  </si>
  <si>
    <t>67-63</t>
  </si>
  <si>
    <t>02:46</t>
  </si>
  <si>
    <t>Nº de cestas com PIN na frente</t>
  </si>
  <si>
    <t>3-10</t>
  </si>
  <si>
    <t>06:29</t>
  </si>
  <si>
    <t>8-11</t>
  </si>
  <si>
    <t>9-11</t>
  </si>
  <si>
    <t>9-13</t>
  </si>
  <si>
    <t>12-15</t>
  </si>
  <si>
    <t>16-16</t>
  </si>
  <si>
    <t>22-16</t>
  </si>
  <si>
    <t>22-17</t>
  </si>
  <si>
    <t>01:39</t>
  </si>
  <si>
    <t>24-22</t>
  </si>
  <si>
    <t>26-22</t>
  </si>
  <si>
    <t>28-26</t>
  </si>
  <si>
    <t>07:20</t>
  </si>
  <si>
    <t>07:01</t>
  </si>
  <si>
    <t>32-33</t>
  </si>
  <si>
    <t>38-35</t>
  </si>
  <si>
    <t>40-37</t>
  </si>
  <si>
    <t>40-38</t>
  </si>
  <si>
    <t>40-39</t>
  </si>
  <si>
    <t>40-41</t>
  </si>
  <si>
    <t>41-43</t>
  </si>
  <si>
    <t>43-46</t>
  </si>
  <si>
    <t>43-49</t>
  </si>
  <si>
    <t>09:01</t>
  </si>
  <si>
    <t>46-52</t>
  </si>
  <si>
    <t>48-52</t>
  </si>
  <si>
    <t>08:03</t>
  </si>
  <si>
    <t>48-54</t>
  </si>
  <si>
    <t>51-54</t>
  </si>
  <si>
    <t>07:08</t>
  </si>
  <si>
    <t>51-56</t>
  </si>
  <si>
    <t>06:49</t>
  </si>
  <si>
    <t>54-58</t>
  </si>
  <si>
    <t>05:21</t>
  </si>
  <si>
    <t>05:08</t>
  </si>
  <si>
    <t>59-66</t>
  </si>
  <si>
    <t>59-68</t>
  </si>
  <si>
    <t>59-70</t>
  </si>
  <si>
    <t>59-73</t>
  </si>
  <si>
    <t>60-73</t>
  </si>
  <si>
    <t>62-73</t>
  </si>
  <si>
    <t>63-73</t>
  </si>
  <si>
    <t>63-74</t>
  </si>
  <si>
    <t>63-75</t>
  </si>
  <si>
    <t>63-76</t>
  </si>
  <si>
    <t>09:55</t>
  </si>
  <si>
    <t>64-78</t>
  </si>
  <si>
    <t>08:27</t>
  </si>
  <si>
    <t>68-81</t>
  </si>
  <si>
    <t>68-82</t>
  </si>
  <si>
    <t>70-82</t>
  </si>
  <si>
    <t>70-84</t>
  </si>
  <si>
    <t>72-84</t>
  </si>
  <si>
    <t>04:15</t>
  </si>
  <si>
    <t>75-86</t>
  </si>
  <si>
    <t>75-88</t>
  </si>
  <si>
    <t>75-89</t>
  </si>
  <si>
    <t>78-89</t>
  </si>
  <si>
    <t>79-90</t>
  </si>
  <si>
    <t>79-91</t>
  </si>
  <si>
    <t>79-93</t>
  </si>
  <si>
    <t>81-95</t>
  </si>
  <si>
    <t>81-97</t>
  </si>
  <si>
    <t>84-97</t>
  </si>
  <si>
    <t>84-99</t>
  </si>
  <si>
    <t>84-100</t>
  </si>
  <si>
    <t>84-101</t>
  </si>
  <si>
    <t>00:46</t>
  </si>
  <si>
    <t>87-101</t>
  </si>
  <si>
    <t>87-102</t>
  </si>
  <si>
    <t>87-103</t>
  </si>
  <si>
    <t>90-103</t>
  </si>
  <si>
    <t>90-104</t>
  </si>
  <si>
    <t>90-105</t>
  </si>
  <si>
    <t>05:54</t>
  </si>
  <si>
    <t>05:14</t>
  </si>
  <si>
    <t>13-11</t>
  </si>
  <si>
    <t>04:39</t>
  </si>
  <si>
    <t>17-17</t>
  </si>
  <si>
    <t>17-19</t>
  </si>
  <si>
    <t>21-19</t>
  </si>
  <si>
    <t>23-21</t>
  </si>
  <si>
    <t>07:28</t>
  </si>
  <si>
    <t>29-29</t>
  </si>
  <si>
    <t>06:53</t>
  </si>
  <si>
    <t>32-34</t>
  </si>
  <si>
    <t>34-36</t>
  </si>
  <si>
    <t>04:21</t>
  </si>
  <si>
    <t>37-38</t>
  </si>
  <si>
    <t>37-41</t>
  </si>
  <si>
    <t>37-43</t>
  </si>
  <si>
    <t>40-45</t>
  </si>
  <si>
    <t>52-50</t>
  </si>
  <si>
    <t>54-50</t>
  </si>
  <si>
    <t>07:16</t>
  </si>
  <si>
    <t>56-50</t>
  </si>
  <si>
    <t>58-52</t>
  </si>
  <si>
    <t>58-54</t>
  </si>
  <si>
    <t>61-59</t>
  </si>
  <si>
    <t>63-59</t>
  </si>
  <si>
    <t>66-61</t>
  </si>
  <si>
    <t>02:05</t>
  </si>
  <si>
    <t>01:38</t>
  </si>
  <si>
    <t>00:45</t>
  </si>
  <si>
    <t>73-67</t>
  </si>
  <si>
    <t>73-68</t>
  </si>
  <si>
    <t>76-68</t>
  </si>
  <si>
    <t>08:35</t>
  </si>
  <si>
    <t>77-73</t>
  </si>
  <si>
    <t>07:51</t>
  </si>
  <si>
    <t>80-73</t>
  </si>
  <si>
    <t>83-73</t>
  </si>
  <si>
    <t>83-79</t>
  </si>
  <si>
    <t>04:28</t>
  </si>
  <si>
    <t>86-79</t>
  </si>
  <si>
    <t>88-79</t>
  </si>
  <si>
    <t>90-79</t>
  </si>
  <si>
    <t>90-82</t>
  </si>
  <si>
    <t>92-82</t>
  </si>
  <si>
    <t>92-84</t>
  </si>
  <si>
    <t>93-84</t>
  </si>
  <si>
    <t>94-84</t>
  </si>
  <si>
    <t>94-86</t>
  </si>
  <si>
    <t>95-86</t>
  </si>
  <si>
    <t>96-86</t>
  </si>
  <si>
    <t>96-88</t>
  </si>
  <si>
    <t>96-89</t>
  </si>
  <si>
    <t>2-5</t>
  </si>
  <si>
    <t>2-7</t>
  </si>
  <si>
    <t>14-9</t>
  </si>
  <si>
    <t>14-12</t>
  </si>
  <si>
    <t>16-12</t>
  </si>
  <si>
    <t>00:35</t>
  </si>
  <si>
    <t>16-14</t>
  </si>
  <si>
    <t>18-15</t>
  </si>
  <si>
    <t>08:07</t>
  </si>
  <si>
    <t>20-23</t>
  </si>
  <si>
    <t>24-29</t>
  </si>
  <si>
    <t>27-32</t>
  </si>
  <si>
    <t>27-35</t>
  </si>
  <si>
    <t>02:35</t>
  </si>
  <si>
    <t>29-40</t>
  </si>
  <si>
    <t>29-43</t>
  </si>
  <si>
    <t>29-45</t>
  </si>
  <si>
    <t>29-46</t>
  </si>
  <si>
    <t>29-49</t>
  </si>
  <si>
    <t>32-49</t>
  </si>
  <si>
    <t>32-51</t>
  </si>
  <si>
    <t>34-51</t>
  </si>
  <si>
    <t>34-54</t>
  </si>
  <si>
    <t>37-54</t>
  </si>
  <si>
    <t>37-56</t>
  </si>
  <si>
    <t>38-56</t>
  </si>
  <si>
    <t>38-58</t>
  </si>
  <si>
    <t>39-58</t>
  </si>
  <si>
    <t>40-58</t>
  </si>
  <si>
    <t>41-58</t>
  </si>
  <si>
    <t>41-61</t>
  </si>
  <si>
    <t>41-64</t>
  </si>
  <si>
    <t>43-64</t>
  </si>
  <si>
    <t>46-64</t>
  </si>
  <si>
    <t>46-66</t>
  </si>
  <si>
    <t>48-66</t>
  </si>
  <si>
    <t>48-68</t>
  </si>
  <si>
    <t>48-71</t>
  </si>
  <si>
    <t>48-72</t>
  </si>
  <si>
    <t>48-73</t>
  </si>
  <si>
    <t>50-73</t>
  </si>
  <si>
    <t>50-76</t>
  </si>
  <si>
    <t>52-76</t>
  </si>
  <si>
    <t>52-78</t>
  </si>
  <si>
    <t>53-78</t>
  </si>
  <si>
    <t>54-78</t>
  </si>
  <si>
    <t>56-78</t>
  </si>
  <si>
    <t>58-78</t>
  </si>
  <si>
    <t>59-78</t>
  </si>
  <si>
    <t>60-78</t>
  </si>
  <si>
    <t>61-78</t>
  </si>
  <si>
    <t>63-78</t>
  </si>
  <si>
    <t>63-80</t>
  </si>
  <si>
    <t>09:22</t>
  </si>
  <si>
    <t>1-0</t>
  </si>
  <si>
    <t>09:15</t>
  </si>
  <si>
    <t>10-13</t>
  </si>
  <si>
    <t>16-13</t>
  </si>
  <si>
    <t>25-15</t>
  </si>
  <si>
    <t>25-17</t>
  </si>
  <si>
    <t>09:18</t>
  </si>
  <si>
    <t>28-19</t>
  </si>
  <si>
    <t>30-19</t>
  </si>
  <si>
    <t>30-21</t>
  </si>
  <si>
    <t>33-21</t>
  </si>
  <si>
    <t>33-24</t>
  </si>
  <si>
    <t>33-25</t>
  </si>
  <si>
    <t>35-25</t>
  </si>
  <si>
    <t>38-30</t>
  </si>
  <si>
    <t>38-31</t>
  </si>
  <si>
    <t>41-31</t>
  </si>
  <si>
    <t>02:04</t>
  </si>
  <si>
    <t>43-31</t>
  </si>
  <si>
    <t>45-34</t>
  </si>
  <si>
    <t>45-36</t>
  </si>
  <si>
    <t>47-36</t>
  </si>
  <si>
    <t>50-36</t>
  </si>
  <si>
    <t>52-36</t>
  </si>
  <si>
    <t>52-38</t>
  </si>
  <si>
    <t>53-38</t>
  </si>
  <si>
    <t>54-38</t>
  </si>
  <si>
    <t>56-40</t>
  </si>
  <si>
    <t>56-43</t>
  </si>
  <si>
    <t>56-45</t>
  </si>
  <si>
    <t>58-45</t>
  </si>
  <si>
    <t>59-48</t>
  </si>
  <si>
    <t>63-54</t>
  </si>
  <si>
    <t>63-56</t>
  </si>
  <si>
    <t>65-61</t>
  </si>
  <si>
    <t>06:52</t>
  </si>
  <si>
    <t>69-63</t>
  </si>
  <si>
    <t>70-69</t>
  </si>
  <si>
    <t>73-69</t>
  </si>
  <si>
    <t>73-70</t>
  </si>
  <si>
    <t>73-71</t>
  </si>
  <si>
    <t>73-72</t>
  </si>
  <si>
    <t>76-72</t>
  </si>
  <si>
    <t>78-77</t>
  </si>
  <si>
    <t>79-77</t>
  </si>
  <si>
    <t>80-77</t>
  </si>
  <si>
    <t>81-77</t>
  </si>
  <si>
    <t>81-78</t>
  </si>
  <si>
    <t>82-78</t>
  </si>
  <si>
    <t>8-2</t>
  </si>
  <si>
    <t>08:31</t>
  </si>
  <si>
    <t>10-5</t>
  </si>
  <si>
    <t>16-5</t>
  </si>
  <si>
    <t>19-5</t>
  </si>
  <si>
    <t>22-5</t>
  </si>
  <si>
    <t>24-5</t>
  </si>
  <si>
    <t>24-8</t>
  </si>
  <si>
    <t>25-8</t>
  </si>
  <si>
    <t>26-8</t>
  </si>
  <si>
    <t>28-8</t>
  </si>
  <si>
    <t>28-10</t>
  </si>
  <si>
    <t>31-10</t>
  </si>
  <si>
    <t>33-10</t>
  </si>
  <si>
    <t>33-12</t>
  </si>
  <si>
    <t>33-14</t>
  </si>
  <si>
    <t>01:04</t>
  </si>
  <si>
    <t>35-14</t>
  </si>
  <si>
    <t>00:38</t>
  </si>
  <si>
    <t>36-14</t>
  </si>
  <si>
    <t>37-14</t>
  </si>
  <si>
    <t>37-17</t>
  </si>
  <si>
    <t>39-17</t>
  </si>
  <si>
    <t>42-17</t>
  </si>
  <si>
    <t>43-17</t>
  </si>
  <si>
    <t>43-19</t>
  </si>
  <si>
    <t>45-19</t>
  </si>
  <si>
    <t>45-21</t>
  </si>
  <si>
    <t>46-21</t>
  </si>
  <si>
    <t>48-21</t>
  </si>
  <si>
    <t>50-24</t>
  </si>
  <si>
    <t>50-27</t>
  </si>
  <si>
    <t>52-27</t>
  </si>
  <si>
    <t>52-29</t>
  </si>
  <si>
    <t>54-29</t>
  </si>
  <si>
    <t>54-30</t>
  </si>
  <si>
    <t>54-31</t>
  </si>
  <si>
    <t>57-31</t>
  </si>
  <si>
    <t>60-34</t>
  </si>
  <si>
    <t>63-34</t>
  </si>
  <si>
    <t>65-34</t>
  </si>
  <si>
    <t>65-36</t>
  </si>
  <si>
    <t>65-38</t>
  </si>
  <si>
    <t>67-40</t>
  </si>
  <si>
    <t>70-40</t>
  </si>
  <si>
    <t>73-42</t>
  </si>
  <si>
    <t>75-42</t>
  </si>
  <si>
    <t>75-45</t>
  </si>
  <si>
    <t>76-45</t>
  </si>
  <si>
    <t>77-45</t>
  </si>
  <si>
    <t>77-48</t>
  </si>
  <si>
    <t>79-48</t>
  </si>
  <si>
    <t>81-50</t>
  </si>
  <si>
    <t>83-50</t>
  </si>
  <si>
    <t>83-52</t>
  </si>
  <si>
    <t>83-55</t>
  </si>
  <si>
    <t>85-55</t>
  </si>
  <si>
    <t>85-58</t>
  </si>
  <si>
    <t>85-60</t>
  </si>
  <si>
    <t>85-62</t>
  </si>
  <si>
    <t>05:17</t>
  </si>
  <si>
    <t>87-62</t>
  </si>
  <si>
    <t>87-63</t>
  </si>
  <si>
    <t>89-63</t>
  </si>
  <si>
    <t>91-63</t>
  </si>
  <si>
    <t>91-66</t>
  </si>
  <si>
    <t>93-66</t>
  </si>
  <si>
    <t>93-67</t>
  </si>
  <si>
    <t>96-67</t>
  </si>
  <si>
    <t>96-70</t>
  </si>
  <si>
    <t>00:41</t>
  </si>
  <si>
    <t>99-70</t>
  </si>
  <si>
    <t>Diferença (MIN - BRB)</t>
  </si>
  <si>
    <t>3-4</t>
  </si>
  <si>
    <t>6-6</t>
  </si>
  <si>
    <t>21-13</t>
  </si>
  <si>
    <t>02:52</t>
  </si>
  <si>
    <t>27-15</t>
  </si>
  <si>
    <t>30-15</t>
  </si>
  <si>
    <t>32-15</t>
  </si>
  <si>
    <t>09:21</t>
  </si>
  <si>
    <t>32-17</t>
  </si>
  <si>
    <t>34-17</t>
  </si>
  <si>
    <t>35-17</t>
  </si>
  <si>
    <t>35-19</t>
  </si>
  <si>
    <t>38-23</t>
  </si>
  <si>
    <t>40-23</t>
  </si>
  <si>
    <t>40-25</t>
  </si>
  <si>
    <t>43-25</t>
  </si>
  <si>
    <t>43-27</t>
  </si>
  <si>
    <t>46-27</t>
  </si>
  <si>
    <t>49-32</t>
  </si>
  <si>
    <t>52-32</t>
  </si>
  <si>
    <t>52-34</t>
  </si>
  <si>
    <t>54-34</t>
  </si>
  <si>
    <t>54-35</t>
  </si>
  <si>
    <t>54-36</t>
  </si>
  <si>
    <t>56-36</t>
  </si>
  <si>
    <t>57-36</t>
  </si>
  <si>
    <t>60-36</t>
  </si>
  <si>
    <t>63-36</t>
  </si>
  <si>
    <t>68-36</t>
  </si>
  <si>
    <t>07:26</t>
  </si>
  <si>
    <t>68-37</t>
  </si>
  <si>
    <t>68-38</t>
  </si>
  <si>
    <t>70-38</t>
  </si>
  <si>
    <t>70-39</t>
  </si>
  <si>
    <t>70-41</t>
  </si>
  <si>
    <t>05:58</t>
  </si>
  <si>
    <t>70-43</t>
  </si>
  <si>
    <t>70-46</t>
  </si>
  <si>
    <t>72-46</t>
  </si>
  <si>
    <t>72-48</t>
  </si>
  <si>
    <t>74-48</t>
  </si>
  <si>
    <t>74-50</t>
  </si>
  <si>
    <t>74-51</t>
  </si>
  <si>
    <t>75-51</t>
  </si>
  <si>
    <t>75-53</t>
  </si>
  <si>
    <t>76-53</t>
  </si>
  <si>
    <t>76-55</t>
  </si>
  <si>
    <t>76-57</t>
  </si>
  <si>
    <t>79-57</t>
  </si>
  <si>
    <t>79-60</t>
  </si>
  <si>
    <t>80-60</t>
  </si>
  <si>
    <t>82-60</t>
  </si>
  <si>
    <t>87-60</t>
  </si>
  <si>
    <t>87-61</t>
  </si>
  <si>
    <t>89-62</t>
  </si>
  <si>
    <t>89-64</t>
  </si>
  <si>
    <t>92-64</t>
  </si>
  <si>
    <t>92-66</t>
  </si>
  <si>
    <t>92-68</t>
  </si>
  <si>
    <t>94-68</t>
  </si>
  <si>
    <t>94-71</t>
  </si>
  <si>
    <t>97-71</t>
  </si>
  <si>
    <t>97-73</t>
  </si>
  <si>
    <t>97-76</t>
  </si>
  <si>
    <t>100-76</t>
  </si>
  <si>
    <t>102-76</t>
  </si>
  <si>
    <t>105-76</t>
  </si>
  <si>
    <t>02:25</t>
  </si>
  <si>
    <t>105-79</t>
  </si>
  <si>
    <t>108-79</t>
  </si>
  <si>
    <t>110-79</t>
  </si>
  <si>
    <t>Nº de cestas com BRB na frente</t>
  </si>
  <si>
    <t>Diferença (MIN - FLA)</t>
  </si>
  <si>
    <t>06:36</t>
  </si>
  <si>
    <t>12-14</t>
  </si>
  <si>
    <t>03:20</t>
  </si>
  <si>
    <t>15-15</t>
  </si>
  <si>
    <t>18-17</t>
  </si>
  <si>
    <t>18-19</t>
  </si>
  <si>
    <t>28-22</t>
  </si>
  <si>
    <t>28-27</t>
  </si>
  <si>
    <t>28-32</t>
  </si>
  <si>
    <t>31-32</t>
  </si>
  <si>
    <t>31-36</t>
  </si>
  <si>
    <t>33-36</t>
  </si>
  <si>
    <t>33-39</t>
  </si>
  <si>
    <t>35-39</t>
  </si>
  <si>
    <t>36-42</t>
  </si>
  <si>
    <t>37-42</t>
  </si>
  <si>
    <t>40-42</t>
  </si>
  <si>
    <t>42-49</t>
  </si>
  <si>
    <t>49-54</t>
  </si>
  <si>
    <t>52-60</t>
  </si>
  <si>
    <t>54-61</t>
  </si>
  <si>
    <t>54-62</t>
  </si>
  <si>
    <t>57-62</t>
  </si>
  <si>
    <t>57-64</t>
  </si>
  <si>
    <t>58-64</t>
  </si>
  <si>
    <t>63-70</t>
  </si>
  <si>
    <t>63-72</t>
  </si>
  <si>
    <t>67-72</t>
  </si>
  <si>
    <t>67-74</t>
  </si>
  <si>
    <t>01:40</t>
  </si>
  <si>
    <t>75-79</t>
  </si>
  <si>
    <t>77-79</t>
  </si>
  <si>
    <t>Nº de cestas com FLA na frente</t>
  </si>
  <si>
    <t>08:55</t>
  </si>
  <si>
    <t>07:52</t>
  </si>
  <si>
    <t>6-9</t>
  </si>
  <si>
    <t>04:54</t>
  </si>
  <si>
    <t>12-12</t>
  </si>
  <si>
    <t>16-18</t>
  </si>
  <si>
    <t>16-19</t>
  </si>
  <si>
    <t>05:09</t>
  </si>
  <si>
    <t>31-23</t>
  </si>
  <si>
    <t>34-26</t>
  </si>
  <si>
    <t>36-29</t>
  </si>
  <si>
    <t>38-29</t>
  </si>
  <si>
    <t>41-29</t>
  </si>
  <si>
    <t>43-29</t>
  </si>
  <si>
    <t>43-35</t>
  </si>
  <si>
    <t>43-37</t>
  </si>
  <si>
    <t>46-37</t>
  </si>
  <si>
    <t>46-39</t>
  </si>
  <si>
    <t>46-40</t>
  </si>
  <si>
    <t>05:41</t>
  </si>
  <si>
    <t>49-43</t>
  </si>
  <si>
    <t>51-46</t>
  </si>
  <si>
    <t>51-49</t>
  </si>
  <si>
    <t>52-49</t>
  </si>
  <si>
    <t>57-51</t>
  </si>
  <si>
    <t>57-52</t>
  </si>
  <si>
    <t>57-53</t>
  </si>
  <si>
    <t>57-54</t>
  </si>
  <si>
    <t>60-56</t>
  </si>
  <si>
    <t>60-57</t>
  </si>
  <si>
    <t>60-58</t>
  </si>
  <si>
    <t>60-60</t>
  </si>
  <si>
    <t>66-60</t>
  </si>
  <si>
    <t>68-62</t>
  </si>
  <si>
    <t>69-62</t>
  </si>
  <si>
    <t>72-62</t>
  </si>
  <si>
    <t>73-62</t>
  </si>
  <si>
    <t>74-62</t>
  </si>
  <si>
    <t>75-62</t>
  </si>
  <si>
    <t>76-62</t>
  </si>
  <si>
    <t>78-62</t>
  </si>
  <si>
    <t>78-65</t>
  </si>
  <si>
    <t>81-65</t>
  </si>
  <si>
    <t>81-68</t>
  </si>
  <si>
    <t>81-70</t>
  </si>
  <si>
    <t>86-75</t>
  </si>
  <si>
    <t>86-76</t>
  </si>
  <si>
    <t>87-76</t>
  </si>
  <si>
    <t>0-7</t>
  </si>
  <si>
    <t>3-8</t>
  </si>
  <si>
    <t>3-9</t>
  </si>
  <si>
    <t>10-11</t>
  </si>
  <si>
    <t>12-17</t>
  </si>
  <si>
    <t>14-17</t>
  </si>
  <si>
    <t>17-22</t>
  </si>
  <si>
    <t>19-22</t>
  </si>
  <si>
    <t>24-28</t>
  </si>
  <si>
    <t>24-31</t>
  </si>
  <si>
    <t>26-31</t>
  </si>
  <si>
    <t>26-34</t>
  </si>
  <si>
    <t>27-34</t>
  </si>
  <si>
    <t>28-36</t>
  </si>
  <si>
    <t>31-38</t>
  </si>
  <si>
    <t>31-40</t>
  </si>
  <si>
    <t>33-40</t>
  </si>
  <si>
    <t>35-40</t>
  </si>
  <si>
    <t>37-40</t>
  </si>
  <si>
    <t>39-42</t>
  </si>
  <si>
    <t>39-45</t>
  </si>
  <si>
    <t>39-47</t>
  </si>
  <si>
    <t>39-49</t>
  </si>
  <si>
    <t>41-49</t>
  </si>
  <si>
    <t>41-51</t>
  </si>
  <si>
    <t>45-53</t>
  </si>
  <si>
    <t>48-53</t>
  </si>
  <si>
    <t>48-55</t>
  </si>
  <si>
    <t>50-55</t>
  </si>
  <si>
    <t>53-55</t>
  </si>
  <si>
    <t>53-58</t>
  </si>
  <si>
    <t>57-61</t>
  </si>
  <si>
    <t>60-62</t>
  </si>
  <si>
    <t>60-63</t>
  </si>
  <si>
    <t>60-64</t>
  </si>
  <si>
    <t>60-65</t>
  </si>
  <si>
    <t>62-65</t>
  </si>
  <si>
    <t>62-68</t>
  </si>
  <si>
    <t>62-69</t>
  </si>
  <si>
    <t>65-69</t>
  </si>
  <si>
    <t>65-70</t>
  </si>
  <si>
    <t>65-71</t>
  </si>
  <si>
    <t>67-71</t>
  </si>
  <si>
    <t>70-72</t>
  </si>
  <si>
    <t>72-72</t>
  </si>
  <si>
    <t>73-74</t>
  </si>
  <si>
    <t>74-74</t>
  </si>
  <si>
    <t>74-77</t>
  </si>
  <si>
    <t>74-79</t>
  </si>
  <si>
    <t>74-81</t>
  </si>
  <si>
    <t>74-83</t>
  </si>
  <si>
    <t>04:41</t>
  </si>
  <si>
    <t>77-83</t>
  </si>
  <si>
    <t>77-85</t>
  </si>
  <si>
    <t>80-85</t>
  </si>
  <si>
    <t>82-85</t>
  </si>
  <si>
    <t>82-88</t>
  </si>
  <si>
    <t>84-88</t>
  </si>
  <si>
    <t>86-88</t>
  </si>
  <si>
    <t>86-90</t>
  </si>
  <si>
    <t>86-91</t>
  </si>
  <si>
    <t>86-92</t>
  </si>
  <si>
    <t>87-92</t>
  </si>
  <si>
    <t>90-92</t>
  </si>
  <si>
    <t>90-94</t>
  </si>
  <si>
    <t>18-20</t>
  </si>
  <si>
    <t>21-22</t>
  </si>
  <si>
    <t>05:38</t>
  </si>
  <si>
    <t>35-32</t>
  </si>
  <si>
    <t>37-32</t>
  </si>
  <si>
    <t>40-36</t>
  </si>
  <si>
    <t>41-36</t>
  </si>
  <si>
    <t>49-38</t>
  </si>
  <si>
    <t>51-44</t>
  </si>
  <si>
    <t>54-49</t>
  </si>
  <si>
    <t>57-49</t>
  </si>
  <si>
    <t>57-50</t>
  </si>
  <si>
    <t>58-51</t>
  </si>
  <si>
    <t>60-51</t>
  </si>
  <si>
    <t>63-57</t>
  </si>
  <si>
    <t>71-62</t>
  </si>
  <si>
    <t>73-64</t>
  </si>
  <si>
    <t>75-64</t>
  </si>
  <si>
    <t>77-64</t>
  </si>
  <si>
    <t>79-67</t>
  </si>
  <si>
    <t>79-69</t>
  </si>
  <si>
    <t>79-70</t>
  </si>
  <si>
    <t>83-71</t>
  </si>
  <si>
    <t>84-71</t>
  </si>
  <si>
    <t>85-71</t>
  </si>
  <si>
    <t>87-71</t>
  </si>
  <si>
    <t>92-75</t>
  </si>
  <si>
    <t>92-76</t>
  </si>
  <si>
    <t>92-77</t>
  </si>
  <si>
    <t>94-77</t>
  </si>
  <si>
    <t>95-77</t>
  </si>
  <si>
    <t>95-79</t>
  </si>
  <si>
    <t>97-79</t>
  </si>
  <si>
    <t>2-6</t>
  </si>
  <si>
    <t>14-16</t>
  </si>
  <si>
    <t>16-20</t>
  </si>
  <si>
    <t>16-23</t>
  </si>
  <si>
    <t>18-23</t>
  </si>
  <si>
    <t>20-26</t>
  </si>
  <si>
    <t>34-35</t>
  </si>
  <si>
    <t>37-37</t>
  </si>
  <si>
    <t>43-38</t>
  </si>
  <si>
    <t>43-39</t>
  </si>
  <si>
    <t>43-41</t>
  </si>
  <si>
    <t>43-44</t>
  </si>
  <si>
    <t>46-44</t>
  </si>
  <si>
    <t>46-46</t>
  </si>
  <si>
    <t>04:43</t>
  </si>
  <si>
    <t>58-59</t>
  </si>
  <si>
    <t>64-68</t>
  </si>
  <si>
    <t>66-68</t>
  </si>
  <si>
    <t>66-71</t>
  </si>
  <si>
    <t>74-78</t>
  </si>
  <si>
    <t>01:57</t>
  </si>
  <si>
    <t>80-78</t>
  </si>
  <si>
    <t>84-80</t>
  </si>
  <si>
    <t>84-81</t>
  </si>
  <si>
    <t>85-81</t>
  </si>
  <si>
    <t>86-81</t>
  </si>
  <si>
    <t>86-84</t>
  </si>
  <si>
    <t>88-84</t>
  </si>
  <si>
    <t>9-14</t>
  </si>
  <si>
    <t>11-14</t>
  </si>
  <si>
    <t>18-22</t>
  </si>
  <si>
    <t>21-23</t>
  </si>
  <si>
    <t>21-25</t>
  </si>
  <si>
    <t>24-25</t>
  </si>
  <si>
    <t>26-26</t>
  </si>
  <si>
    <t>29-30</t>
  </si>
  <si>
    <t>31-35</t>
  </si>
  <si>
    <t>31-37</t>
  </si>
  <si>
    <t>31-39</t>
  </si>
  <si>
    <t>44-39</t>
  </si>
  <si>
    <t>48-41</t>
  </si>
  <si>
    <t>50-41</t>
  </si>
  <si>
    <t>52-46</t>
  </si>
  <si>
    <t>59-55</t>
  </si>
  <si>
    <t>63-65</t>
  </si>
  <si>
    <t>65-65</t>
  </si>
  <si>
    <t>71-73</t>
  </si>
  <si>
    <t>71-74</t>
  </si>
  <si>
    <t>71-76</t>
  </si>
  <si>
    <t>77-81</t>
  </si>
  <si>
    <t>80-81</t>
  </si>
  <si>
    <t>80-83</t>
  </si>
  <si>
    <t>80-87</t>
  </si>
  <si>
    <t>82-87</t>
  </si>
  <si>
    <t>82-89</t>
  </si>
  <si>
    <t>82-90</t>
  </si>
  <si>
    <t>4-0</t>
  </si>
  <si>
    <t>4-1</t>
  </si>
  <si>
    <t>08:22</t>
  </si>
  <si>
    <t>12-4</t>
  </si>
  <si>
    <t>26-25</t>
  </si>
  <si>
    <t>29-25</t>
  </si>
  <si>
    <t>29-27</t>
  </si>
  <si>
    <t>31-27</t>
  </si>
  <si>
    <t>34-30</t>
  </si>
  <si>
    <t>34-37</t>
  </si>
  <si>
    <t>01:45</t>
  </si>
  <si>
    <t>51-39</t>
  </si>
  <si>
    <t>54-41</t>
  </si>
  <si>
    <t>57-44</t>
  </si>
  <si>
    <t>60-44</t>
  </si>
  <si>
    <t>63-44</t>
  </si>
  <si>
    <t>63-46</t>
  </si>
  <si>
    <t>65-46</t>
  </si>
  <si>
    <t>67-46</t>
  </si>
  <si>
    <t>70-48</t>
  </si>
  <si>
    <t>71-48</t>
  </si>
  <si>
    <t>72-50</t>
  </si>
  <si>
    <t>72-52</t>
  </si>
  <si>
    <t>72-54</t>
  </si>
  <si>
    <t>72-56</t>
  </si>
  <si>
    <t>72-57</t>
  </si>
  <si>
    <t>72-58</t>
  </si>
  <si>
    <t>74-58</t>
  </si>
  <si>
    <t>80-58</t>
  </si>
  <si>
    <t>81-58</t>
  </si>
  <si>
    <t>81-60</t>
  </si>
  <si>
    <t>82-62</t>
  </si>
  <si>
    <t>83-62</t>
  </si>
  <si>
    <t>84-62</t>
  </si>
  <si>
    <t>92-62</t>
  </si>
  <si>
    <t>97-65</t>
  </si>
  <si>
    <t>97-67</t>
  </si>
  <si>
    <t>01:33</t>
  </si>
  <si>
    <t>99-67</t>
  </si>
  <si>
    <t>101-70</t>
  </si>
  <si>
    <t>103-70</t>
  </si>
  <si>
    <t>105-70</t>
  </si>
  <si>
    <t>9-15</t>
  </si>
  <si>
    <t>9-17</t>
  </si>
  <si>
    <t>11-17</t>
  </si>
  <si>
    <t>11-20</t>
  </si>
  <si>
    <t>11-21</t>
  </si>
  <si>
    <t>11-22</t>
  </si>
  <si>
    <t>11-24</t>
  </si>
  <si>
    <t>13-24</t>
  </si>
  <si>
    <t>16-24</t>
  </si>
  <si>
    <t>18-24</t>
  </si>
  <si>
    <t>08:11</t>
  </si>
  <si>
    <t>18-27</t>
  </si>
  <si>
    <t>18-30</t>
  </si>
  <si>
    <t>23-31</t>
  </si>
  <si>
    <t>23-32</t>
  </si>
  <si>
    <t>25-32</t>
  </si>
  <si>
    <t>33-41</t>
  </si>
  <si>
    <t>36-41</t>
  </si>
  <si>
    <t>39-41</t>
  </si>
  <si>
    <t>39-44</t>
  </si>
  <si>
    <t>44-46</t>
  </si>
  <si>
    <t>44-47</t>
  </si>
  <si>
    <t>47-53</t>
  </si>
  <si>
    <t>47-55</t>
  </si>
  <si>
    <t>09:52</t>
  </si>
  <si>
    <t>55-63</t>
  </si>
  <si>
    <t>09:32</t>
  </si>
  <si>
    <t>64-67</t>
  </si>
  <si>
    <t>64-71</t>
  </si>
  <si>
    <t>66-73</t>
  </si>
  <si>
    <t>66-74</t>
  </si>
  <si>
    <t>67-76</t>
  </si>
  <si>
    <t>69-77</t>
  </si>
  <si>
    <t>69-78</t>
  </si>
  <si>
    <t>69-79</t>
  </si>
  <si>
    <t>5-5</t>
  </si>
  <si>
    <t>05:33</t>
  </si>
  <si>
    <t>15-22</t>
  </si>
  <si>
    <t>15-24</t>
  </si>
  <si>
    <t>15-27</t>
  </si>
  <si>
    <t>17-27</t>
  </si>
  <si>
    <t>17-29</t>
  </si>
  <si>
    <t>20-29</t>
  </si>
  <si>
    <t>25-34</t>
  </si>
  <si>
    <t>30-42</t>
  </si>
  <si>
    <t>30-44</t>
  </si>
  <si>
    <t>33-44</t>
  </si>
  <si>
    <t>38-48</t>
  </si>
  <si>
    <t>08:52</t>
  </si>
  <si>
    <t>41-50</t>
  </si>
  <si>
    <t>48-51</t>
  </si>
  <si>
    <t>51-51</t>
  </si>
  <si>
    <t>53-51</t>
  </si>
  <si>
    <t>53-53</t>
  </si>
  <si>
    <t>56-53</t>
  </si>
  <si>
    <t>58-53</t>
  </si>
  <si>
    <t>63-55</t>
  </si>
  <si>
    <t>64-55</t>
  </si>
  <si>
    <t>02:03</t>
  </si>
  <si>
    <t>67-57</t>
  </si>
  <si>
    <t>67-59</t>
  </si>
  <si>
    <t>67-60</t>
  </si>
  <si>
    <t>67-61</t>
  </si>
  <si>
    <t>71-69</t>
  </si>
  <si>
    <t>76-71</t>
  </si>
  <si>
    <t>81-71</t>
  </si>
  <si>
    <t>84-75</t>
  </si>
  <si>
    <t>85-77</t>
  </si>
  <si>
    <t>86-77</t>
  </si>
  <si>
    <t>86-80</t>
  </si>
  <si>
    <t>88-80</t>
  </si>
  <si>
    <t>88-82</t>
  </si>
  <si>
    <t>89-82</t>
  </si>
  <si>
    <t>90-83</t>
  </si>
  <si>
    <t>90-84</t>
  </si>
  <si>
    <t>90-85</t>
  </si>
  <si>
    <t>91-85</t>
  </si>
  <si>
    <t>92-85</t>
  </si>
  <si>
    <t>93-85</t>
  </si>
  <si>
    <t>94-85</t>
  </si>
  <si>
    <t>9-0</t>
  </si>
  <si>
    <t>11-0</t>
  </si>
  <si>
    <t>13-0</t>
  </si>
  <si>
    <t>13-2</t>
  </si>
  <si>
    <t>17-11</t>
  </si>
  <si>
    <t>21-17</t>
  </si>
  <si>
    <t>27-19</t>
  </si>
  <si>
    <t>27-21</t>
  </si>
  <si>
    <t>29-21</t>
  </si>
  <si>
    <t>29-28</t>
  </si>
  <si>
    <t>29-34</t>
  </si>
  <si>
    <t>37-36</t>
  </si>
  <si>
    <t>44-41</t>
  </si>
  <si>
    <t>46-43</t>
  </si>
  <si>
    <t>46-45</t>
  </si>
  <si>
    <t>48-48</t>
  </si>
  <si>
    <t>50-51</t>
  </si>
  <si>
    <t>55-52</t>
  </si>
  <si>
    <t>55-54</t>
  </si>
  <si>
    <t>55-57</t>
  </si>
  <si>
    <t>57-57</t>
  </si>
  <si>
    <t>59-57</t>
  </si>
  <si>
    <t>61-62</t>
  </si>
  <si>
    <t>62-62</t>
  </si>
  <si>
    <t>64-65</t>
  </si>
  <si>
    <t>67-73</t>
  </si>
  <si>
    <t>70-73</t>
  </si>
  <si>
    <t>73-76</t>
  </si>
  <si>
    <t>73-78</t>
  </si>
  <si>
    <t>78-80</t>
  </si>
  <si>
    <t>81-80</t>
  </si>
  <si>
    <t>83-80</t>
  </si>
  <si>
    <t>83-82</t>
  </si>
  <si>
    <t>84-82</t>
  </si>
  <si>
    <t>85-82</t>
  </si>
  <si>
    <t>06:26</t>
  </si>
  <si>
    <t>15-6</t>
  </si>
  <si>
    <t>17-6</t>
  </si>
  <si>
    <t>18-6</t>
  </si>
  <si>
    <t>19-6</t>
  </si>
  <si>
    <t>19-7</t>
  </si>
  <si>
    <t>19-8</t>
  </si>
  <si>
    <t>21-8</t>
  </si>
  <si>
    <t>23-13</t>
  </si>
  <si>
    <t>24-13</t>
  </si>
  <si>
    <t>25-13</t>
  </si>
  <si>
    <t>28-13</t>
  </si>
  <si>
    <t>28-16</t>
  </si>
  <si>
    <t>28-20</t>
  </si>
  <si>
    <t>31-20</t>
  </si>
  <si>
    <t>31-22</t>
  </si>
  <si>
    <t>33-22</t>
  </si>
  <si>
    <t>33-26</t>
  </si>
  <si>
    <t>35-26</t>
  </si>
  <si>
    <t>35-27</t>
  </si>
  <si>
    <t>48-43</t>
  </si>
  <si>
    <t>50-43</t>
  </si>
  <si>
    <t>55-56</t>
  </si>
  <si>
    <t>60-59</t>
  </si>
  <si>
    <t>65-67</t>
  </si>
  <si>
    <t>76-80</t>
  </si>
  <si>
    <t>0-1</t>
  </si>
  <si>
    <t>15-11</t>
  </si>
  <si>
    <t>17-14</t>
  </si>
  <si>
    <t>20-14</t>
  </si>
  <si>
    <t>24-16</t>
  </si>
  <si>
    <t>29-20</t>
  </si>
  <si>
    <t>37-26</t>
  </si>
  <si>
    <t>38-26</t>
  </si>
  <si>
    <t>38-28</t>
  </si>
  <si>
    <t>40-28</t>
  </si>
  <si>
    <t>42-38</t>
  </si>
  <si>
    <t>44-40</t>
  </si>
  <si>
    <t>46-42</t>
  </si>
  <si>
    <t>49-44</t>
  </si>
  <si>
    <t>56-48</t>
  </si>
  <si>
    <t>58-56</t>
  </si>
  <si>
    <t>65-58</t>
  </si>
  <si>
    <t>65-59</t>
  </si>
  <si>
    <t>69-64</t>
  </si>
  <si>
    <t>69-65</t>
  </si>
  <si>
    <t>70-65</t>
  </si>
  <si>
    <t>73-65</t>
  </si>
  <si>
    <t>77-68</t>
  </si>
  <si>
    <t>9-6</t>
  </si>
  <si>
    <t>11-6</t>
  </si>
  <si>
    <t>30-22</t>
  </si>
  <si>
    <t>03:51</t>
  </si>
  <si>
    <t>33-28</t>
  </si>
  <si>
    <t>38-32</t>
  </si>
  <si>
    <t>39-32</t>
  </si>
  <si>
    <t>43-50</t>
  </si>
  <si>
    <t>44-53</t>
  </si>
  <si>
    <t>47-57</t>
  </si>
  <si>
    <t>51-57</t>
  </si>
  <si>
    <t>08:50</t>
  </si>
  <si>
    <t>51-61</t>
  </si>
  <si>
    <t>51-62</t>
  </si>
  <si>
    <t>53-62</t>
  </si>
  <si>
    <t>53-63</t>
  </si>
  <si>
    <t>53-64</t>
  </si>
  <si>
    <t>53-66</t>
  </si>
  <si>
    <t>53-68</t>
  </si>
  <si>
    <t>55-68</t>
  </si>
  <si>
    <t>55-70</t>
  </si>
  <si>
    <t>55-71</t>
  </si>
  <si>
    <t>55-74</t>
  </si>
  <si>
    <t>58-74</t>
  </si>
  <si>
    <t>60-74</t>
  </si>
  <si>
    <t>60-77</t>
  </si>
  <si>
    <t>60-80</t>
  </si>
  <si>
    <t>61-80</t>
  </si>
  <si>
    <t>62-80</t>
  </si>
  <si>
    <t>62-83</t>
  </si>
  <si>
    <t>65-83</t>
  </si>
  <si>
    <t>67-83</t>
  </si>
  <si>
    <t>68-83</t>
  </si>
  <si>
    <t>7-2</t>
  </si>
  <si>
    <t>9-2</t>
  </si>
  <si>
    <t>11-5</t>
  </si>
  <si>
    <t>23-17</t>
  </si>
  <si>
    <t>45-40</t>
  </si>
  <si>
    <t>45-41</t>
  </si>
  <si>
    <t>47-41</t>
  </si>
  <si>
    <t>51-43</t>
  </si>
  <si>
    <t>53-43</t>
  </si>
  <si>
    <t>56-47</t>
  </si>
  <si>
    <t>65-56</t>
  </si>
  <si>
    <t>65-64</t>
  </si>
  <si>
    <t>69-67</t>
  </si>
  <si>
    <t>70-67</t>
  </si>
  <si>
    <t>71-67</t>
  </si>
  <si>
    <t>10-16</t>
  </si>
  <si>
    <t>00:58</t>
  </si>
  <si>
    <t>46-41</t>
  </si>
  <si>
    <t>48-45</t>
  </si>
  <si>
    <t>48-46</t>
  </si>
  <si>
    <t>51-53</t>
  </si>
  <si>
    <t>56-63</t>
  </si>
  <si>
    <t>59-65</t>
  </si>
  <si>
    <t>59-72</t>
  </si>
  <si>
    <t>59-74</t>
  </si>
  <si>
    <t>59-76</t>
  </si>
  <si>
    <t>60-76</t>
  </si>
  <si>
    <t>61-76</t>
  </si>
  <si>
    <t>67-78</t>
  </si>
  <si>
    <t>70-78</t>
  </si>
  <si>
    <t>70-81</t>
  </si>
  <si>
    <t>77-84</t>
  </si>
  <si>
    <t>80-84</t>
  </si>
  <si>
    <t>85-90</t>
  </si>
  <si>
    <t>85-92</t>
  </si>
  <si>
    <t>85-94</t>
  </si>
  <si>
    <t>85-95</t>
  </si>
  <si>
    <t>04:02</t>
  </si>
  <si>
    <t>88-95</t>
  </si>
  <si>
    <t>88-97</t>
  </si>
  <si>
    <t>90-97</t>
  </si>
  <si>
    <t>90-98</t>
  </si>
  <si>
    <t>90-99</t>
  </si>
  <si>
    <t>90-101</t>
  </si>
  <si>
    <t>93-103</t>
  </si>
  <si>
    <t>93-106</t>
  </si>
  <si>
    <t>93-108</t>
  </si>
  <si>
    <t>93-110</t>
  </si>
  <si>
    <t>95-110</t>
  </si>
  <si>
    <t>95-112</t>
  </si>
  <si>
    <t>98-112</t>
  </si>
  <si>
    <t>7-0</t>
  </si>
  <si>
    <t>11-2</t>
  </si>
  <si>
    <t>11-4</t>
  </si>
  <si>
    <t>13-4</t>
  </si>
  <si>
    <t>13-7</t>
  </si>
  <si>
    <t>29-18</t>
  </si>
  <si>
    <t>31-18</t>
  </si>
  <si>
    <t>34-22</t>
  </si>
  <si>
    <t>37-22</t>
  </si>
  <si>
    <t>37-24</t>
  </si>
  <si>
    <t>39-24</t>
  </si>
  <si>
    <t>40-26</t>
  </si>
  <si>
    <t>42-26</t>
  </si>
  <si>
    <t>45-26</t>
  </si>
  <si>
    <t>45-28</t>
  </si>
  <si>
    <t>47-28</t>
  </si>
  <si>
    <t>47-30</t>
  </si>
  <si>
    <t>47-32</t>
  </si>
  <si>
    <t>50-32</t>
  </si>
  <si>
    <t>53-32</t>
  </si>
  <si>
    <t>53-35</t>
  </si>
  <si>
    <t>55-38</t>
  </si>
  <si>
    <t>55-40</t>
  </si>
  <si>
    <t>57-43</t>
  </si>
  <si>
    <t>60-46</t>
  </si>
  <si>
    <t>63-48</t>
  </si>
  <si>
    <t>63-50</t>
  </si>
  <si>
    <t>65-50</t>
  </si>
  <si>
    <t>66-50</t>
  </si>
  <si>
    <t>66-53</t>
  </si>
  <si>
    <t>66-56</t>
  </si>
  <si>
    <t>69-56</t>
  </si>
  <si>
    <t>74-60</t>
  </si>
  <si>
    <t>76-60</t>
  </si>
  <si>
    <t>78-67</t>
  </si>
  <si>
    <t>78-68</t>
  </si>
  <si>
    <t>80-70</t>
  </si>
  <si>
    <t>83-74</t>
  </si>
  <si>
    <t>89-74</t>
  </si>
  <si>
    <t>91-74</t>
  </si>
  <si>
    <t>91-75</t>
  </si>
  <si>
    <t>91-76</t>
  </si>
  <si>
    <t>91-78</t>
  </si>
  <si>
    <t>92-78</t>
  </si>
  <si>
    <t>93-78</t>
  </si>
  <si>
    <t>95-78</t>
  </si>
  <si>
    <t>96-79</t>
  </si>
  <si>
    <t>97-82</t>
  </si>
  <si>
    <t>98-82</t>
  </si>
  <si>
    <t>98-85</t>
  </si>
  <si>
    <t>99-85</t>
  </si>
  <si>
    <t>100-85</t>
  </si>
  <si>
    <t>101-85</t>
  </si>
  <si>
    <t>101-87</t>
  </si>
  <si>
    <t>103-87</t>
  </si>
  <si>
    <t>103-89</t>
  </si>
  <si>
    <t>15-19</t>
  </si>
  <si>
    <t>15-21</t>
  </si>
  <si>
    <t>16-21</t>
  </si>
  <si>
    <t>23-24</t>
  </si>
  <si>
    <t>25-24</t>
  </si>
  <si>
    <t>35-29</t>
  </si>
  <si>
    <t>48-40</t>
  </si>
  <si>
    <t>51-45</t>
  </si>
  <si>
    <t>71-68</t>
  </si>
  <si>
    <t>71-70</t>
  </si>
  <si>
    <t>84-84</t>
  </si>
  <si>
    <t>84-85</t>
  </si>
  <si>
    <t>84-86</t>
  </si>
  <si>
    <t>84-89</t>
  </si>
  <si>
    <t>86-89</t>
  </si>
  <si>
    <t>88-89</t>
  </si>
  <si>
    <t>88-90</t>
  </si>
  <si>
    <t>88-91</t>
  </si>
  <si>
    <t>91-91</t>
  </si>
  <si>
    <t>91-93</t>
  </si>
  <si>
    <t>91-94</t>
  </si>
  <si>
    <t>91-95</t>
  </si>
  <si>
    <t>18-18</t>
  </si>
  <si>
    <t>18-21</t>
  </si>
  <si>
    <t>19-29</t>
  </si>
  <si>
    <t>21-29</t>
  </si>
  <si>
    <t>35-36</t>
  </si>
  <si>
    <t>35-41</t>
  </si>
  <si>
    <t>52-48</t>
  </si>
  <si>
    <t>55-48</t>
  </si>
  <si>
    <t>65-57</t>
  </si>
  <si>
    <t>69-61</t>
  </si>
  <si>
    <t>70-64</t>
  </si>
  <si>
    <t>72-69</t>
  </si>
  <si>
    <t>74-69</t>
  </si>
  <si>
    <t>74-71</t>
  </si>
  <si>
    <t>77-76</t>
  </si>
  <si>
    <t>80-80</t>
  </si>
  <si>
    <t>80-82</t>
  </si>
  <si>
    <t>82-83</t>
  </si>
  <si>
    <t>83-83</t>
  </si>
  <si>
    <t>84-83</t>
  </si>
  <si>
    <t>85-85</t>
  </si>
  <si>
    <t>86-85</t>
  </si>
  <si>
    <t>86-87</t>
  </si>
  <si>
    <t>90-90</t>
  </si>
  <si>
    <t>93-90</t>
  </si>
  <si>
    <t>0-8</t>
  </si>
  <si>
    <t>0-9</t>
  </si>
  <si>
    <t>0-12</t>
  </si>
  <si>
    <t>2-12</t>
  </si>
  <si>
    <t>4-12</t>
  </si>
  <si>
    <t>4-14</t>
  </si>
  <si>
    <t>4-15</t>
  </si>
  <si>
    <t>6-15</t>
  </si>
  <si>
    <t>8-15</t>
  </si>
  <si>
    <t>11-25</t>
  </si>
  <si>
    <t>11-26</t>
  </si>
  <si>
    <t>11-27</t>
  </si>
  <si>
    <t>13-27</t>
  </si>
  <si>
    <t>16-27</t>
  </si>
  <si>
    <t>16-29</t>
  </si>
  <si>
    <t>29-36</t>
  </si>
  <si>
    <t>32-36</t>
  </si>
  <si>
    <t>36-38</t>
  </si>
  <si>
    <t>45-51</t>
  </si>
  <si>
    <t>50-53</t>
  </si>
  <si>
    <t>52-61</t>
  </si>
  <si>
    <t>56-64</t>
  </si>
  <si>
    <t>62-66</t>
  </si>
  <si>
    <t>65-73</t>
  </si>
  <si>
    <t>65-75</t>
  </si>
  <si>
    <t>65-76</t>
  </si>
  <si>
    <t>67-79</t>
  </si>
  <si>
    <t>68-79</t>
  </si>
  <si>
    <t>75-83</t>
  </si>
  <si>
    <t>75-85</t>
  </si>
  <si>
    <t>75-87</t>
  </si>
  <si>
    <t>76-87</t>
  </si>
  <si>
    <t>77-87</t>
  </si>
  <si>
    <t>79-87</t>
  </si>
  <si>
    <t>24-24</t>
  </si>
  <si>
    <t>32-27</t>
  </si>
  <si>
    <t>34-27</t>
  </si>
  <si>
    <t>45-35</t>
  </si>
  <si>
    <t>48-36</t>
  </si>
  <si>
    <t>49-37</t>
  </si>
  <si>
    <t>50-39</t>
  </si>
  <si>
    <t>57-41</t>
  </si>
  <si>
    <t>60-43</t>
  </si>
  <si>
    <t>60-45</t>
  </si>
  <si>
    <t>60-47</t>
  </si>
  <si>
    <t>61-47</t>
  </si>
  <si>
    <t>61-50</t>
  </si>
  <si>
    <t>64-50</t>
  </si>
  <si>
    <t>64-52</t>
  </si>
  <si>
    <t>67-52</t>
  </si>
  <si>
    <t>67-54</t>
  </si>
  <si>
    <t>67-56</t>
  </si>
  <si>
    <t>71-56</t>
  </si>
  <si>
    <t>74-59</t>
  </si>
  <si>
    <t>77-59</t>
  </si>
  <si>
    <t>79-61</t>
  </si>
  <si>
    <t>79-63</t>
  </si>
  <si>
    <t>79-64</t>
  </si>
  <si>
    <t>82-64</t>
  </si>
  <si>
    <t>82-66</t>
  </si>
  <si>
    <t>85-66</t>
  </si>
  <si>
    <t>85-68</t>
  </si>
  <si>
    <t>85-69</t>
  </si>
  <si>
    <t>85-70</t>
  </si>
  <si>
    <t>87-70</t>
  </si>
  <si>
    <t>Diferença (MIN - BOT)</t>
  </si>
  <si>
    <t>9-16</t>
  </si>
  <si>
    <t>11-16</t>
  </si>
  <si>
    <t>36-25</t>
  </si>
  <si>
    <t>39-28</t>
  </si>
  <si>
    <t>47-34</t>
  </si>
  <si>
    <t>49-34</t>
  </si>
  <si>
    <t>50-34</t>
  </si>
  <si>
    <t>52-37</t>
  </si>
  <si>
    <t>54-37</t>
  </si>
  <si>
    <t>56-37</t>
  </si>
  <si>
    <t>57-40</t>
  </si>
  <si>
    <t>59-40</t>
  </si>
  <si>
    <t>59-42</t>
  </si>
  <si>
    <t>65-44</t>
  </si>
  <si>
    <t>68-44</t>
  </si>
  <si>
    <t>68-45</t>
  </si>
  <si>
    <t>69-45</t>
  </si>
  <si>
    <t>70-45</t>
  </si>
  <si>
    <t>71-45</t>
  </si>
  <si>
    <t>73-45</t>
  </si>
  <si>
    <t>73-46</t>
  </si>
  <si>
    <t>73-47</t>
  </si>
  <si>
    <t>75-47</t>
  </si>
  <si>
    <t>75-48</t>
  </si>
  <si>
    <t>75-49</t>
  </si>
  <si>
    <t>75-52</t>
  </si>
  <si>
    <t>75-54</t>
  </si>
  <si>
    <t>77-54</t>
  </si>
  <si>
    <t>77-57</t>
  </si>
  <si>
    <t>81-62</t>
  </si>
  <si>
    <t>06:22</t>
  </si>
  <si>
    <t>81-63</t>
  </si>
  <si>
    <t>84-63</t>
  </si>
  <si>
    <t>84-65</t>
  </si>
  <si>
    <t>86-65</t>
  </si>
  <si>
    <t>87-65</t>
  </si>
  <si>
    <t>87-68</t>
  </si>
  <si>
    <t>89-70</t>
  </si>
  <si>
    <t>89-72</t>
  </si>
  <si>
    <t>90-72</t>
  </si>
  <si>
    <t>91-72</t>
  </si>
  <si>
    <t>94-75</t>
  </si>
  <si>
    <t>94-76</t>
  </si>
  <si>
    <t>95-76</t>
  </si>
  <si>
    <t>96-76</t>
  </si>
  <si>
    <t>Nº de cestas com BOT na frente</t>
  </si>
  <si>
    <t>Diferença (MIN - R10)</t>
  </si>
  <si>
    <t>20-32</t>
  </si>
  <si>
    <t>23-34</t>
  </si>
  <si>
    <t>24-34</t>
  </si>
  <si>
    <t>53-40</t>
  </si>
  <si>
    <t>57-42</t>
  </si>
  <si>
    <t>60-49</t>
  </si>
  <si>
    <t>62-50</t>
  </si>
  <si>
    <t>66-52</t>
  </si>
  <si>
    <t>68-53</t>
  </si>
  <si>
    <t>68-56</t>
  </si>
  <si>
    <t>69-58</t>
  </si>
  <si>
    <t>70-58</t>
  </si>
  <si>
    <t>72-60</t>
  </si>
  <si>
    <t>Nº de cestas com R10 na frente</t>
  </si>
  <si>
    <t>Diferença (MIN - COO)</t>
  </si>
  <si>
    <t>18-14</t>
  </si>
  <si>
    <t>33-37</t>
  </si>
  <si>
    <t>35-38</t>
  </si>
  <si>
    <t>45-47</t>
  </si>
  <si>
    <t>46-47</t>
  </si>
  <si>
    <t>48-47</t>
  </si>
  <si>
    <t>50-49</t>
  </si>
  <si>
    <t>58-49</t>
  </si>
  <si>
    <t>62-52</t>
  </si>
  <si>
    <t>62-53</t>
  </si>
  <si>
    <t>64-54</t>
  </si>
  <si>
    <t>70-57</t>
  </si>
  <si>
    <t>73-57</t>
  </si>
  <si>
    <t>73-59</t>
  </si>
  <si>
    <t>75-61</t>
  </si>
  <si>
    <t>75-65</t>
  </si>
  <si>
    <t>Nº de cestas com COO na frente</t>
  </si>
  <si>
    <t>Diferença (MIN - MOG)</t>
  </si>
  <si>
    <t>21-10</t>
  </si>
  <si>
    <t>22-10</t>
  </si>
  <si>
    <t>23-10</t>
  </si>
  <si>
    <t>26-10</t>
  </si>
  <si>
    <t>26-12</t>
  </si>
  <si>
    <t>27-12</t>
  </si>
  <si>
    <t>28-12</t>
  </si>
  <si>
    <t>28-15</t>
  </si>
  <si>
    <t>31-15</t>
  </si>
  <si>
    <t>33-15</t>
  </si>
  <si>
    <t>33-17</t>
  </si>
  <si>
    <t>36-20</t>
  </si>
  <si>
    <t>36-23</t>
  </si>
  <si>
    <t>39-23</t>
  </si>
  <si>
    <t>39-25</t>
  </si>
  <si>
    <t>42-25</t>
  </si>
  <si>
    <t>42-28</t>
  </si>
  <si>
    <t>42-30</t>
  </si>
  <si>
    <t>42-32</t>
  </si>
  <si>
    <t>50-45</t>
  </si>
  <si>
    <t>52-45</t>
  </si>
  <si>
    <t>53-45</t>
  </si>
  <si>
    <t>56-51</t>
  </si>
  <si>
    <t>64-61</t>
  </si>
  <si>
    <t>64-63</t>
  </si>
  <si>
    <t>73-63</t>
  </si>
  <si>
    <t>74-63</t>
  </si>
  <si>
    <t>77-70</t>
  </si>
  <si>
    <t>Nº de cestas com MOG na frente</t>
  </si>
  <si>
    <t>19-11</t>
  </si>
  <si>
    <t>22-11</t>
  </si>
  <si>
    <t>24-11</t>
  </si>
  <si>
    <t>24-14</t>
  </si>
  <si>
    <t>26-16</t>
  </si>
  <si>
    <t>26-17</t>
  </si>
  <si>
    <t>29-19</t>
  </si>
  <si>
    <t>31-19</t>
  </si>
  <si>
    <t>32-19</t>
  </si>
  <si>
    <t>32-21</t>
  </si>
  <si>
    <t>32-22</t>
  </si>
  <si>
    <t>34-24</t>
  </si>
  <si>
    <t>36-24</t>
  </si>
  <si>
    <t>36-26</t>
  </si>
  <si>
    <t>42-31</t>
  </si>
  <si>
    <t>56-44</t>
  </si>
  <si>
    <t>63-51</t>
  </si>
  <si>
    <t>65-51</t>
  </si>
  <si>
    <t>66-51</t>
  </si>
  <si>
    <t>68-51</t>
  </si>
  <si>
    <t>69-53</t>
  </si>
  <si>
    <t>71-53</t>
  </si>
  <si>
    <t>71-55</t>
  </si>
  <si>
    <t>72-55</t>
  </si>
  <si>
    <t>73-55</t>
  </si>
  <si>
    <t>77-63</t>
  </si>
  <si>
    <t>80-63</t>
  </si>
  <si>
    <t>83-63</t>
  </si>
  <si>
    <t>86-63</t>
  </si>
  <si>
    <t>86-66</t>
  </si>
  <si>
    <t>88-66</t>
  </si>
  <si>
    <t>88-68</t>
  </si>
  <si>
    <t>89-68</t>
  </si>
  <si>
    <t>90-68</t>
  </si>
  <si>
    <t>90-70</t>
  </si>
  <si>
    <t>92-70</t>
  </si>
  <si>
    <t>92-72</t>
  </si>
  <si>
    <t>93-75</t>
  </si>
  <si>
    <t>97-77</t>
  </si>
  <si>
    <t>99-77</t>
  </si>
  <si>
    <t>99-80</t>
  </si>
  <si>
    <t>04:52</t>
  </si>
  <si>
    <t>28-23</t>
  </si>
  <si>
    <t>42-53</t>
  </si>
  <si>
    <t>51-58</t>
  </si>
  <si>
    <t>57-65</t>
  </si>
  <si>
    <t>57-68</t>
  </si>
  <si>
    <t>59-69</t>
  </si>
  <si>
    <t>64-69</t>
  </si>
  <si>
    <t>64-70</t>
  </si>
  <si>
    <t>66-72</t>
  </si>
  <si>
    <t>69-76</t>
  </si>
  <si>
    <t>71-79</t>
  </si>
  <si>
    <t>71-80</t>
  </si>
  <si>
    <t>22-13</t>
  </si>
  <si>
    <t>32-24</t>
  </si>
  <si>
    <t>38-27</t>
  </si>
  <si>
    <t>41-28</t>
  </si>
  <si>
    <t>41-30</t>
  </si>
  <si>
    <t>41-32</t>
  </si>
  <si>
    <t>51-36</t>
  </si>
  <si>
    <t>51-42</t>
  </si>
  <si>
    <t>53-44</t>
  </si>
  <si>
    <t>55-44</t>
  </si>
  <si>
    <t>62-46</t>
  </si>
  <si>
    <t>62-48</t>
  </si>
  <si>
    <t>65-52</t>
  </si>
  <si>
    <t>65-53</t>
  </si>
  <si>
    <t>65-54</t>
  </si>
  <si>
    <t>66-54</t>
  </si>
  <si>
    <t>71-58</t>
  </si>
  <si>
    <t>71-61</t>
  </si>
  <si>
    <t>74-61</t>
  </si>
  <si>
    <t>75-63</t>
  </si>
  <si>
    <t>76-63</t>
  </si>
  <si>
    <t>76-66</t>
  </si>
  <si>
    <t>78-66</t>
  </si>
  <si>
    <t>81-73</t>
  </si>
  <si>
    <t>11-3</t>
  </si>
  <si>
    <t>22-9</t>
  </si>
  <si>
    <t>31-11</t>
  </si>
  <si>
    <t>31-12</t>
  </si>
  <si>
    <t>31-13</t>
  </si>
  <si>
    <t>31-17</t>
  </si>
  <si>
    <t>33-19</t>
  </si>
  <si>
    <t>35-21</t>
  </si>
  <si>
    <t>35-23</t>
  </si>
  <si>
    <t>35-24</t>
  </si>
  <si>
    <t>37-27</t>
  </si>
  <si>
    <t>39-27</t>
  </si>
  <si>
    <t>42-27</t>
  </si>
  <si>
    <t>45-30</t>
  </si>
  <si>
    <t>45-31</t>
  </si>
  <si>
    <t>45-32</t>
  </si>
  <si>
    <t>48-32</t>
  </si>
  <si>
    <t>50-38</t>
  </si>
  <si>
    <t>58-43</t>
  </si>
  <si>
    <t>58-47</t>
  </si>
  <si>
    <t>64-58</t>
  </si>
  <si>
    <t>69-60</t>
  </si>
  <si>
    <t>77-65</t>
  </si>
  <si>
    <t>83-67</t>
  </si>
  <si>
    <t>83-69</t>
  </si>
  <si>
    <t>86-71</t>
  </si>
  <si>
    <t>14-11</t>
  </si>
  <si>
    <t>16-11</t>
  </si>
  <si>
    <t>39-30</t>
  </si>
  <si>
    <t>49-47</t>
  </si>
  <si>
    <t>51-50</t>
  </si>
  <si>
    <t>54-51</t>
  </si>
  <si>
    <t>67-67</t>
  </si>
  <si>
    <t>67-69</t>
  </si>
  <si>
    <t>69-69</t>
  </si>
  <si>
    <t>69-71</t>
  </si>
  <si>
    <t>75-75</t>
  </si>
  <si>
    <t>75-77</t>
  </si>
  <si>
    <t>81-79</t>
  </si>
  <si>
    <t>82-80</t>
  </si>
  <si>
    <t>12-2</t>
  </si>
  <si>
    <t>14-2</t>
  </si>
  <si>
    <t>17-5</t>
  </si>
  <si>
    <t>20-5</t>
  </si>
  <si>
    <t>20-7</t>
  </si>
  <si>
    <t>21-7</t>
  </si>
  <si>
    <t>22-7</t>
  </si>
  <si>
    <t>23-9</t>
  </si>
  <si>
    <t>25-9</t>
  </si>
  <si>
    <t>27-9</t>
  </si>
  <si>
    <t>27-11</t>
  </si>
  <si>
    <t>27-13</t>
  </si>
  <si>
    <t>29-13</t>
  </si>
  <si>
    <t>29-15</t>
  </si>
  <si>
    <t>36-15</t>
  </si>
  <si>
    <t>36-17</t>
  </si>
  <si>
    <t>44-26</t>
  </si>
  <si>
    <t>09:56</t>
  </si>
  <si>
    <t>47-26</t>
  </si>
  <si>
    <t>50-28</t>
  </si>
  <si>
    <t>50-30</t>
  </si>
  <si>
    <t>57-37</t>
  </si>
  <si>
    <t>57-38</t>
  </si>
  <si>
    <t>57-39</t>
  </si>
  <si>
    <t>59-39</t>
  </si>
  <si>
    <t>59-41</t>
  </si>
  <si>
    <t>59-43</t>
  </si>
  <si>
    <t>61-49</t>
  </si>
  <si>
    <t>61-52</t>
  </si>
  <si>
    <t>72-68</t>
  </si>
  <si>
    <t>72-70</t>
  </si>
  <si>
    <t>75-70</t>
  </si>
  <si>
    <t>77-75</t>
  </si>
  <si>
    <t>77-77</t>
  </si>
  <si>
    <t>80-79</t>
  </si>
  <si>
    <t>82-82</t>
  </si>
  <si>
    <t>86-82</t>
  </si>
  <si>
    <t>91-86</t>
  </si>
  <si>
    <t>91-87</t>
  </si>
  <si>
    <t>91-88</t>
  </si>
  <si>
    <t>92-88</t>
  </si>
  <si>
    <t>93-88</t>
  </si>
  <si>
    <t>27-30</t>
  </si>
  <si>
    <t>46-50</t>
  </si>
  <si>
    <t>53-56</t>
  </si>
  <si>
    <t>64-64</t>
  </si>
  <si>
    <t>64-66</t>
  </si>
  <si>
    <t>66-66</t>
  </si>
  <si>
    <t>9-8</t>
  </si>
  <si>
    <t>30-20</t>
  </si>
  <si>
    <t>32-20</t>
  </si>
  <si>
    <t>32-23</t>
  </si>
  <si>
    <t>34-23</t>
  </si>
  <si>
    <t>43-32</t>
  </si>
  <si>
    <t>49-45</t>
  </si>
  <si>
    <t>57-60</t>
  </si>
  <si>
    <t>61-68</t>
  </si>
  <si>
    <t>63-71</t>
  </si>
  <si>
    <t>63-77</t>
  </si>
  <si>
    <t>64-77</t>
  </si>
  <si>
    <t>65-77</t>
  </si>
  <si>
    <t>65-79</t>
  </si>
  <si>
    <t>65-81</t>
  </si>
  <si>
    <t>70-83</t>
  </si>
  <si>
    <t>70-86</t>
  </si>
  <si>
    <t>75-92</t>
  </si>
  <si>
    <t>77-92</t>
  </si>
  <si>
    <t>77-94</t>
  </si>
  <si>
    <t>79-94</t>
  </si>
  <si>
    <t>79-96</t>
  </si>
  <si>
    <t>82-97</t>
  </si>
  <si>
    <t>82-98</t>
  </si>
  <si>
    <t>85-98</t>
  </si>
  <si>
    <t>85-99</t>
  </si>
  <si>
    <t>88-99</t>
  </si>
  <si>
    <t>88-101</t>
  </si>
  <si>
    <t>91-101</t>
  </si>
  <si>
    <t>91-103</t>
  </si>
  <si>
    <t>94-103</t>
  </si>
  <si>
    <t>94-104</t>
  </si>
  <si>
    <t>94-105</t>
  </si>
  <si>
    <t>96-105</t>
  </si>
  <si>
    <t>31-21</t>
  </si>
  <si>
    <t>33-23</t>
  </si>
  <si>
    <t>36-27</t>
  </si>
  <si>
    <t>39-29</t>
  </si>
  <si>
    <t>42-29</t>
  </si>
  <si>
    <t>53-36</t>
  </si>
  <si>
    <t>55-36</t>
  </si>
  <si>
    <t>55-37</t>
  </si>
  <si>
    <t>55-39</t>
  </si>
  <si>
    <t>58-40</t>
  </si>
  <si>
    <t>58-42</t>
  </si>
  <si>
    <t>61-42</t>
  </si>
  <si>
    <t>61-44</t>
  </si>
  <si>
    <t>63-47</t>
  </si>
  <si>
    <t>68-47</t>
  </si>
  <si>
    <t>68-48</t>
  </si>
  <si>
    <t>71-49</t>
  </si>
  <si>
    <t>72-49</t>
  </si>
  <si>
    <t>73-49</t>
  </si>
  <si>
    <t>77-49</t>
  </si>
  <si>
    <t>77-52</t>
  </si>
  <si>
    <t>78-52</t>
  </si>
  <si>
    <t>80-54</t>
  </si>
  <si>
    <t>82-54</t>
  </si>
  <si>
    <t>82-55</t>
  </si>
  <si>
    <t>82-56</t>
  </si>
  <si>
    <t>84-56</t>
  </si>
  <si>
    <t>84-57</t>
  </si>
  <si>
    <t>85-59</t>
  </si>
  <si>
    <t>85-61</t>
  </si>
  <si>
    <t>86-61</t>
  </si>
  <si>
    <t>89-61</t>
  </si>
  <si>
    <t>91-61</t>
  </si>
  <si>
    <t>15-3</t>
  </si>
  <si>
    <t>17-3</t>
  </si>
  <si>
    <t>30-12</t>
  </si>
  <si>
    <t>34-15</t>
  </si>
  <si>
    <t>39-19</t>
  </si>
  <si>
    <t>42-19</t>
  </si>
  <si>
    <t>45-22</t>
  </si>
  <si>
    <t>47-22</t>
  </si>
  <si>
    <t>47-24</t>
  </si>
  <si>
    <t>47-27</t>
  </si>
  <si>
    <t>48-28</t>
  </si>
  <si>
    <t>49-28</t>
  </si>
  <si>
    <t>49-30</t>
  </si>
  <si>
    <t>52-30</t>
  </si>
  <si>
    <t>55-30</t>
  </si>
  <si>
    <t>56-32</t>
  </si>
  <si>
    <t>56-34</t>
  </si>
  <si>
    <t>58-36</t>
  </si>
  <si>
    <t>61-36</t>
  </si>
  <si>
    <t>61-38</t>
  </si>
  <si>
    <t>63-38</t>
  </si>
  <si>
    <t>63-41</t>
  </si>
  <si>
    <t>66-41</t>
  </si>
  <si>
    <t>66-43</t>
  </si>
  <si>
    <t>69-43</t>
  </si>
  <si>
    <t>69-46</t>
  </si>
  <si>
    <t>69-47</t>
  </si>
  <si>
    <t>69-49</t>
  </si>
  <si>
    <t>69-51</t>
  </si>
  <si>
    <t>71-51</t>
  </si>
  <si>
    <t>71-54</t>
  </si>
  <si>
    <t>73-58</t>
  </si>
  <si>
    <t>75-58</t>
  </si>
  <si>
    <t>78-60</t>
  </si>
  <si>
    <t>78-63</t>
  </si>
  <si>
    <t>84-66</t>
  </si>
  <si>
    <t>84-68</t>
  </si>
  <si>
    <t>86-68</t>
  </si>
  <si>
    <t>89-69</t>
  </si>
  <si>
    <t>89-71</t>
  </si>
  <si>
    <t>91-71</t>
  </si>
  <si>
    <t>16-9</t>
  </si>
  <si>
    <t>34-21</t>
  </si>
  <si>
    <t>38-25</t>
  </si>
  <si>
    <t>44-32</t>
  </si>
  <si>
    <t>62-61</t>
  </si>
  <si>
    <t>62-63</t>
  </si>
  <si>
    <t>63-66</t>
  </si>
  <si>
    <t>63-68</t>
  </si>
  <si>
    <t>78-73</t>
  </si>
  <si>
    <t>79-73</t>
  </si>
  <si>
    <t>82-75</t>
  </si>
  <si>
    <t>17-24</t>
  </si>
  <si>
    <t>27-27</t>
  </si>
  <si>
    <t>45-38</t>
  </si>
  <si>
    <t>52-40</t>
  </si>
  <si>
    <t>62-40</t>
  </si>
  <si>
    <t>64-40</t>
  </si>
  <si>
    <t>66-40</t>
  </si>
  <si>
    <t>68-40</t>
  </si>
  <si>
    <t>71-40</t>
  </si>
  <si>
    <t>71-43</t>
  </si>
  <si>
    <t>73-43</t>
  </si>
  <si>
    <t>79-45</t>
  </si>
  <si>
    <t>80-45</t>
  </si>
  <si>
    <t>81-45</t>
  </si>
  <si>
    <t>81-46</t>
  </si>
  <si>
    <t>84-46</t>
  </si>
  <si>
    <t>84-48</t>
  </si>
  <si>
    <t>84-49</t>
  </si>
  <si>
    <t>84-51</t>
  </si>
  <si>
    <t>84-53</t>
  </si>
  <si>
    <t>84-55</t>
  </si>
  <si>
    <t>27-14</t>
  </si>
  <si>
    <t>29-14</t>
  </si>
  <si>
    <t>37-15</t>
  </si>
  <si>
    <t>39-15</t>
  </si>
  <si>
    <t>41-15</t>
  </si>
  <si>
    <t>43-15</t>
  </si>
  <si>
    <t>43-18</t>
  </si>
  <si>
    <t>43-21</t>
  </si>
  <si>
    <t>43-22</t>
  </si>
  <si>
    <t>46-25</t>
  </si>
  <si>
    <t>46-26</t>
  </si>
  <si>
    <t>46-28</t>
  </si>
  <si>
    <t>54-32</t>
  </si>
  <si>
    <t>55-32</t>
  </si>
  <si>
    <t>58-34</t>
  </si>
  <si>
    <t>60-35</t>
  </si>
  <si>
    <t>61-35</t>
  </si>
  <si>
    <t>65-35</t>
  </si>
  <si>
    <t>66-38</t>
  </si>
  <si>
    <t>69-41</t>
  </si>
  <si>
    <t>69-42</t>
  </si>
  <si>
    <t>71-42</t>
  </si>
  <si>
    <t>72-43</t>
  </si>
  <si>
    <t>74-46</t>
  </si>
  <si>
    <t>74-47</t>
  </si>
  <si>
    <t>76-47</t>
  </si>
  <si>
    <t>79-47</t>
  </si>
  <si>
    <t>79-49</t>
  </si>
  <si>
    <t>81-49</t>
  </si>
  <si>
    <t>87-52</t>
  </si>
  <si>
    <t>87-55</t>
  </si>
  <si>
    <t>87-58</t>
  </si>
  <si>
    <t>88-63</t>
  </si>
  <si>
    <t>89-65</t>
  </si>
  <si>
    <t>90-65</t>
  </si>
  <si>
    <t>91-65</t>
  </si>
  <si>
    <t>91-67</t>
  </si>
  <si>
    <t>91-68</t>
  </si>
  <si>
    <t>91-69</t>
  </si>
  <si>
    <t>93-71</t>
  </si>
  <si>
    <t>95-71</t>
  </si>
  <si>
    <t>2-1</t>
  </si>
  <si>
    <t>7-1</t>
  </si>
  <si>
    <t>10-1</t>
  </si>
  <si>
    <t>12-1</t>
  </si>
  <si>
    <t>14-1</t>
  </si>
  <si>
    <t>15-1</t>
  </si>
  <si>
    <t>16-1</t>
  </si>
  <si>
    <t>18-1</t>
  </si>
  <si>
    <t>18-3</t>
  </si>
  <si>
    <t>21-3</t>
  </si>
  <si>
    <t>22-3</t>
  </si>
  <si>
    <t>24-3</t>
  </si>
  <si>
    <t>24-4</t>
  </si>
  <si>
    <t>26-4</t>
  </si>
  <si>
    <t>26-5</t>
  </si>
  <si>
    <t>29-5</t>
  </si>
  <si>
    <t>32-5</t>
  </si>
  <si>
    <t>32-7</t>
  </si>
  <si>
    <t>34-7</t>
  </si>
  <si>
    <t>36-7</t>
  </si>
  <si>
    <t>37-7</t>
  </si>
  <si>
    <t>37-9</t>
  </si>
  <si>
    <t>37-10</t>
  </si>
  <si>
    <t>37-13</t>
  </si>
  <si>
    <t>38-14</t>
  </si>
  <si>
    <t>39-14</t>
  </si>
  <si>
    <t>41-14</t>
  </si>
  <si>
    <t>44-14</t>
  </si>
  <si>
    <t>44-17</t>
  </si>
  <si>
    <t>46-17</t>
  </si>
  <si>
    <t>47-17</t>
  </si>
  <si>
    <t>49-17</t>
  </si>
  <si>
    <t>49-19</t>
  </si>
  <si>
    <t>51-19</t>
  </si>
  <si>
    <t>52-19</t>
  </si>
  <si>
    <t>53-19</t>
  </si>
  <si>
    <t>56-19</t>
  </si>
  <si>
    <t>56-22</t>
  </si>
  <si>
    <t>56-23</t>
  </si>
  <si>
    <t>56-24</t>
  </si>
  <si>
    <t>56-27</t>
  </si>
  <si>
    <t>59-27</t>
  </si>
  <si>
    <t>62-27</t>
  </si>
  <si>
    <t>62-28</t>
  </si>
  <si>
    <t>65-28</t>
  </si>
  <si>
    <t>67-28</t>
  </si>
  <si>
    <t>67-30</t>
  </si>
  <si>
    <t>69-30</t>
  </si>
  <si>
    <t>70-32</t>
  </si>
  <si>
    <t>71-33</t>
  </si>
  <si>
    <t>71-34</t>
  </si>
  <si>
    <t>72-34</t>
  </si>
  <si>
    <t>72-35</t>
  </si>
  <si>
    <t>72-38</t>
  </si>
  <si>
    <t>74-38</t>
  </si>
  <si>
    <t>77-38</t>
  </si>
  <si>
    <t>79-38</t>
  </si>
  <si>
    <t>82-38</t>
  </si>
  <si>
    <t>82-39</t>
  </si>
  <si>
    <t>82-40</t>
  </si>
  <si>
    <t>84-40</t>
  </si>
  <si>
    <t>84-42</t>
  </si>
  <si>
    <t>84-44</t>
  </si>
  <si>
    <t>84-45</t>
  </si>
  <si>
    <t>84-47</t>
  </si>
  <si>
    <t>86-47</t>
  </si>
  <si>
    <t>86-49</t>
  </si>
  <si>
    <t>86-51</t>
  </si>
  <si>
    <t>86-52</t>
  </si>
  <si>
    <t>88-52</t>
  </si>
  <si>
    <t>89-52</t>
  </si>
  <si>
    <t>33-27</t>
  </si>
  <si>
    <t>44-35</t>
  </si>
  <si>
    <t>47-35</t>
  </si>
  <si>
    <t>47-37</t>
  </si>
  <si>
    <t>52-39</t>
  </si>
  <si>
    <t>54-39</t>
  </si>
  <si>
    <t>60-41</t>
  </si>
  <si>
    <t>65-47</t>
  </si>
  <si>
    <t>65-49</t>
  </si>
  <si>
    <t>70-53</t>
  </si>
  <si>
    <t>70-55</t>
  </si>
  <si>
    <t>70-56</t>
  </si>
  <si>
    <t>70-59</t>
  </si>
  <si>
    <t>72-59</t>
  </si>
  <si>
    <t>75-59</t>
  </si>
  <si>
    <t>80-59</t>
  </si>
  <si>
    <t>80-61</t>
  </si>
  <si>
    <t>80-64</t>
  </si>
  <si>
    <t>80-66</t>
  </si>
  <si>
    <t>80-68</t>
  </si>
  <si>
    <t>82-71</t>
  </si>
  <si>
    <t>86-78</t>
  </si>
  <si>
    <t>12-0</t>
  </si>
  <si>
    <t>13-1</t>
  </si>
  <si>
    <t>15-2</t>
  </si>
  <si>
    <t>16-2</t>
  </si>
  <si>
    <t>18-2</t>
  </si>
  <si>
    <t>20-2</t>
  </si>
  <si>
    <t>20-4</t>
  </si>
  <si>
    <t>20-6</t>
  </si>
  <si>
    <t>21-6</t>
  </si>
  <si>
    <t>22-6</t>
  </si>
  <si>
    <t>22-8</t>
  </si>
  <si>
    <t>24-10</t>
  </si>
  <si>
    <t>41-24</t>
  </si>
  <si>
    <t>43-28</t>
  </si>
  <si>
    <t>51-32</t>
  </si>
  <si>
    <t>52-33</t>
  </si>
  <si>
    <t>55-34</t>
  </si>
  <si>
    <t>59-44</t>
  </si>
  <si>
    <t>62-47</t>
  </si>
  <si>
    <t>67-49</t>
  </si>
  <si>
    <t>67-51</t>
  </si>
  <si>
    <t>70-54</t>
  </si>
  <si>
    <t>75-56</t>
  </si>
  <si>
    <t>78-56</t>
  </si>
  <si>
    <t>78-58</t>
  </si>
  <si>
    <t>78-61</t>
  </si>
  <si>
    <t>81-61</t>
  </si>
  <si>
    <t>22-14</t>
  </si>
  <si>
    <t>27-17</t>
  </si>
  <si>
    <t>29-17</t>
  </si>
  <si>
    <t>34-19</t>
  </si>
  <si>
    <t>37-21</t>
  </si>
  <si>
    <t>37-23</t>
  </si>
  <si>
    <t>44-27</t>
  </si>
  <si>
    <t>47-29</t>
  </si>
  <si>
    <t>48-29</t>
  </si>
  <si>
    <t>51-29</t>
  </si>
  <si>
    <t>51-30</t>
  </si>
  <si>
    <t>59-35</t>
  </si>
  <si>
    <t>59-37</t>
  </si>
  <si>
    <t>61-37</t>
  </si>
  <si>
    <t>62-37</t>
  </si>
  <si>
    <t>65-37</t>
  </si>
  <si>
    <t>66-37</t>
  </si>
  <si>
    <t>67-37</t>
  </si>
  <si>
    <t>69-37</t>
  </si>
  <si>
    <t>69-39</t>
  </si>
  <si>
    <t>72-41</t>
  </si>
  <si>
    <t>74-41</t>
  </si>
  <si>
    <t>76-41</t>
  </si>
  <si>
    <t>80-47</t>
  </si>
  <si>
    <t>80-49</t>
  </si>
  <si>
    <t>81-52</t>
  </si>
  <si>
    <t>81-55</t>
  </si>
  <si>
    <t>81-57</t>
  </si>
  <si>
    <t>86-57</t>
  </si>
  <si>
    <t>88-60</t>
  </si>
  <si>
    <t>90-60</t>
  </si>
  <si>
    <t>92-60</t>
  </si>
  <si>
    <t>94-60</t>
  </si>
  <si>
    <t>96-62</t>
  </si>
  <si>
    <t>96-63</t>
  </si>
  <si>
    <t>98-63</t>
  </si>
  <si>
    <t>101-63</t>
  </si>
  <si>
    <t>103-63</t>
  </si>
  <si>
    <t>103-65</t>
  </si>
  <si>
    <t>106-65</t>
  </si>
  <si>
    <t>106-66</t>
  </si>
  <si>
    <t>106-67</t>
  </si>
  <si>
    <t>109-67</t>
  </si>
  <si>
    <t>111-67</t>
  </si>
  <si>
    <t>111-68</t>
  </si>
  <si>
    <t>31-24</t>
  </si>
  <si>
    <t>39-26</t>
  </si>
  <si>
    <t>44-31</t>
  </si>
  <si>
    <t>47-31</t>
  </si>
  <si>
    <t>47-33</t>
  </si>
  <si>
    <t>50-42</t>
  </si>
  <si>
    <t>52-43</t>
  </si>
  <si>
    <t>52-47</t>
  </si>
  <si>
    <t>55-47</t>
  </si>
  <si>
    <t>69-59</t>
  </si>
  <si>
    <t>73-61</t>
  </si>
  <si>
    <t>76-61</t>
  </si>
  <si>
    <t>81-64</t>
  </si>
  <si>
    <t>83-65</t>
  </si>
  <si>
    <t>27-16</t>
  </si>
  <si>
    <t>29-16</t>
  </si>
  <si>
    <t>41-26</t>
  </si>
  <si>
    <t>10:00</t>
  </si>
  <si>
    <t>58-44</t>
  </si>
  <si>
    <t>71-64</t>
  </si>
  <si>
    <t>72-64</t>
  </si>
  <si>
    <t>53-54</t>
  </si>
  <si>
    <t>56-56</t>
  </si>
  <si>
    <t>66-70</t>
  </si>
  <si>
    <t>71-75</t>
  </si>
  <si>
    <t>75-76</t>
  </si>
  <si>
    <t>75-78</t>
  </si>
  <si>
    <t>75-81</t>
  </si>
  <si>
    <t>78-84</t>
  </si>
  <si>
    <t>78-85</t>
  </si>
  <si>
    <t>78-86</t>
  </si>
  <si>
    <t>81-86</t>
  </si>
  <si>
    <t>81-88</t>
  </si>
  <si>
    <t>10-2</t>
  </si>
  <si>
    <t>23-4</t>
  </si>
  <si>
    <t>26-7</t>
  </si>
  <si>
    <t>27-7</t>
  </si>
  <si>
    <t>28-7</t>
  </si>
  <si>
    <t>31-7</t>
  </si>
  <si>
    <t>31-8</t>
  </si>
  <si>
    <t>33-8</t>
  </si>
  <si>
    <t>35-10</t>
  </si>
  <si>
    <t>38-10</t>
  </si>
  <si>
    <t>41-10</t>
  </si>
  <si>
    <t>42-10</t>
  </si>
  <si>
    <t>43-10</t>
  </si>
  <si>
    <t>46-10</t>
  </si>
  <si>
    <t>46-13</t>
  </si>
  <si>
    <t>46-16</t>
  </si>
  <si>
    <t>47-16</t>
  </si>
  <si>
    <t>48-16</t>
  </si>
  <si>
    <t>48-17</t>
  </si>
  <si>
    <t>48-18</t>
  </si>
  <si>
    <t>49-18</t>
  </si>
  <si>
    <t>50-18</t>
  </si>
  <si>
    <t>53-18</t>
  </si>
  <si>
    <t>53-20</t>
  </si>
  <si>
    <t>53-22</t>
  </si>
  <si>
    <t>54-24</t>
  </si>
  <si>
    <t>58-24</t>
  </si>
  <si>
    <t>58-26</t>
  </si>
  <si>
    <t>60-26</t>
  </si>
  <si>
    <t>63-26</t>
  </si>
  <si>
    <t>64-26</t>
  </si>
  <si>
    <t>65-26</t>
  </si>
  <si>
    <t>65-29</t>
  </si>
  <si>
    <t>66-29</t>
  </si>
  <si>
    <t>67-29</t>
  </si>
  <si>
    <t>67-33</t>
  </si>
  <si>
    <t>70-33</t>
  </si>
  <si>
    <t>70-36</t>
  </si>
  <si>
    <t>72-36</t>
  </si>
  <si>
    <t>75-36</t>
  </si>
  <si>
    <t>75-38</t>
  </si>
  <si>
    <t>77-39</t>
  </si>
  <si>
    <t>77-42</t>
  </si>
  <si>
    <t>78-42</t>
  </si>
  <si>
    <t>79-42</t>
  </si>
  <si>
    <t>80-42</t>
  </si>
  <si>
    <t>83-44</t>
  </si>
  <si>
    <t>85-44</t>
  </si>
  <si>
    <t>85-47</t>
  </si>
  <si>
    <t>87-47</t>
  </si>
  <si>
    <t>89-47</t>
  </si>
  <si>
    <t>89-48</t>
  </si>
  <si>
    <t>91-48</t>
  </si>
  <si>
    <t>91-50</t>
  </si>
  <si>
    <t>92-50</t>
  </si>
  <si>
    <t>92-53</t>
  </si>
  <si>
    <t>94-53</t>
  </si>
  <si>
    <t>96-53</t>
  </si>
  <si>
    <t>98-53</t>
  </si>
  <si>
    <t>100-53</t>
  </si>
  <si>
    <t>100-55</t>
  </si>
  <si>
    <t>100-57</t>
  </si>
  <si>
    <t>100-59</t>
  </si>
  <si>
    <t>100-60</t>
  </si>
  <si>
    <t>100-61</t>
  </si>
  <si>
    <t>100-62</t>
  </si>
  <si>
    <t>102-62</t>
  </si>
  <si>
    <t>102-65</t>
  </si>
  <si>
    <t>28-17</t>
  </si>
  <si>
    <t>29-22</t>
  </si>
  <si>
    <t>37-44</t>
  </si>
  <si>
    <t>53-57</t>
  </si>
  <si>
    <t>58-62</t>
  </si>
  <si>
    <t>62-64</t>
  </si>
  <si>
    <t>68-73</t>
  </si>
  <si>
    <t>73-80</t>
  </si>
  <si>
    <t>73-82</t>
  </si>
  <si>
    <t>75-82</t>
  </si>
  <si>
    <t>76-85</t>
  </si>
  <si>
    <t>77-88</t>
  </si>
  <si>
    <t>79-88</t>
  </si>
  <si>
    <t>83-88</t>
  </si>
  <si>
    <t>83-90</t>
  </si>
  <si>
    <t>86-93</t>
  </si>
  <si>
    <t>86-94</t>
  </si>
  <si>
    <t>0-6</t>
  </si>
  <si>
    <t>8-18</t>
  </si>
  <si>
    <t>11-18</t>
  </si>
  <si>
    <t>12-18</t>
  </si>
  <si>
    <t>22-29</t>
  </si>
  <si>
    <t>25-31</t>
  </si>
  <si>
    <t>25-33</t>
  </si>
  <si>
    <t>27-33</t>
  </si>
  <si>
    <t>32-39</t>
  </si>
  <si>
    <t>34-39</t>
  </si>
  <si>
    <t>41-45</t>
  </si>
  <si>
    <t>50-61</t>
  </si>
  <si>
    <t>54-64</t>
  </si>
  <si>
    <t>57-67</t>
  </si>
  <si>
    <t>59-67</t>
  </si>
  <si>
    <t>70-75</t>
  </si>
  <si>
    <t>73-77</t>
  </si>
  <si>
    <t>79-80</t>
  </si>
  <si>
    <t>79-82</t>
  </si>
  <si>
    <t>84-87</t>
  </si>
  <si>
    <t>90-91</t>
  </si>
  <si>
    <t>94-93</t>
  </si>
  <si>
    <t>94-95</t>
  </si>
  <si>
    <t>38-38</t>
  </si>
  <si>
    <t>40-44</t>
  </si>
  <si>
    <t>47-51</t>
  </si>
  <si>
    <t>71-72</t>
  </si>
  <si>
    <t>74-72</t>
  </si>
  <si>
    <t>76-77</t>
  </si>
  <si>
    <t>79-79</t>
  </si>
  <si>
    <t>79-81</t>
  </si>
  <si>
    <t>83-85</t>
  </si>
  <si>
    <t>54-48</t>
  </si>
  <si>
    <t>62-59</t>
  </si>
  <si>
    <t>13-22</t>
  </si>
  <si>
    <t>33-42</t>
  </si>
  <si>
    <t>33-43</t>
  </si>
  <si>
    <t>33-46</t>
  </si>
  <si>
    <t>33-47</t>
  </si>
  <si>
    <t>35-47</t>
  </si>
  <si>
    <t>37-47</t>
  </si>
  <si>
    <t>37-50</t>
  </si>
  <si>
    <t>39-50</t>
  </si>
  <si>
    <t>39-52</t>
  </si>
  <si>
    <t>40-52</t>
  </si>
  <si>
    <t>41-52</t>
  </si>
  <si>
    <t>41-54</t>
  </si>
  <si>
    <t>41-56</t>
  </si>
  <si>
    <t>44-58</t>
  </si>
  <si>
    <t>45-58</t>
  </si>
  <si>
    <t>46-60</t>
  </si>
  <si>
    <t>49-60</t>
  </si>
  <si>
    <t>50-60</t>
  </si>
  <si>
    <t>50-62</t>
  </si>
  <si>
    <t>50-64</t>
  </si>
  <si>
    <t>53-67</t>
  </si>
  <si>
    <t>55-67</t>
  </si>
  <si>
    <t>55-69</t>
  </si>
  <si>
    <t>57-69</t>
  </si>
  <si>
    <t>65-78</t>
  </si>
  <si>
    <t>7-11</t>
  </si>
  <si>
    <t>10-20</t>
  </si>
  <si>
    <t>13-20</t>
  </si>
  <si>
    <t>13-21</t>
  </si>
  <si>
    <t>13-23</t>
  </si>
  <si>
    <t>14-23</t>
  </si>
  <si>
    <t>15-23</t>
  </si>
  <si>
    <t>15-26</t>
  </si>
  <si>
    <t>18-26</t>
  </si>
  <si>
    <t>18-28</t>
  </si>
  <si>
    <t>20-28</t>
  </si>
  <si>
    <t>20-30</t>
  </si>
  <si>
    <t>20-31</t>
  </si>
  <si>
    <t>22-31</t>
  </si>
  <si>
    <t>27-37</t>
  </si>
  <si>
    <t>29-39</t>
  </si>
  <si>
    <t>31-41</t>
  </si>
  <si>
    <t>31-43</t>
  </si>
  <si>
    <t>52-62</t>
  </si>
  <si>
    <t>52-64</t>
  </si>
  <si>
    <t>52-66</t>
  </si>
  <si>
    <t>52-69</t>
  </si>
  <si>
    <t>52-70</t>
  </si>
  <si>
    <t>52-71</t>
  </si>
  <si>
    <t>53-71</t>
  </si>
  <si>
    <t>54-71</t>
  </si>
  <si>
    <t>54-73</t>
  </si>
  <si>
    <t>56-73</t>
  </si>
  <si>
    <t>57-73</t>
  </si>
  <si>
    <t>57-76</t>
  </si>
  <si>
    <t>57-78</t>
  </si>
  <si>
    <t>57-80</t>
  </si>
  <si>
    <t>59-80</t>
  </si>
  <si>
    <t>59-83</t>
  </si>
  <si>
    <t>64-83</t>
  </si>
  <si>
    <t>69-85</t>
  </si>
  <si>
    <t>72-85</t>
  </si>
  <si>
    <t>74-91</t>
  </si>
  <si>
    <t>76-91</t>
  </si>
  <si>
    <t>78-91</t>
  </si>
  <si>
    <t>80-91</t>
  </si>
  <si>
    <t>83-91</t>
  </si>
  <si>
    <t>83-93</t>
  </si>
  <si>
    <t>85-93</t>
  </si>
  <si>
    <t>87-93</t>
  </si>
  <si>
    <t>90-95</t>
  </si>
  <si>
    <t>90-96</t>
  </si>
  <si>
    <t>93-96</t>
  </si>
  <si>
    <t>95-96</t>
  </si>
  <si>
    <t>95-97</t>
  </si>
  <si>
    <t>96-97</t>
  </si>
  <si>
    <t>96-98</t>
  </si>
  <si>
    <t>40-29</t>
  </si>
  <si>
    <t>63-52</t>
  </si>
  <si>
    <t>67-53</t>
  </si>
  <si>
    <t>73-56</t>
  </si>
  <si>
    <t>12-16</t>
  </si>
  <si>
    <t>12-20</t>
  </si>
  <si>
    <t>12-22</t>
  </si>
  <si>
    <t>14-24</t>
  </si>
  <si>
    <t>50-33</t>
  </si>
  <si>
    <t>56-38</t>
  </si>
  <si>
    <t>65-41</t>
  </si>
  <si>
    <t>68-41</t>
  </si>
  <si>
    <t>68-43</t>
  </si>
  <si>
    <t>71-44</t>
  </si>
  <si>
    <t>72-45</t>
  </si>
  <si>
    <t>78-51</t>
  </si>
  <si>
    <t>81-51</t>
  </si>
  <si>
    <t>20-9</t>
  </si>
  <si>
    <t>26-13</t>
  </si>
  <si>
    <t>38-33</t>
  </si>
  <si>
    <t>46-36</t>
  </si>
  <si>
    <t>49-36</t>
  </si>
  <si>
    <t>61-43</t>
  </si>
  <si>
    <t>61-45</t>
  </si>
  <si>
    <t>63-45</t>
  </si>
  <si>
    <t>66-48</t>
  </si>
  <si>
    <t>84-64</t>
  </si>
  <si>
    <t>86-64</t>
  </si>
  <si>
    <t>86-67</t>
  </si>
  <si>
    <t>88-67</t>
  </si>
  <si>
    <t>88-69</t>
  </si>
  <si>
    <t>90-69</t>
  </si>
  <si>
    <t>91-73</t>
  </si>
  <si>
    <t>5-11</t>
  </si>
  <si>
    <t>8-13</t>
  </si>
  <si>
    <t>47-39</t>
  </si>
  <si>
    <t>47-42</t>
  </si>
  <si>
    <t>49-42</t>
  </si>
  <si>
    <t>70-62</t>
  </si>
  <si>
    <t>74-66</t>
  </si>
  <si>
    <t>14-20</t>
  </si>
  <si>
    <t>17-23</t>
  </si>
  <si>
    <t>20-25</t>
  </si>
  <si>
    <t>41-44</t>
  </si>
  <si>
    <t>74-68</t>
  </si>
  <si>
    <t>80-71</t>
  </si>
  <si>
    <t>88-72</t>
  </si>
  <si>
    <t>88-75</t>
  </si>
  <si>
    <t>91-77</t>
  </si>
  <si>
    <t>93-77</t>
  </si>
  <si>
    <t>95-80</t>
  </si>
  <si>
    <t>96-80</t>
  </si>
  <si>
    <t>97-80</t>
  </si>
  <si>
    <t>97-81</t>
  </si>
  <si>
    <t>97-85</t>
  </si>
  <si>
    <t>97-88</t>
  </si>
  <si>
    <t>98-88</t>
  </si>
  <si>
    <t>99-88</t>
  </si>
  <si>
    <t>23-23</t>
  </si>
  <si>
    <t>60-48</t>
  </si>
  <si>
    <t>60-53</t>
  </si>
  <si>
    <t>63-53</t>
  </si>
  <si>
    <t>81-74</t>
  </si>
  <si>
    <t>88-76</t>
  </si>
  <si>
    <t>88-77</t>
  </si>
  <si>
    <t>88-78</t>
  </si>
  <si>
    <t>23-12</t>
  </si>
  <si>
    <t>25-12</t>
  </si>
  <si>
    <t>41-35</t>
  </si>
  <si>
    <t>45-37</t>
  </si>
  <si>
    <t>53-47</t>
  </si>
  <si>
    <t>68-54</t>
  </si>
  <si>
    <t>75-71</t>
  </si>
  <si>
    <t>82-73</t>
  </si>
  <si>
    <t>46-31</t>
  </si>
  <si>
    <t>49-31</t>
  </si>
  <si>
    <t>50-31</t>
  </si>
  <si>
    <t>51-31</t>
  </si>
  <si>
    <t>56-31</t>
  </si>
  <si>
    <t>60-33</t>
  </si>
  <si>
    <t>64-34</t>
  </si>
  <si>
    <t>65-40</t>
  </si>
  <si>
    <t>67-42</t>
  </si>
  <si>
    <t>67-44</t>
  </si>
  <si>
    <t>70-44</t>
  </si>
  <si>
    <t>70-47</t>
  </si>
  <si>
    <t>70-50</t>
  </si>
  <si>
    <t>71-50</t>
  </si>
  <si>
    <t>73-50</t>
  </si>
  <si>
    <t>75-50</t>
  </si>
  <si>
    <t>77-56</t>
  </si>
  <si>
    <t>82-59</t>
  </si>
  <si>
    <t>84-59</t>
  </si>
  <si>
    <t>2-8</t>
  </si>
  <si>
    <t>8-14</t>
  </si>
  <si>
    <t>11-23</t>
  </si>
  <si>
    <t>13-26</t>
  </si>
  <si>
    <t>15-29</t>
  </si>
  <si>
    <t>15-32</t>
  </si>
  <si>
    <t>17-32</t>
  </si>
  <si>
    <t>17-35</t>
  </si>
  <si>
    <t>17-36</t>
  </si>
  <si>
    <t>17-37</t>
  </si>
  <si>
    <t>17-39</t>
  </si>
  <si>
    <t>19-39</t>
  </si>
  <si>
    <t>19-41</t>
  </si>
  <si>
    <t>22-41</t>
  </si>
  <si>
    <t>25-41</t>
  </si>
  <si>
    <t>25-42</t>
  </si>
  <si>
    <t>28-42</t>
  </si>
  <si>
    <t>28-45</t>
  </si>
  <si>
    <t>31-45</t>
  </si>
  <si>
    <t>33-45</t>
  </si>
  <si>
    <t>33-48</t>
  </si>
  <si>
    <t>33-49</t>
  </si>
  <si>
    <t>34-49</t>
  </si>
  <si>
    <t>35-49</t>
  </si>
  <si>
    <t>35-51</t>
  </si>
  <si>
    <t>36-51</t>
  </si>
  <si>
    <t>37-51</t>
  </si>
  <si>
    <t>37-52</t>
  </si>
  <si>
    <t>40-55</t>
  </si>
  <si>
    <t>41-55</t>
  </si>
  <si>
    <t>42-55</t>
  </si>
  <si>
    <t>42-57</t>
  </si>
  <si>
    <t>42-60</t>
  </si>
  <si>
    <t>42-62</t>
  </si>
  <si>
    <t>42-63</t>
  </si>
  <si>
    <t>44-63</t>
  </si>
  <si>
    <t>45-63</t>
  </si>
  <si>
    <t>45-66</t>
  </si>
  <si>
    <t>47-66</t>
  </si>
  <si>
    <t>47-68</t>
  </si>
  <si>
    <t>49-68</t>
  </si>
  <si>
    <t>49-70</t>
  </si>
  <si>
    <t>49-71</t>
  </si>
  <si>
    <t>50-71</t>
  </si>
  <si>
    <t>53-73</t>
  </si>
  <si>
    <t>53-76</t>
  </si>
  <si>
    <t>54-76</t>
  </si>
  <si>
    <t>54-77</t>
  </si>
  <si>
    <t>54-80</t>
  </si>
  <si>
    <t>55-80</t>
  </si>
  <si>
    <t>56-80</t>
  </si>
  <si>
    <t>56-81</t>
  </si>
  <si>
    <t>56-83</t>
  </si>
  <si>
    <t>56-86</t>
  </si>
  <si>
    <t>56-88</t>
  </si>
  <si>
    <t>58-88</t>
  </si>
  <si>
    <t>60-88</t>
  </si>
  <si>
    <t>60-89</t>
  </si>
  <si>
    <t>60-90</t>
  </si>
  <si>
    <t>62-90</t>
  </si>
  <si>
    <t>62-93</t>
  </si>
  <si>
    <t>64-93</t>
  </si>
  <si>
    <t>64-94</t>
  </si>
  <si>
    <t>64-95</t>
  </si>
  <si>
    <t>65-95</t>
  </si>
  <si>
    <t>66-95</t>
  </si>
  <si>
    <t>66-97</t>
  </si>
  <si>
    <t>66-99</t>
  </si>
  <si>
    <t>67-99</t>
  </si>
  <si>
    <t>68-99</t>
  </si>
  <si>
    <t>69-99</t>
  </si>
  <si>
    <t>69-101</t>
  </si>
  <si>
    <t>69-103</t>
  </si>
  <si>
    <t>69-105</t>
  </si>
  <si>
    <t>72-105</t>
  </si>
  <si>
    <t>74-105</t>
  </si>
  <si>
    <t>21-28</t>
  </si>
  <si>
    <t>23-28</t>
  </si>
  <si>
    <t>52-42</t>
  </si>
  <si>
    <t>67-65</t>
  </si>
  <si>
    <t>74-70</t>
  </si>
  <si>
    <t>79-74</t>
  </si>
  <si>
    <t>79-78</t>
  </si>
  <si>
    <t>37-16</t>
  </si>
  <si>
    <t>41-22</t>
  </si>
  <si>
    <t>50-25</t>
  </si>
  <si>
    <t>51-28</t>
  </si>
  <si>
    <t>54-33</t>
  </si>
  <si>
    <t>57-34</t>
  </si>
  <si>
    <t>62-34</t>
  </si>
  <si>
    <t>62-36</t>
  </si>
  <si>
    <t>64-36</t>
  </si>
  <si>
    <t>71-47</t>
  </si>
  <si>
    <t>73-48</t>
  </si>
  <si>
    <t>73-52</t>
  </si>
  <si>
    <t>74-52</t>
  </si>
  <si>
    <t>74-54</t>
  </si>
  <si>
    <t>75-57</t>
  </si>
  <si>
    <t>83-66</t>
  </si>
  <si>
    <t>86-69</t>
  </si>
  <si>
    <t>92-69</t>
  </si>
  <si>
    <t>92-71</t>
  </si>
  <si>
    <t>95-73</t>
  </si>
  <si>
    <t>99-76</t>
  </si>
  <si>
    <t>102-77</t>
  </si>
  <si>
    <t>102-78</t>
  </si>
  <si>
    <t>102-79</t>
  </si>
  <si>
    <t>103-79</t>
  </si>
  <si>
    <t>104-79</t>
  </si>
  <si>
    <t>36-21</t>
  </si>
  <si>
    <t>44-28</t>
  </si>
  <si>
    <t>56-41</t>
  </si>
  <si>
    <t>58-41</t>
  </si>
  <si>
    <t>62-43</t>
  </si>
  <si>
    <t>69-48</t>
  </si>
  <si>
    <t>76-51</t>
  </si>
  <si>
    <t>77-51</t>
  </si>
  <si>
    <t>77-53</t>
  </si>
  <si>
    <t>80-55</t>
  </si>
  <si>
    <t>88-58</t>
  </si>
  <si>
    <t>90-63</t>
  </si>
  <si>
    <t>91-64</t>
  </si>
  <si>
    <t>94-67</t>
  </si>
  <si>
    <t>98-67</t>
  </si>
  <si>
    <t>18-25</t>
  </si>
  <si>
    <t>18-29</t>
  </si>
  <si>
    <t>18-33</t>
  </si>
  <si>
    <t>20-33</t>
  </si>
  <si>
    <t>22-33</t>
  </si>
  <si>
    <t>23-33</t>
  </si>
  <si>
    <t>24-33</t>
  </si>
  <si>
    <t>24-35</t>
  </si>
  <si>
    <t>25-35</t>
  </si>
  <si>
    <t>25-37</t>
  </si>
  <si>
    <t>26-37</t>
  </si>
  <si>
    <t>27-39</t>
  </si>
  <si>
    <t>27-42</t>
  </si>
  <si>
    <t>27-44</t>
  </si>
  <si>
    <t>27-45</t>
  </si>
  <si>
    <t>27-47</t>
  </si>
  <si>
    <t>27-48</t>
  </si>
  <si>
    <t>27-49</t>
  </si>
  <si>
    <t>27-50</t>
  </si>
  <si>
    <t>29-50</t>
  </si>
  <si>
    <t>30-50</t>
  </si>
  <si>
    <t>32-50</t>
  </si>
  <si>
    <t>34-50</t>
  </si>
  <si>
    <t>34-52</t>
  </si>
  <si>
    <t>34-53</t>
  </si>
  <si>
    <t>35-53</t>
  </si>
  <si>
    <t>36-53</t>
  </si>
  <si>
    <t>36-55</t>
  </si>
  <si>
    <t>39-55</t>
  </si>
  <si>
    <t>39-56</t>
  </si>
  <si>
    <t>39-57</t>
  </si>
  <si>
    <t>40-57</t>
  </si>
  <si>
    <t>41-57</t>
  </si>
  <si>
    <t>41-59</t>
  </si>
  <si>
    <t>42-59</t>
  </si>
  <si>
    <t>43-59</t>
  </si>
  <si>
    <t>43-61</t>
  </si>
  <si>
    <t>45-61</t>
  </si>
  <si>
    <t>46-61</t>
  </si>
  <si>
    <t>46-63</t>
  </si>
  <si>
    <t>48-63</t>
  </si>
  <si>
    <t>51-66</t>
  </si>
  <si>
    <t>51-67</t>
  </si>
  <si>
    <t>51-68</t>
  </si>
  <si>
    <t>51-70</t>
  </si>
  <si>
    <t>51-71</t>
  </si>
  <si>
    <t>51-72</t>
  </si>
  <si>
    <t>53-72</t>
  </si>
  <si>
    <t>53-75</t>
  </si>
  <si>
    <t>54-75</t>
  </si>
  <si>
    <t>54-79</t>
  </si>
  <si>
    <t>57-79</t>
  </si>
  <si>
    <t>57-81</t>
  </si>
  <si>
    <t>59-81</t>
  </si>
  <si>
    <t>59-84</t>
  </si>
  <si>
    <t>61-84</t>
  </si>
  <si>
    <t>61-85</t>
  </si>
  <si>
    <t>63-85</t>
  </si>
  <si>
    <t>63-87</t>
  </si>
  <si>
    <t>65-55</t>
  </si>
  <si>
    <t>68-55</t>
  </si>
  <si>
    <t>69-55</t>
  </si>
  <si>
    <t>72-61</t>
  </si>
  <si>
    <t>79-65</t>
  </si>
  <si>
    <t>21-34</t>
  </si>
  <si>
    <t>27-36</t>
  </si>
  <si>
    <t>36-48</t>
  </si>
  <si>
    <t>36-50</t>
  </si>
  <si>
    <t>38-50</t>
  </si>
  <si>
    <t>38-53</t>
  </si>
  <si>
    <t>40-53</t>
  </si>
  <si>
    <t>40-59</t>
  </si>
  <si>
    <t>40-61</t>
  </si>
  <si>
    <t>42-61</t>
  </si>
  <si>
    <t>45-62</t>
  </si>
  <si>
    <t>47-63</t>
  </si>
  <si>
    <t>47-69</t>
  </si>
  <si>
    <t>49-69</t>
  </si>
  <si>
    <t>56-71</t>
  </si>
  <si>
    <t>56-74</t>
  </si>
  <si>
    <t>70-80</t>
  </si>
  <si>
    <t>72-82</t>
  </si>
  <si>
    <t>27-28</t>
  </si>
  <si>
    <t>50-48</t>
  </si>
  <si>
    <t>75-73</t>
  </si>
  <si>
    <t>83-84</t>
  </si>
  <si>
    <t>86-86</t>
  </si>
  <si>
    <t>89-87</t>
  </si>
  <si>
    <t>90-87</t>
  </si>
  <si>
    <t>90-89</t>
  </si>
  <si>
    <t>92-90</t>
  </si>
  <si>
    <t>93-91</t>
  </si>
  <si>
    <t>29-38</t>
  </si>
  <si>
    <t>37-45</t>
  </si>
  <si>
    <t>40-47</t>
  </si>
  <si>
    <t>47-47</t>
  </si>
  <si>
    <t>60-67</t>
  </si>
  <si>
    <t>62-67</t>
  </si>
  <si>
    <t>74-80</t>
  </si>
  <si>
    <t>74-82</t>
  </si>
  <si>
    <t>Diferença (MIN - CAI)</t>
  </si>
  <si>
    <t>31-33</t>
  </si>
  <si>
    <t>59-53</t>
  </si>
  <si>
    <t>Nº de cestas com CAI na frente</t>
  </si>
  <si>
    <t>50-54</t>
  </si>
  <si>
    <t>51-60</t>
  </si>
  <si>
    <t>51-63</t>
  </si>
  <si>
    <t>54-63</t>
  </si>
  <si>
    <t>54-65</t>
  </si>
  <si>
    <t>55-65</t>
  </si>
  <si>
    <t>58-68</t>
  </si>
  <si>
    <t>60-68</t>
  </si>
  <si>
    <t>60-71</t>
  </si>
  <si>
    <t>65-74</t>
  </si>
  <si>
    <t>68-77</t>
  </si>
  <si>
    <t>51-37</t>
  </si>
  <si>
    <t>56-42</t>
  </si>
  <si>
    <t>59-51</t>
  </si>
  <si>
    <t>76-75</t>
  </si>
  <si>
    <t>Diferença (MIN - FAR)</t>
  </si>
  <si>
    <t>5-12</t>
  </si>
  <si>
    <t>7-14</t>
  </si>
  <si>
    <t>33-33</t>
  </si>
  <si>
    <t>44-33</t>
  </si>
  <si>
    <t>63-49</t>
  </si>
  <si>
    <t>69-54</t>
  </si>
  <si>
    <t>74-57</t>
  </si>
  <si>
    <t>76-59</t>
  </si>
  <si>
    <t>79-59</t>
  </si>
  <si>
    <t>88-64</t>
  </si>
  <si>
    <t>Nº de cestas com FAR na frente</t>
  </si>
  <si>
    <t>9-1</t>
  </si>
  <si>
    <t>16-3</t>
  </si>
  <si>
    <t>18-5</t>
  </si>
  <si>
    <t>18-7</t>
  </si>
  <si>
    <t>54-47</t>
  </si>
  <si>
    <t>64-48</t>
  </si>
  <si>
    <t>68-50</t>
  </si>
  <si>
    <t>68-52</t>
  </si>
  <si>
    <t>71-52</t>
  </si>
  <si>
    <t>81-53</t>
  </si>
  <si>
    <t>82-53</t>
  </si>
  <si>
    <t>40-27</t>
  </si>
  <si>
    <t>41-27</t>
  </si>
  <si>
    <t>44-29</t>
  </si>
  <si>
    <t>46-29</t>
  </si>
  <si>
    <t>48-31</t>
  </si>
  <si>
    <t>48-33</t>
  </si>
  <si>
    <t>61-41</t>
  </si>
  <si>
    <t>15-4</t>
  </si>
  <si>
    <t>17-4</t>
  </si>
  <si>
    <t>19-4</t>
  </si>
  <si>
    <t>64-51</t>
  </si>
  <si>
    <t>83-57</t>
  </si>
  <si>
    <t>86-60</t>
  </si>
  <si>
    <t>25-10</t>
  </si>
  <si>
    <t>34-14</t>
  </si>
  <si>
    <t>34-16</t>
  </si>
  <si>
    <t>38-16</t>
  </si>
  <si>
    <t>39-16</t>
  </si>
  <si>
    <t>40-16</t>
  </si>
  <si>
    <t>42-18</t>
  </si>
  <si>
    <t>45-18</t>
  </si>
  <si>
    <t>46-18</t>
  </si>
  <si>
    <t>47-18</t>
  </si>
  <si>
    <t>49-20</t>
  </si>
  <si>
    <t>49-23</t>
  </si>
  <si>
    <t>51-23</t>
  </si>
  <si>
    <t>51-25</t>
  </si>
  <si>
    <t>52-25</t>
  </si>
  <si>
    <t>54-25</t>
  </si>
  <si>
    <t>63-27</t>
  </si>
  <si>
    <t>65-27</t>
  </si>
  <si>
    <t>65-30</t>
  </si>
  <si>
    <t>65-31</t>
  </si>
  <si>
    <t>68-34</t>
  </si>
  <si>
    <t>70-34</t>
  </si>
  <si>
    <t>73-41</t>
  </si>
  <si>
    <t>73-44</t>
  </si>
  <si>
    <t>76-49</t>
  </si>
  <si>
    <t>78-49</t>
  </si>
  <si>
    <t>80-51</t>
  </si>
  <si>
    <t>81-54</t>
  </si>
  <si>
    <t>81-59</t>
  </si>
  <si>
    <t>37-39</t>
  </si>
  <si>
    <t>60-66</t>
  </si>
  <si>
    <t>3-11</t>
  </si>
  <si>
    <t>5-13</t>
  </si>
  <si>
    <t>75-55</t>
  </si>
  <si>
    <t>83-64</t>
  </si>
  <si>
    <t>50-40</t>
  </si>
  <si>
    <t>65-45</t>
  </si>
  <si>
    <t>67-50</t>
  </si>
  <si>
    <t>73-54</t>
  </si>
  <si>
    <t>24-27</t>
  </si>
  <si>
    <t>78-69</t>
  </si>
  <si>
    <t>25-16</t>
  </si>
  <si>
    <t>76-54</t>
  </si>
  <si>
    <t>83-54</t>
  </si>
  <si>
    <t>83-59</t>
  </si>
  <si>
    <t>88-61</t>
  </si>
  <si>
    <t>93-63</t>
  </si>
  <si>
    <t>93-65</t>
  </si>
  <si>
    <t>94-66</t>
  </si>
  <si>
    <t>95-66</t>
  </si>
  <si>
    <t>95-68</t>
  </si>
  <si>
    <t>1-8</t>
  </si>
  <si>
    <t>1-11</t>
  </si>
  <si>
    <t>38-24</t>
  </si>
  <si>
    <t>67-47</t>
  </si>
  <si>
    <t>77-55</t>
  </si>
  <si>
    <t>79-55</t>
  </si>
  <si>
    <t>85-64</t>
  </si>
  <si>
    <t>89-66</t>
  </si>
  <si>
    <t>90-66</t>
  </si>
  <si>
    <t>97-68</t>
  </si>
  <si>
    <t>97-70</t>
  </si>
  <si>
    <t>4-10</t>
  </si>
  <si>
    <t>9-18</t>
  </si>
  <si>
    <t>14-21</t>
  </si>
  <si>
    <t>16-26</t>
  </si>
  <si>
    <t>23-36</t>
  </si>
  <si>
    <t>23-38</t>
  </si>
  <si>
    <t>23-41</t>
  </si>
  <si>
    <t>25-43</t>
  </si>
  <si>
    <t>25-45</t>
  </si>
  <si>
    <t>28-46</t>
  </si>
  <si>
    <t>28-47</t>
  </si>
  <si>
    <t>28-48</t>
  </si>
  <si>
    <t>28-50</t>
  </si>
  <si>
    <t>32-52</t>
  </si>
  <si>
    <t>34-55</t>
  </si>
  <si>
    <t>37-55</t>
  </si>
  <si>
    <t>38-55</t>
  </si>
  <si>
    <t>43-57</t>
  </si>
  <si>
    <t>44-57</t>
  </si>
  <si>
    <t>46-57</t>
  </si>
  <si>
    <t>48-57</t>
  </si>
  <si>
    <t>50-57</t>
  </si>
  <si>
    <t>54-67</t>
  </si>
  <si>
    <t>56-67</t>
  </si>
  <si>
    <t>56-69</t>
  </si>
  <si>
    <t>56-72</t>
  </si>
  <si>
    <t>58-72</t>
  </si>
  <si>
    <t>58-73</t>
  </si>
  <si>
    <t>58-75</t>
  </si>
  <si>
    <t>59-75</t>
  </si>
  <si>
    <t>62-75</t>
  </si>
  <si>
    <t>64-80</t>
  </si>
  <si>
    <t>55-60</t>
  </si>
  <si>
    <t>85-79</t>
  </si>
  <si>
    <t>85-80</t>
  </si>
  <si>
    <t>16-28</t>
  </si>
  <si>
    <t>22-35</t>
  </si>
  <si>
    <t>25-36</t>
  </si>
  <si>
    <t>27-40</t>
  </si>
  <si>
    <t>29-42</t>
  </si>
  <si>
    <t>31-42</t>
  </si>
  <si>
    <t>35-42</t>
  </si>
  <si>
    <t>35-44</t>
  </si>
  <si>
    <t>37-46</t>
  </si>
  <si>
    <t>37-48</t>
  </si>
  <si>
    <t>54-43</t>
  </si>
  <si>
    <t>59-45</t>
  </si>
  <si>
    <t>64-49</t>
  </si>
  <si>
    <t>76-64</t>
  </si>
  <si>
    <t>45-29</t>
  </si>
  <si>
    <t>51-33</t>
  </si>
  <si>
    <t>53-33</t>
  </si>
  <si>
    <t>55-33</t>
  </si>
  <si>
    <t>58-37</t>
  </si>
  <si>
    <t>62-41</t>
  </si>
  <si>
    <t>66-44</t>
  </si>
  <si>
    <t>74-49</t>
  </si>
  <si>
    <t>76-52</t>
  </si>
  <si>
    <t>78-54</t>
  </si>
  <si>
    <t>80-56</t>
  </si>
  <si>
    <t>82-57</t>
  </si>
  <si>
    <t>84-60</t>
  </si>
  <si>
    <t>84-61</t>
  </si>
  <si>
    <t>3-12</t>
  </si>
  <si>
    <t>6-13</t>
  </si>
  <si>
    <t>6-14</t>
  </si>
  <si>
    <t>14-26</t>
  </si>
  <si>
    <t>17-26</t>
  </si>
  <si>
    <t>27-38</t>
  </si>
  <si>
    <t>41-53</t>
  </si>
  <si>
    <t>43-56</t>
  </si>
  <si>
    <t>45-56</t>
  </si>
  <si>
    <t>45-59</t>
  </si>
  <si>
    <t>47-59</t>
  </si>
  <si>
    <t>47-62</t>
  </si>
  <si>
    <t>47-64</t>
  </si>
  <si>
    <t>47-67</t>
  </si>
  <si>
    <t>49-67</t>
  </si>
  <si>
    <t>54-74</t>
  </si>
  <si>
    <t>60-79</t>
  </si>
  <si>
    <t>62-79</t>
  </si>
  <si>
    <t>65-80</t>
  </si>
  <si>
    <t>76-86</t>
  </si>
  <si>
    <t>79-86</t>
  </si>
  <si>
    <t>81-89</t>
  </si>
  <si>
    <t>81-90</t>
  </si>
  <si>
    <t>81-91</t>
  </si>
  <si>
    <t>84-91</t>
  </si>
  <si>
    <t>85-91</t>
  </si>
  <si>
    <t>85-96</t>
  </si>
  <si>
    <t>88-96</t>
  </si>
  <si>
    <t>88-98</t>
  </si>
  <si>
    <t>40-32</t>
  </si>
  <si>
    <t>79-68</t>
  </si>
  <si>
    <t>12-21</t>
  </si>
  <si>
    <t>50-47</t>
  </si>
  <si>
    <t>09:54</t>
  </si>
  <si>
    <t>22-28</t>
  </si>
  <si>
    <t>22-30</t>
  </si>
  <si>
    <t>22-36</t>
  </si>
  <si>
    <t>22-38</t>
  </si>
  <si>
    <t>24-38</t>
  </si>
  <si>
    <t>25-38</t>
  </si>
  <si>
    <t>27-41</t>
  </si>
  <si>
    <t>28-41</t>
  </si>
  <si>
    <t>28-43</t>
  </si>
  <si>
    <t>32-43</t>
  </si>
  <si>
    <t>32-45</t>
  </si>
  <si>
    <t>35-45</t>
  </si>
  <si>
    <t>35-48</t>
  </si>
  <si>
    <t>42-52</t>
  </si>
  <si>
    <t>42-54</t>
  </si>
  <si>
    <t>44-54</t>
  </si>
  <si>
    <t>46-56</t>
  </si>
  <si>
    <t>47-58</t>
  </si>
  <si>
    <t>47-61</t>
  </si>
  <si>
    <t>50-63</t>
  </si>
  <si>
    <t>57-63</t>
  </si>
  <si>
    <t>63-69</t>
  </si>
  <si>
    <t>83-81</t>
  </si>
  <si>
    <t>86-83</t>
  </si>
  <si>
    <t>87-83</t>
  </si>
  <si>
    <t>88-83</t>
  </si>
  <si>
    <t>91-84</t>
  </si>
  <si>
    <t>92-86</t>
  </si>
  <si>
    <t>24-30</t>
  </si>
  <si>
    <t>79-76</t>
  </si>
  <si>
    <t>17-15</t>
  </si>
  <si>
    <t>57-48</t>
  </si>
  <si>
    <t>85-65</t>
  </si>
  <si>
    <t>87-67</t>
  </si>
  <si>
    <t>94-70</t>
  </si>
  <si>
    <t>30-17</t>
  </si>
  <si>
    <t>45-33</t>
  </si>
  <si>
    <t>83-61</t>
  </si>
  <si>
    <t>88-70</t>
  </si>
  <si>
    <t>85-67</t>
  </si>
  <si>
    <t>87-72</t>
  </si>
  <si>
    <t>88-73</t>
  </si>
  <si>
    <t>90-78</t>
  </si>
  <si>
    <t>92-79</t>
  </si>
  <si>
    <t>92-81</t>
  </si>
  <si>
    <t>73-53</t>
  </si>
  <si>
    <t>41-25</t>
  </si>
  <si>
    <t>43-26</t>
  </si>
  <si>
    <t>09:53</t>
  </si>
  <si>
    <t>59-38</t>
  </si>
  <si>
    <t>62-38</t>
  </si>
  <si>
    <t>64-42</t>
  </si>
  <si>
    <t>66-42</t>
  </si>
  <si>
    <t>66-45</t>
  </si>
  <si>
    <t>74-45</t>
  </si>
  <si>
    <t>78-48</t>
  </si>
  <si>
    <t>79-51</t>
  </si>
  <si>
    <t>82-51</t>
  </si>
  <si>
    <t>40-50</t>
  </si>
  <si>
    <t>43-55</t>
  </si>
  <si>
    <t>52-65</t>
  </si>
  <si>
    <t>64-53</t>
  </si>
  <si>
    <t>51-47</t>
  </si>
  <si>
    <t>85-72</t>
  </si>
  <si>
    <t>65-48</t>
  </si>
  <si>
    <t>67-48</t>
  </si>
  <si>
    <t>76-48</t>
  </si>
  <si>
    <t>76-50</t>
  </si>
  <si>
    <t>77-50</t>
  </si>
  <si>
    <t>80-57</t>
  </si>
  <si>
    <t>86-62</t>
  </si>
  <si>
    <t>88-62</t>
  </si>
  <si>
    <t>88-65</t>
  </si>
  <si>
    <t>75-74</t>
  </si>
  <si>
    <t>82-79</t>
  </si>
  <si>
    <t>87-82</t>
  </si>
  <si>
    <t>89-84</t>
  </si>
  <si>
    <t>89-85</t>
  </si>
  <si>
    <t>89-86</t>
  </si>
  <si>
    <t>90-86</t>
  </si>
  <si>
    <t>4-9</t>
  </si>
  <si>
    <t>30-16</t>
  </si>
  <si>
    <t>31-16</t>
  </si>
  <si>
    <t>34-18</t>
  </si>
  <si>
    <t>83-72</t>
  </si>
  <si>
    <t>85-76</t>
  </si>
  <si>
    <t>4-11</t>
  </si>
  <si>
    <t>67-55</t>
  </si>
  <si>
    <t>69-57</t>
  </si>
  <si>
    <t>50-56</t>
  </si>
  <si>
    <t>66-65</t>
  </si>
  <si>
    <t>17-30</t>
  </si>
  <si>
    <t>17-34</t>
  </si>
  <si>
    <t>20-34</t>
  </si>
  <si>
    <t>20-36</t>
  </si>
  <si>
    <t>20-38</t>
  </si>
  <si>
    <t>24-41</t>
  </si>
  <si>
    <t>26-41</t>
  </si>
  <si>
    <t>29-41</t>
  </si>
  <si>
    <t>29-44</t>
  </si>
  <si>
    <t>29-47</t>
  </si>
  <si>
    <t>31-47</t>
  </si>
  <si>
    <t>34-47</t>
  </si>
  <si>
    <t>36-47</t>
  </si>
  <si>
    <t>36-49</t>
  </si>
  <si>
    <t>37-49</t>
  </si>
  <si>
    <t>38-49</t>
  </si>
  <si>
    <t>38-51</t>
  </si>
  <si>
    <t>40-51</t>
  </si>
  <si>
    <t>40-54</t>
  </si>
  <si>
    <t>40-56</t>
  </si>
  <si>
    <t>45-57</t>
  </si>
  <si>
    <t>45-60</t>
  </si>
  <si>
    <t>46-65</t>
  </si>
  <si>
    <t>47-65</t>
  </si>
  <si>
    <t>47-71</t>
  </si>
  <si>
    <t>49-72</t>
  </si>
  <si>
    <t>49-74</t>
  </si>
  <si>
    <t>49-76</t>
  </si>
  <si>
    <t>49-79</t>
  </si>
  <si>
    <t>51-79</t>
  </si>
  <si>
    <t>53-79</t>
  </si>
  <si>
    <t>55-79</t>
  </si>
  <si>
    <t>59-79</t>
  </si>
  <si>
    <t>68-84</t>
  </si>
  <si>
    <t>68-85</t>
  </si>
  <si>
    <t>68-86</t>
  </si>
  <si>
    <t>72-88</t>
  </si>
  <si>
    <t>73-88</t>
  </si>
  <si>
    <t>73-91</t>
  </si>
  <si>
    <t>75-91</t>
  </si>
  <si>
    <t>75-94</t>
  </si>
  <si>
    <t>78-94</t>
  </si>
  <si>
    <t>2-9</t>
  </si>
  <si>
    <t>19-26</t>
  </si>
  <si>
    <t>30-37</t>
  </si>
  <si>
    <t>35-43</t>
  </si>
  <si>
    <t>49-58</t>
  </si>
  <si>
    <t>53-60</t>
  </si>
  <si>
    <t>55-64</t>
  </si>
  <si>
    <t>73-81</t>
  </si>
  <si>
    <t>69-75</t>
  </si>
  <si>
    <t>80-86</t>
  </si>
  <si>
    <t>82-86</t>
  </si>
  <si>
    <t>83-86</t>
  </si>
  <si>
    <t>Diferença (MIN - CRU)</t>
  </si>
  <si>
    <t>5-1</t>
  </si>
  <si>
    <t>82-74</t>
  </si>
  <si>
    <t>84-74</t>
  </si>
  <si>
    <t>Nº de cestas com CRU na frente</t>
  </si>
  <si>
    <t>66-55</t>
  </si>
  <si>
    <t>78-64</t>
  </si>
  <si>
    <t>86-70</t>
  </si>
  <si>
    <t>39-21</t>
  </si>
  <si>
    <t>41-21</t>
  </si>
  <si>
    <t>44-21</t>
  </si>
  <si>
    <t>45-24</t>
  </si>
  <si>
    <t>48-27</t>
  </si>
  <si>
    <t>49-27</t>
  </si>
  <si>
    <t>49-29</t>
  </si>
  <si>
    <t>51-34</t>
  </si>
  <si>
    <t>70-52</t>
  </si>
  <si>
    <t>92-58</t>
  </si>
  <si>
    <t>93-58</t>
  </si>
  <si>
    <t>93-60</t>
  </si>
  <si>
    <t>93-62</t>
  </si>
  <si>
    <t>97-62</t>
  </si>
  <si>
    <t>100-65</t>
  </si>
  <si>
    <t>102-68</t>
  </si>
  <si>
    <t>105-68</t>
  </si>
  <si>
    <t>105-71</t>
  </si>
  <si>
    <t>108-71</t>
  </si>
  <si>
    <t>108-74</t>
  </si>
  <si>
    <t>67-58</t>
  </si>
  <si>
    <t>78-75</t>
  </si>
  <si>
    <t>Diferença (MIN - OSA)</t>
  </si>
  <si>
    <t>5-14</t>
  </si>
  <si>
    <t>41-47</t>
  </si>
  <si>
    <t>72-76</t>
  </si>
  <si>
    <t>Nº de cestas com OSA na frente</t>
  </si>
  <si>
    <t>14-4</t>
  </si>
  <si>
    <t>16-4</t>
  </si>
  <si>
    <t>79-56</t>
  </si>
  <si>
    <t>81-56</t>
  </si>
  <si>
    <t>86-56</t>
  </si>
  <si>
    <t>86-58</t>
  </si>
  <si>
    <t>92-61</t>
  </si>
  <si>
    <t>94-61</t>
  </si>
  <si>
    <t>94-63</t>
  </si>
  <si>
    <t>75-80</t>
  </si>
  <si>
    <t>34-20</t>
  </si>
  <si>
    <t>37-20</t>
  </si>
  <si>
    <t>39-20</t>
  </si>
  <si>
    <t>41-20</t>
  </si>
  <si>
    <t>49-24</t>
  </si>
  <si>
    <t>49-26</t>
  </si>
  <si>
    <t>51-27</t>
  </si>
  <si>
    <t>53-29</t>
  </si>
  <si>
    <t>56-39</t>
  </si>
  <si>
    <t>81-67</t>
  </si>
  <si>
    <t>81-69</t>
  </si>
  <si>
    <t>91-82</t>
  </si>
  <si>
    <t>94-88</t>
  </si>
  <si>
    <t>74-55</t>
  </si>
  <si>
    <t>81-66</t>
  </si>
  <si>
    <t>83-68</t>
  </si>
  <si>
    <t>88-71</t>
  </si>
  <si>
    <t>Diferença (MIN - CEI)</t>
  </si>
  <si>
    <t>Nº de cestas com CEI na frente</t>
  </si>
  <si>
    <t>89-78</t>
  </si>
  <si>
    <t>89-80</t>
  </si>
  <si>
    <t>89-81</t>
  </si>
  <si>
    <t>93-87</t>
  </si>
  <si>
    <t>94-87</t>
  </si>
  <si>
    <t>95-87</t>
  </si>
  <si>
    <t>95-88</t>
  </si>
  <si>
    <t>Diferença (MIN - VAS)</t>
  </si>
  <si>
    <t>44-25</t>
  </si>
  <si>
    <t>Nº de cestas com VAS na frente</t>
  </si>
  <si>
    <t>77-66</t>
  </si>
  <si>
    <t>93-80</t>
  </si>
  <si>
    <t>93-81</t>
  </si>
  <si>
    <t>96-81</t>
  </si>
  <si>
    <t>99-81</t>
  </si>
  <si>
    <t>8-16</t>
  </si>
  <si>
    <t>12-24</t>
  </si>
  <si>
    <t>14-27</t>
  </si>
  <si>
    <t>18-32</t>
  </si>
  <si>
    <t>25-39</t>
  </si>
  <si>
    <t>30-43</t>
  </si>
  <si>
    <t>43-47</t>
  </si>
  <si>
    <t>45-52</t>
  </si>
  <si>
    <t>45-54</t>
  </si>
  <si>
    <t>48-56</t>
  </si>
  <si>
    <t>48-59</t>
  </si>
  <si>
    <t>50-59</t>
  </si>
  <si>
    <t>53-61</t>
  </si>
  <si>
    <t>68-76</t>
  </si>
  <si>
    <t>91-89</t>
  </si>
  <si>
    <t>95-95</t>
  </si>
  <si>
    <t>98-97</t>
  </si>
  <si>
    <t>102-97</t>
  </si>
  <si>
    <t>102-99</t>
  </si>
  <si>
    <t>104-100</t>
  </si>
  <si>
    <t>105-100</t>
  </si>
  <si>
    <t>105-101</t>
  </si>
  <si>
    <t>105-102</t>
  </si>
  <si>
    <t>106-102</t>
  </si>
  <si>
    <t>107-102</t>
  </si>
  <si>
    <t>6-16</t>
  </si>
  <si>
    <t>18-31</t>
  </si>
  <si>
    <t>21-31</t>
  </si>
  <si>
    <t>21-33</t>
  </si>
  <si>
    <t>90-71</t>
  </si>
  <si>
    <t>90-74</t>
  </si>
  <si>
    <t>38-44</t>
  </si>
  <si>
    <t>56-66</t>
  </si>
  <si>
    <t>56-68</t>
  </si>
  <si>
    <t>61-79</t>
  </si>
  <si>
    <t>63-79</t>
  </si>
  <si>
    <t>67-81</t>
  </si>
  <si>
    <t>67-84</t>
  </si>
  <si>
    <t>69-84</t>
  </si>
  <si>
    <t>69-87</t>
  </si>
  <si>
    <t>69-90</t>
  </si>
  <si>
    <t>75-90</t>
  </si>
  <si>
    <t>76-90</t>
  </si>
  <si>
    <t>83-77</t>
  </si>
  <si>
    <t>87-86</t>
  </si>
  <si>
    <t>89-89</t>
  </si>
  <si>
    <t>92-89</t>
  </si>
  <si>
    <t>93-89</t>
  </si>
  <si>
    <t>94-89</t>
  </si>
  <si>
    <t>95-89</t>
  </si>
  <si>
    <t>95-91</t>
  </si>
  <si>
    <t>17-31</t>
  </si>
  <si>
    <t>19-31</t>
  </si>
  <si>
    <t>87-79</t>
  </si>
  <si>
    <t>78-57</t>
  </si>
  <si>
    <t>91-80</t>
  </si>
  <si>
    <t>22-22</t>
  </si>
  <si>
    <t>49-33</t>
  </si>
  <si>
    <t>58-39</t>
  </si>
  <si>
    <t>61-39</t>
  </si>
  <si>
    <t>63-42</t>
  </si>
  <si>
    <t>68-46</t>
  </si>
  <si>
    <t>78-59</t>
  </si>
  <si>
    <t>3-14</t>
  </si>
  <si>
    <t>62-70</t>
  </si>
  <si>
    <t>76-83</t>
  </si>
  <si>
    <t>78-88</t>
  </si>
  <si>
    <t>78-90</t>
  </si>
  <si>
    <t>80-90</t>
  </si>
  <si>
    <t>84-90</t>
  </si>
  <si>
    <t>84-93</t>
  </si>
  <si>
    <t>86-95</t>
  </si>
  <si>
    <t>86-98</t>
  </si>
  <si>
    <t>86-100</t>
  </si>
  <si>
    <t>87-100</t>
  </si>
  <si>
    <t>88-103</t>
  </si>
  <si>
    <t>88-105</t>
  </si>
  <si>
    <t>89-105</t>
  </si>
  <si>
    <t>66-75</t>
  </si>
  <si>
    <t>68-80</t>
  </si>
  <si>
    <t>68-87</t>
  </si>
  <si>
    <t>70-87</t>
  </si>
  <si>
    <t>71-87</t>
  </si>
  <si>
    <t>72-87</t>
  </si>
  <si>
    <t>73-87</t>
  </si>
  <si>
    <t>77-90</t>
  </si>
  <si>
    <t>82-99</t>
  </si>
  <si>
    <t>82-100</t>
  </si>
  <si>
    <t>43-23</t>
  </si>
  <si>
    <t>45-25</t>
  </si>
  <si>
    <t>45-27</t>
  </si>
  <si>
    <t>84-67</t>
  </si>
  <si>
    <t>89-76</t>
  </si>
  <si>
    <t>78-83</t>
  </si>
  <si>
    <t>79-83</t>
  </si>
  <si>
    <t>91-90</t>
  </si>
  <si>
    <t>95-94</t>
  </si>
  <si>
    <t>98-95</t>
  </si>
  <si>
    <t>23-35</t>
  </si>
  <si>
    <t>35-46</t>
  </si>
  <si>
    <t>39-54</t>
  </si>
  <si>
    <t>41-62</t>
  </si>
  <si>
    <t>43-62</t>
  </si>
  <si>
    <t>44-62</t>
  </si>
  <si>
    <t>44-65</t>
  </si>
  <si>
    <t>46-67</t>
  </si>
  <si>
    <t>48-67</t>
  </si>
  <si>
    <t>48-69</t>
  </si>
  <si>
    <t>54-72</t>
  </si>
  <si>
    <t>57-74</t>
  </si>
  <si>
    <t>57-84</t>
  </si>
  <si>
    <t>57-87</t>
  </si>
  <si>
    <t>60-87</t>
  </si>
  <si>
    <t>61-90</t>
  </si>
  <si>
    <t>63-90</t>
  </si>
  <si>
    <t>63-92</t>
  </si>
  <si>
    <t>63-94</t>
  </si>
  <si>
    <t>65-94</t>
  </si>
  <si>
    <t>67-94</t>
  </si>
  <si>
    <t>69-94</t>
  </si>
  <si>
    <t>69-96</t>
  </si>
  <si>
    <t>72-96</t>
  </si>
  <si>
    <t>72-98</t>
  </si>
  <si>
    <t>74-98</t>
  </si>
  <si>
    <t>74-100</t>
  </si>
  <si>
    <t>74-102</t>
  </si>
  <si>
    <t>77-102</t>
  </si>
  <si>
    <t>79-102</t>
  </si>
  <si>
    <t>79-104</t>
  </si>
  <si>
    <t>81-104</t>
  </si>
  <si>
    <t>82-104</t>
  </si>
  <si>
    <t>83-104</t>
  </si>
  <si>
    <t>84-58</t>
  </si>
  <si>
    <t>85-63</t>
  </si>
  <si>
    <t>87-74</t>
  </si>
  <si>
    <t>89-77</t>
  </si>
  <si>
    <t>92-80</t>
  </si>
  <si>
    <t>28-38</t>
  </si>
  <si>
    <t>48-61</t>
  </si>
  <si>
    <t>62-71</t>
  </si>
  <si>
    <t>74-84</t>
  </si>
  <si>
    <t>75-84</t>
  </si>
  <si>
    <t>66-46</t>
  </si>
  <si>
    <t>69-50</t>
  </si>
  <si>
    <t>87-69</t>
  </si>
  <si>
    <t>93-79</t>
  </si>
  <si>
    <t>94-81</t>
  </si>
  <si>
    <t>94-83</t>
  </si>
  <si>
    <t>98-86</t>
  </si>
  <si>
    <t>100-86</t>
  </si>
  <si>
    <t>101-86</t>
  </si>
  <si>
    <t>101-88</t>
  </si>
  <si>
    <t>97-78</t>
  </si>
  <si>
    <t>99-78</t>
  </si>
  <si>
    <t>101-78</t>
  </si>
  <si>
    <t>101-81</t>
  </si>
  <si>
    <t>103-81</t>
  </si>
  <si>
    <t>103-84</t>
  </si>
  <si>
    <t>105-84</t>
  </si>
  <si>
    <t>105-85</t>
  </si>
  <si>
    <t>105-86</t>
  </si>
  <si>
    <t>107-86</t>
  </si>
  <si>
    <t>107-87</t>
  </si>
  <si>
    <t>107-88</t>
  </si>
  <si>
    <t>108-88</t>
  </si>
  <si>
    <t>109-88</t>
  </si>
  <si>
    <t>44-56</t>
  </si>
  <si>
    <t>53-65</t>
  </si>
  <si>
    <t>77-80</t>
  </si>
  <si>
    <t>78-82</t>
  </si>
  <si>
    <t>81-82</t>
  </si>
  <si>
    <t>93-86</t>
  </si>
  <si>
    <t>77-47</t>
  </si>
  <si>
    <t>87-59</t>
  </si>
  <si>
    <t>92-59</t>
  </si>
  <si>
    <t>93-59</t>
  </si>
  <si>
    <t>94-59</t>
  </si>
  <si>
    <t>97-61</t>
  </si>
  <si>
    <t>100-64</t>
  </si>
  <si>
    <t>102-64</t>
  </si>
  <si>
    <t>102-66</t>
  </si>
  <si>
    <t>104-66</t>
  </si>
  <si>
    <t>104-68</t>
  </si>
  <si>
    <t>106-68</t>
  </si>
  <si>
    <t>106-71</t>
  </si>
  <si>
    <t>48-60</t>
  </si>
  <si>
    <t>52-63</t>
  </si>
  <si>
    <t>21-5</t>
  </si>
  <si>
    <t>23-7</t>
  </si>
  <si>
    <t>25-11</t>
  </si>
  <si>
    <t>38-22</t>
  </si>
  <si>
    <t>65-43</t>
  </si>
  <si>
    <t>67-43</t>
  </si>
  <si>
    <t>81-48</t>
  </si>
  <si>
    <t>89-88</t>
  </si>
  <si>
    <t>97-89</t>
  </si>
  <si>
    <t>97-92</t>
  </si>
  <si>
    <t>98-92</t>
  </si>
  <si>
    <t>99-92</t>
  </si>
  <si>
    <t>99-94</t>
  </si>
  <si>
    <t>15-28</t>
  </si>
  <si>
    <t>74-85</t>
  </si>
  <si>
    <t>74-88</t>
  </si>
  <si>
    <t>76-88</t>
  </si>
  <si>
    <t>76-92</t>
  </si>
  <si>
    <t>76-93</t>
  </si>
  <si>
    <t>76-94</t>
  </si>
  <si>
    <t>76-95</t>
  </si>
  <si>
    <t>78-95</t>
  </si>
  <si>
    <t>78-96</t>
  </si>
  <si>
    <t>78-97</t>
  </si>
  <si>
    <t>25-7</t>
  </si>
  <si>
    <t>43-24</t>
  </si>
  <si>
    <t>50-29</t>
  </si>
  <si>
    <t>64-41</t>
  </si>
  <si>
    <t>67-41</t>
  </si>
  <si>
    <t>72-44</t>
  </si>
  <si>
    <t>78-53</t>
  </si>
  <si>
    <t>83-58</t>
  </si>
  <si>
    <t>86-59</t>
  </si>
  <si>
    <t>90-64</t>
  </si>
  <si>
    <t>95-64</t>
  </si>
  <si>
    <t>97-64</t>
  </si>
  <si>
    <t>99-64</t>
  </si>
  <si>
    <t>99-66</t>
  </si>
  <si>
    <t>101-66</t>
  </si>
  <si>
    <t>101-69</t>
  </si>
  <si>
    <t>101-71</t>
  </si>
  <si>
    <t>101-74</t>
  </si>
  <si>
    <t>85-74</t>
  </si>
  <si>
    <t>90-76</t>
  </si>
  <si>
    <t>90-81</t>
  </si>
  <si>
    <t>91-81</t>
  </si>
  <si>
    <t>92-83</t>
  </si>
  <si>
    <t>93-83</t>
  </si>
  <si>
    <t>97-86</t>
  </si>
  <si>
    <t>99-90</t>
  </si>
  <si>
    <t>100-90</t>
  </si>
  <si>
    <t>101-90</t>
  </si>
  <si>
    <t>101-93</t>
  </si>
  <si>
    <t>103-93</t>
  </si>
  <si>
    <t>77-86</t>
  </si>
  <si>
    <t>77-89</t>
  </si>
  <si>
    <t>78-92</t>
  </si>
  <si>
    <t>82-92</t>
  </si>
  <si>
    <t>83-92</t>
  </si>
  <si>
    <t>84-92</t>
  </si>
  <si>
    <t>84-94</t>
  </si>
  <si>
    <t>87-94</t>
  </si>
  <si>
    <t>87-95</t>
  </si>
  <si>
    <t>87-98</t>
  </si>
  <si>
    <t>90-100</t>
  </si>
  <si>
    <t>74-64</t>
  </si>
  <si>
    <t>96-91</t>
  </si>
  <si>
    <t>97-91</t>
  </si>
  <si>
    <t>84-79</t>
  </si>
  <si>
    <t>92-99</t>
  </si>
  <si>
    <t>92-100</t>
  </si>
  <si>
    <t>92-101</t>
  </si>
  <si>
    <t>94-101</t>
  </si>
  <si>
    <t>97-101</t>
  </si>
  <si>
    <t>97-102</t>
  </si>
  <si>
    <t>97-103</t>
  </si>
  <si>
    <t>55-62</t>
  </si>
  <si>
    <t>59-71</t>
  </si>
  <si>
    <t>59-77</t>
  </si>
  <si>
    <t>62-77</t>
  </si>
  <si>
    <t>67-80</t>
  </si>
  <si>
    <t>67-82</t>
  </si>
  <si>
    <t>69-82</t>
  </si>
  <si>
    <t>Aba</t>
  </si>
  <si>
    <t>Temporada</t>
  </si>
  <si>
    <t>Competição</t>
  </si>
  <si>
    <t>Data</t>
  </si>
  <si>
    <t>Casa</t>
  </si>
  <si>
    <t>Fora</t>
  </si>
  <si>
    <t>Placar Final</t>
  </si>
  <si>
    <t>Média Diferença (perspectiva Minas)</t>
  </si>
  <si>
    <t>Nº cestas MIN à frente</t>
  </si>
  <si>
    <t>Nº cestas empatadas</t>
  </si>
  <si>
    <t>Nº cestas Adv à frente</t>
  </si>
  <si>
    <t>Média Diferença P1</t>
  </si>
  <si>
    <t>Média Diferença P2</t>
  </si>
  <si>
    <t>Média Diferença P3</t>
  </si>
  <si>
    <t>Média Diferença P4</t>
  </si>
  <si>
    <t>001_MIN-C R_22-23</t>
  </si>
  <si>
    <t>NBB 2022/2023</t>
  </si>
  <si>
    <t>MIN</t>
  </si>
  <si>
    <t>FLA</t>
  </si>
  <si>
    <t>002_MIN-ESP_22-23</t>
  </si>
  <si>
    <t>PIN</t>
  </si>
  <si>
    <t>003_MIN-ZOP_22-23</t>
  </si>
  <si>
    <t>BAU</t>
  </si>
  <si>
    <t>004_MIN-FRA_22-23</t>
  </si>
  <si>
    <t>FRA</t>
  </si>
  <si>
    <t>005_MIN-CAX_22-23</t>
  </si>
  <si>
    <t>CAX</t>
  </si>
  <si>
    <t>006_MIN-UNC_22-23</t>
  </si>
  <si>
    <t>CEI</t>
  </si>
  <si>
    <t>007_MIN-CER_22-23</t>
  </si>
  <si>
    <t>CER</t>
  </si>
  <si>
    <t>102-112</t>
  </si>
  <si>
    <t>008_MIN-BRA_22-23</t>
  </si>
  <si>
    <t>CAI</t>
  </si>
  <si>
    <t>74-94</t>
  </si>
  <si>
    <t>009_MIN-SJB_22-23</t>
  </si>
  <si>
    <t>SJB</t>
  </si>
  <si>
    <t>010_MIN-FOR_22-23</t>
  </si>
  <si>
    <t>FOR</t>
  </si>
  <si>
    <t>011_MIN-PAU_22-23</t>
  </si>
  <si>
    <t>PAU</t>
  </si>
  <si>
    <t>012_MIN-RIO_22-23</t>
  </si>
  <si>
    <t>RIO</t>
  </si>
  <si>
    <t>013_MIN-COR_22-23</t>
  </si>
  <si>
    <t>COR</t>
  </si>
  <si>
    <t>014_MIN-PAT_22-23</t>
  </si>
  <si>
    <t>PAT</t>
  </si>
  <si>
    <t>015_MIN-SPA_22-23</t>
  </si>
  <si>
    <t>SPA</t>
  </si>
  <si>
    <t>100-83</t>
  </si>
  <si>
    <t>016_MIN-UNI_22-23</t>
  </si>
  <si>
    <t>UNI</t>
  </si>
  <si>
    <t>017_MIN-BAU_22-23</t>
  </si>
  <si>
    <t>018_MIN-PIN_22-23</t>
  </si>
  <si>
    <t>019_MIN-COR_S8-23</t>
  </si>
  <si>
    <t>S8-23</t>
  </si>
  <si>
    <t>Copa Super 8 2023</t>
  </si>
  <si>
    <t>020_MIN-SJB_22-23</t>
  </si>
  <si>
    <t>89-96</t>
  </si>
  <si>
    <t>021_MIN-CAX_22-23</t>
  </si>
  <si>
    <t>022_MIN-UNC_22-23</t>
  </si>
  <si>
    <t>023_MIN-CER_22-23</t>
  </si>
  <si>
    <t>024_MIN-BRB_22-23</t>
  </si>
  <si>
    <t>025_MIN-FLA_22-23</t>
  </si>
  <si>
    <t>026_MIN-SPA_22-23</t>
  </si>
  <si>
    <t>027_MIN-FRA_22-23</t>
  </si>
  <si>
    <t>94-90</t>
  </si>
  <si>
    <t>028_MIN-RIO_22-23</t>
  </si>
  <si>
    <t>79-97</t>
  </si>
  <si>
    <t>029_MIN-COR_22-23</t>
  </si>
  <si>
    <t>030_MIN-PAT_22-23</t>
  </si>
  <si>
    <t>031_MIN-PAU_22-23</t>
  </si>
  <si>
    <t>032_MIN-UNI_22-23</t>
  </si>
  <si>
    <t>033_MIN-FOR_22-23</t>
  </si>
  <si>
    <t>034_MIN-PAU_22-23</t>
  </si>
  <si>
    <t>035_MIN-PAU_22-23</t>
  </si>
  <si>
    <t>036_MIN-PAU_22-23</t>
  </si>
  <si>
    <t>037_MIN-PAU_22-23</t>
  </si>
  <si>
    <t>038_MIN-PAU_22-23</t>
  </si>
  <si>
    <t>039_MIN-FRA_22-23</t>
  </si>
  <si>
    <t>112-98</t>
  </si>
  <si>
    <t>040_MIN-FRA_22-23</t>
  </si>
  <si>
    <t>041_MIN-FRA_22-23</t>
  </si>
  <si>
    <t>042_MIN-FRA_22-23</t>
  </si>
  <si>
    <t>043_MIN-FRA_22-23</t>
  </si>
  <si>
    <t>044_MIN-FLA_23-24</t>
  </si>
  <si>
    <t>NBB CAIXA 2023/2024</t>
  </si>
  <si>
    <t>045_MIN-BOT_23-24</t>
  </si>
  <si>
    <t>BOT</t>
  </si>
  <si>
    <t>76-96</t>
  </si>
  <si>
    <t>046_MIN-R10_23-24</t>
  </si>
  <si>
    <t>VAS</t>
  </si>
  <si>
    <t>047_MIN-COO_23-24</t>
  </si>
  <si>
    <t>048_MIN-MOG_23-24</t>
  </si>
  <si>
    <t>MOG</t>
  </si>
  <si>
    <t>049_MIN-BAU_23-24</t>
  </si>
  <si>
    <t>050_MIN-FRA_23-24</t>
  </si>
  <si>
    <t>051_MIN-SPA_23-24</t>
  </si>
  <si>
    <t>052_MIN-PAU_23-24</t>
  </si>
  <si>
    <t>71-86</t>
  </si>
  <si>
    <t>053_MIN-UNI_23-24</t>
  </si>
  <si>
    <t>054_MIN-FOR_23-24</t>
  </si>
  <si>
    <t>055_MIN-CER_23-24</t>
  </si>
  <si>
    <t>056_MIN-COR_23-24</t>
  </si>
  <si>
    <t>105-96</t>
  </si>
  <si>
    <t>057_MIN-PIN_23-24</t>
  </si>
  <si>
    <t>61-91</t>
  </si>
  <si>
    <t>058_MIN-BRB_23-24</t>
  </si>
  <si>
    <t>059_MIN-PAT_23-24</t>
  </si>
  <si>
    <t>060_MIN-CAX_23-24</t>
  </si>
  <si>
    <t>061_MIN-UNC_23-24</t>
  </si>
  <si>
    <t>062_MIN-BOT_23-24</t>
  </si>
  <si>
    <t>063_MIN-FLA_23-24</t>
  </si>
  <si>
    <t>064_MIN-R10_23-24</t>
  </si>
  <si>
    <t>065_MIN-BRB_23-24</t>
  </si>
  <si>
    <t>68-111</t>
  </si>
  <si>
    <t>066_MIN-CER_23-24</t>
  </si>
  <si>
    <t>71-84</t>
  </si>
  <si>
    <t>067_MIN-FOR_S8-24</t>
  </si>
  <si>
    <t>S8-24</t>
  </si>
  <si>
    <t>Copa Super 8 2024</t>
  </si>
  <si>
    <t>068_MIN-UNI_S8-24</t>
  </si>
  <si>
    <t>069_MIN-MOG_23-24</t>
  </si>
  <si>
    <t>070_MIN-SPA_23-24</t>
  </si>
  <si>
    <t>071_MIN-FRA_23-24</t>
  </si>
  <si>
    <t>072_MIN-BAU_23-24</t>
  </si>
  <si>
    <t>073_MIN-PAU_23-24</t>
  </si>
  <si>
    <t>074_MIN-FOR_23-24</t>
  </si>
  <si>
    <t>075_MIN-UNI_23-24</t>
  </si>
  <si>
    <t>98-96</t>
  </si>
  <si>
    <t>076_MIN-COO_23-24</t>
  </si>
  <si>
    <t>077_MIN-PIN_23-24</t>
  </si>
  <si>
    <t>078_MIN-COR_23-24</t>
  </si>
  <si>
    <t>079_MIN-PAT_23-24</t>
  </si>
  <si>
    <t>080_MIN-CAX_23-24</t>
  </si>
  <si>
    <t>081_MIN-UNC_23-24</t>
  </si>
  <si>
    <t>082_MIN-UNC_23-24</t>
  </si>
  <si>
    <t>083_MIN-UNC_23-24</t>
  </si>
  <si>
    <t>084_MIN-SPA_23-24</t>
  </si>
  <si>
    <t>085_MIN-SPA_23-24</t>
  </si>
  <si>
    <t>105-74</t>
  </si>
  <si>
    <t>086_MIN-SPA_23-24</t>
  </si>
  <si>
    <t>087_MIN-SPA_23-24</t>
  </si>
  <si>
    <t>088_MIN-SPA_23-24</t>
  </si>
  <si>
    <t>089_MIN-FRA_23-24</t>
  </si>
  <si>
    <t>090_MIN-FRA_23-24</t>
  </si>
  <si>
    <t>091_MIN-FRA_23-24</t>
  </si>
  <si>
    <t>092_MIN-FRA_23-24</t>
  </si>
  <si>
    <t>093_MIN-FRA_23-24</t>
  </si>
  <si>
    <t>094_MIN-CAI_24-25</t>
  </si>
  <si>
    <t>NBB CAIXA 2024/2025</t>
  </si>
  <si>
    <t>095_MIN-FRA_24-25</t>
  </si>
  <si>
    <t>096_MIN-BAU_24-25</t>
  </si>
  <si>
    <t>097_MIN-FAR_24-25</t>
  </si>
  <si>
    <t>098_MIN-MOG_24-25</t>
  </si>
  <si>
    <t>099_MIN-PIN_24-25</t>
  </si>
  <si>
    <t>100_MIN-COR_24-25</t>
  </si>
  <si>
    <t>60-86</t>
  </si>
  <si>
    <t>101_MIN-FOR_24-25</t>
  </si>
  <si>
    <t>102_MIN-UNI_24-25</t>
  </si>
  <si>
    <t>103_MIN-UNC_24-25</t>
  </si>
  <si>
    <t>71-89</t>
  </si>
  <si>
    <t>104_MIN-CAX_24-25</t>
  </si>
  <si>
    <t>105_MIN-FLA_24-25</t>
  </si>
  <si>
    <t>106_MIN-BOT_24-25</t>
  </si>
  <si>
    <t>68-95</t>
  </si>
  <si>
    <t>107_MIN-PAT_24-25</t>
  </si>
  <si>
    <t>108_MIN-R10_24-25</t>
  </si>
  <si>
    <t>109_MIN-PAU_24-25</t>
  </si>
  <si>
    <t>110_MIN-SPA_24-25</t>
  </si>
  <si>
    <t>111_MIN-BAU_24-25</t>
  </si>
  <si>
    <t>112_MIN-FRA_24-25</t>
  </si>
  <si>
    <t>113_MIN-FAR_24-25</t>
  </si>
  <si>
    <t>114_MIN-MOG_24-25</t>
  </si>
  <si>
    <t>115_MIN-SPA_S8-25</t>
  </si>
  <si>
    <t>S8-25</t>
  </si>
  <si>
    <t>Copa Super 8 2025</t>
  </si>
  <si>
    <t>116_MIN-CAI_S8-25</t>
  </si>
  <si>
    <t>117_MIN-FLA_S8-25</t>
  </si>
  <si>
    <t>118_MIN-COR_24-25</t>
  </si>
  <si>
    <t>119_MIN-PIN_24-25</t>
  </si>
  <si>
    <t>120_MIN-FOR_24-25</t>
  </si>
  <si>
    <t>121_MIN-UNI_24-25</t>
  </si>
  <si>
    <t>122_MIN-FLA_24-25</t>
  </si>
  <si>
    <t>123_MIN-CAX_24-25</t>
  </si>
  <si>
    <t>124_MIN-UNC_24-25</t>
  </si>
  <si>
    <t>125_MIN-CAI_24-25</t>
  </si>
  <si>
    <t>126_MIN-PAT_24-25</t>
  </si>
  <si>
    <t>127_MIN-R10_24-25</t>
  </si>
  <si>
    <t>128_MIN-BOT_24-25</t>
  </si>
  <si>
    <t>129_MIN-SPA_24-25</t>
  </si>
  <si>
    <t>130_MIN-PAU_24-25</t>
  </si>
  <si>
    <t>131_MIN-MOG_24-25</t>
  </si>
  <si>
    <t>132_MIN-MOG_24-25</t>
  </si>
  <si>
    <t>133_MIN-MOG_24-25</t>
  </si>
  <si>
    <t>134_MIN-R10_24-25</t>
  </si>
  <si>
    <t>135_MIN-R10_24-25</t>
  </si>
  <si>
    <t>136_MIN-R10_24-25</t>
  </si>
  <si>
    <t>137_MIN-BAU_24-25</t>
  </si>
  <si>
    <t>57-71</t>
  </si>
  <si>
    <t>138_MIN-BAU_24-25</t>
  </si>
  <si>
    <t>139_MIN-BAU_24-25</t>
  </si>
  <si>
    <t>140_MIN-FRA_24-25</t>
  </si>
  <si>
    <t>141_MIN-FRA_24-25</t>
  </si>
  <si>
    <t>142_MIN-FRA_24-25</t>
  </si>
  <si>
    <t>143_MIN-FRA_24-25</t>
  </si>
  <si>
    <t>144_MIN-COR_25-26</t>
  </si>
  <si>
    <t>NBB CAIXA 2025/2026</t>
  </si>
  <si>
    <t>145_MIN-SJB_25-26</t>
  </si>
  <si>
    <t>146_MIN-MOG_25-26</t>
  </si>
  <si>
    <t>147_MIN-PAT_25-26</t>
  </si>
  <si>
    <t>148_MIN-CRU_25-26</t>
  </si>
  <si>
    <t>CRU</t>
  </si>
  <si>
    <t>149_MIN-FRA_25-26</t>
  </si>
  <si>
    <t>150_MIN-RIO_25-26</t>
  </si>
  <si>
    <t>74-108</t>
  </si>
  <si>
    <t>151_MIN-CAI_25-26</t>
  </si>
  <si>
    <t>152_MIN-OSA_25-26</t>
  </si>
  <si>
    <t>OSA</t>
  </si>
  <si>
    <t>153_MIN-PAU_25-26</t>
  </si>
  <si>
    <t>154_MIN-PIN_25-26</t>
  </si>
  <si>
    <t>155_MIN-BAU_25-26</t>
  </si>
  <si>
    <t>156_MIN-CAX_25-26</t>
  </si>
  <si>
    <t>157_MIN-CEI_25-26</t>
  </si>
  <si>
    <t>158_MIN-BOT_25-26</t>
  </si>
  <si>
    <t>159_MIN-VAS_25-26</t>
  </si>
  <si>
    <t>160_MIN-FLA_25-26</t>
  </si>
  <si>
    <t>161_MIN-FOR_25-26</t>
  </si>
  <si>
    <t>81-99</t>
  </si>
  <si>
    <t>162_MIN-UNI_25-26</t>
  </si>
  <si>
    <t>102-107</t>
  </si>
  <si>
    <t>163_MIN-COR_25-26</t>
  </si>
  <si>
    <t>74-92</t>
  </si>
  <si>
    <t>164_MIN-MOG_25-26</t>
  </si>
  <si>
    <t>165_MIN-SJB_25-26</t>
  </si>
  <si>
    <t>166_MIN-PAT_25-26</t>
  </si>
  <si>
    <t>167_MIN-COR_S8-26</t>
  </si>
  <si>
    <t>S8-26</t>
  </si>
  <si>
    <t>COPA SUPER 8 · 2026</t>
  </si>
  <si>
    <t>168_MIN-FLA_S8-26</t>
  </si>
  <si>
    <t>80-93</t>
  </si>
  <si>
    <t>169_MIN-PIN_S8-26</t>
  </si>
  <si>
    <t>62-85</t>
  </si>
  <si>
    <t>170_MIN-BAU_25-26</t>
  </si>
  <si>
    <t>105-90</t>
  </si>
  <si>
    <t>171_MIN-FRA_25-26</t>
  </si>
  <si>
    <t>100-82</t>
  </si>
  <si>
    <t>172_MIN-CAI_25-26</t>
  </si>
  <si>
    <t>173_MIN-RIO_25-26</t>
  </si>
  <si>
    <t>174_MIN-PAU_25-26</t>
  </si>
  <si>
    <t>104-83</t>
  </si>
  <si>
    <t>175_MIN-CEI_25-26</t>
  </si>
  <si>
    <t>176_MIN-CAX_25-26</t>
  </si>
  <si>
    <t>177_MIN-OSA_25-26</t>
  </si>
  <si>
    <t>178_MIN-PIN_25-26</t>
  </si>
  <si>
    <t>179_MIN-CRU_25-26</t>
  </si>
  <si>
    <t>180_MIN-VAS_25-26</t>
  </si>
  <si>
    <t>88-109</t>
  </si>
  <si>
    <t>181_MIN-FLA_25-26</t>
  </si>
  <si>
    <t>182_MIN-BOT_25-26</t>
  </si>
  <si>
    <t>71-106</t>
  </si>
  <si>
    <t>183_MIN-UNI_25-26</t>
  </si>
  <si>
    <t>184_MIN-FOR_25-26</t>
  </si>
  <si>
    <t>185_MIN-CRU_25-26</t>
  </si>
  <si>
    <t>186_MIN-CRU_25-26</t>
  </si>
  <si>
    <t>187_MIN-CRU_25-26</t>
  </si>
  <si>
    <t>74-101</t>
  </si>
  <si>
    <t>188_MIN-CRU_25-26</t>
  </si>
  <si>
    <t>189_MIN-COR_25-26</t>
  </si>
  <si>
    <t>190_MIN-COR_25-26</t>
  </si>
  <si>
    <t>91-97</t>
  </si>
  <si>
    <t>191_MIN-COR_25-26</t>
  </si>
  <si>
    <t>103-97</t>
  </si>
  <si>
    <t>192_MIN-COR_25-26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</si>
</sst>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0549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styles" Target="styles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4</v>
      </c>
      <c r="B3" t="s">
        <v>7</v>
      </c>
      <c r="C3" t="s">
        <v>8</v>
      </c>
      <c r="D3">
        <v>0</v>
      </c>
    </row>
    <row r="4" spans="1:4" x14ac:dyDescent="0.25">
      <c r="A4" t="s">
        <v>4</v>
      </c>
      <c r="B4" t="s">
        <v>9</v>
      </c>
      <c r="C4" t="s">
        <v>10</v>
      </c>
      <c r="D4">
        <v>-2</v>
      </c>
    </row>
    <row r="5" spans="1:4" x14ac:dyDescent="0.25">
      <c r="A5" t="s">
        <v>4</v>
      </c>
      <c r="B5" t="s">
        <v>11</v>
      </c>
      <c r="C5" t="s">
        <v>12</v>
      </c>
      <c r="D5">
        <v>0</v>
      </c>
    </row>
    <row r="6" spans="1:4" x14ac:dyDescent="0.25">
      <c r="A6" t="s">
        <v>4</v>
      </c>
      <c r="B6" t="s">
        <v>13</v>
      </c>
      <c r="C6" t="s">
        <v>14</v>
      </c>
      <c r="D6">
        <v>-3</v>
      </c>
    </row>
    <row r="7" spans="1:4" x14ac:dyDescent="0.25">
      <c r="A7" t="s">
        <v>4</v>
      </c>
      <c r="B7" t="s">
        <v>15</v>
      </c>
      <c r="C7" t="s">
        <v>16</v>
      </c>
      <c r="D7">
        <v>-1</v>
      </c>
    </row>
    <row r="8" spans="1:4" x14ac:dyDescent="0.25">
      <c r="A8" t="s">
        <v>4</v>
      </c>
      <c r="B8" t="s">
        <v>17</v>
      </c>
      <c r="C8" t="s">
        <v>18</v>
      </c>
      <c r="D8">
        <v>-2</v>
      </c>
    </row>
    <row r="9" spans="1:4" x14ac:dyDescent="0.25">
      <c r="A9" t="s">
        <v>4</v>
      </c>
      <c r="B9" t="s">
        <v>19</v>
      </c>
      <c r="C9" t="s">
        <v>20</v>
      </c>
      <c r="D9">
        <v>0</v>
      </c>
    </row>
    <row r="10" spans="1:4" x14ac:dyDescent="0.25">
      <c r="A10" t="s">
        <v>4</v>
      </c>
      <c r="B10" t="s">
        <v>21</v>
      </c>
      <c r="C10" t="s">
        <v>22</v>
      </c>
      <c r="D10">
        <v>2</v>
      </c>
    </row>
    <row r="11" spans="1:4" x14ac:dyDescent="0.25">
      <c r="A11" t="s">
        <v>4</v>
      </c>
      <c r="B11" t="s">
        <v>23</v>
      </c>
      <c r="C11" t="s">
        <v>24</v>
      </c>
      <c r="D11">
        <v>4</v>
      </c>
    </row>
    <row r="12" spans="1:4" x14ac:dyDescent="0.25">
      <c r="A12" t="s">
        <v>4</v>
      </c>
      <c r="B12" t="s">
        <v>25</v>
      </c>
      <c r="C12" t="s">
        <v>26</v>
      </c>
      <c r="D12">
        <v>3</v>
      </c>
    </row>
    <row r="13" spans="1:4" x14ac:dyDescent="0.25">
      <c r="A13" t="s">
        <v>4</v>
      </c>
      <c r="B13" t="s">
        <v>27</v>
      </c>
      <c r="C13" t="s">
        <v>28</v>
      </c>
      <c r="D13">
        <v>1</v>
      </c>
    </row>
    <row r="14" spans="1:4" x14ac:dyDescent="0.25">
      <c r="A14" t="s">
        <v>4</v>
      </c>
      <c r="B14" t="s">
        <v>29</v>
      </c>
      <c r="C14" t="s">
        <v>30</v>
      </c>
      <c r="D14">
        <v>-1</v>
      </c>
    </row>
    <row r="15" spans="1:4" x14ac:dyDescent="0.25">
      <c r="A15" t="s">
        <v>4</v>
      </c>
      <c r="B15" t="s">
        <v>31</v>
      </c>
      <c r="C15" t="s">
        <v>32</v>
      </c>
      <c r="D15">
        <v>1</v>
      </c>
    </row>
    <row r="16" spans="1:4" x14ac:dyDescent="0.25">
      <c r="A16" t="s">
        <v>4</v>
      </c>
      <c r="B16" t="s">
        <v>33</v>
      </c>
      <c r="C16" t="s">
        <v>34</v>
      </c>
      <c r="D16">
        <v>0</v>
      </c>
    </row>
    <row r="17" spans="1:4" x14ac:dyDescent="0.25">
      <c r="A17" t="s">
        <v>4</v>
      </c>
      <c r="B17" t="s">
        <v>33</v>
      </c>
      <c r="C17" t="s">
        <v>35</v>
      </c>
      <c r="D17">
        <v>-1</v>
      </c>
    </row>
    <row r="18" spans="1:4" x14ac:dyDescent="0.25">
      <c r="A18" t="s">
        <v>4</v>
      </c>
      <c r="B18" t="s">
        <v>36</v>
      </c>
      <c r="C18" t="s">
        <v>37</v>
      </c>
      <c r="D18">
        <v>-4</v>
      </c>
    </row>
    <row r="19" spans="1:4" x14ac:dyDescent="0.25">
      <c r="A19" t="s">
        <v>4</v>
      </c>
      <c r="B19" t="s">
        <v>38</v>
      </c>
      <c r="C19" t="s">
        <v>39</v>
      </c>
      <c r="D19">
        <v>-1</v>
      </c>
    </row>
    <row r="20" spans="1:4" x14ac:dyDescent="0.25">
      <c r="A20" t="s">
        <v>40</v>
      </c>
      <c r="B20" t="s">
        <v>41</v>
      </c>
      <c r="C20" t="s">
        <v>42</v>
      </c>
      <c r="D20">
        <v>-4</v>
      </c>
    </row>
    <row r="21" spans="1:4" x14ac:dyDescent="0.25">
      <c r="A21" t="s">
        <v>40</v>
      </c>
      <c r="B21" t="s">
        <v>43</v>
      </c>
      <c r="C21" t="s">
        <v>44</v>
      </c>
      <c r="D21">
        <v>-2</v>
      </c>
    </row>
    <row r="22" spans="1:4" x14ac:dyDescent="0.25">
      <c r="A22" t="s">
        <v>40</v>
      </c>
      <c r="B22" t="s">
        <v>45</v>
      </c>
      <c r="C22" t="s">
        <v>46</v>
      </c>
      <c r="D22">
        <v>-5</v>
      </c>
    </row>
    <row r="23" spans="1:4" x14ac:dyDescent="0.25">
      <c r="A23" t="s">
        <v>40</v>
      </c>
      <c r="B23" t="s">
        <v>47</v>
      </c>
      <c r="C23" t="s">
        <v>48</v>
      </c>
      <c r="D23">
        <v>-3</v>
      </c>
    </row>
    <row r="24" spans="1:4" x14ac:dyDescent="0.25">
      <c r="A24" t="s">
        <v>40</v>
      </c>
      <c r="B24" t="s">
        <v>49</v>
      </c>
      <c r="C24" t="s">
        <v>50</v>
      </c>
      <c r="D24">
        <v>-5</v>
      </c>
    </row>
    <row r="25" spans="1:4" x14ac:dyDescent="0.25">
      <c r="A25" t="s">
        <v>40</v>
      </c>
      <c r="B25" t="s">
        <v>51</v>
      </c>
      <c r="C25" t="s">
        <v>52</v>
      </c>
      <c r="D25">
        <v>-4</v>
      </c>
    </row>
    <row r="26" spans="1:4" x14ac:dyDescent="0.25">
      <c r="A26" t="s">
        <v>40</v>
      </c>
      <c r="B26" t="s">
        <v>51</v>
      </c>
      <c r="C26" t="s">
        <v>53</v>
      </c>
      <c r="D26">
        <v>-3</v>
      </c>
    </row>
    <row r="27" spans="1:4" x14ac:dyDescent="0.25">
      <c r="A27" t="s">
        <v>40</v>
      </c>
      <c r="B27" t="s">
        <v>54</v>
      </c>
      <c r="C27" t="s">
        <v>55</v>
      </c>
      <c r="D27">
        <v>-6</v>
      </c>
    </row>
    <row r="28" spans="1:4" x14ac:dyDescent="0.25">
      <c r="A28" t="s">
        <v>40</v>
      </c>
      <c r="B28" t="s">
        <v>56</v>
      </c>
      <c r="C28" t="s">
        <v>57</v>
      </c>
      <c r="D28">
        <v>-4</v>
      </c>
    </row>
    <row r="29" spans="1:4" x14ac:dyDescent="0.25">
      <c r="A29" t="s">
        <v>40</v>
      </c>
      <c r="B29" t="s">
        <v>58</v>
      </c>
      <c r="C29" t="s">
        <v>59</v>
      </c>
      <c r="D29">
        <v>-1</v>
      </c>
    </row>
    <row r="30" spans="1:4" x14ac:dyDescent="0.25">
      <c r="A30" t="s">
        <v>40</v>
      </c>
      <c r="B30" t="s">
        <v>60</v>
      </c>
      <c r="C30" t="s">
        <v>61</v>
      </c>
      <c r="D30">
        <v>-3</v>
      </c>
    </row>
    <row r="31" spans="1:4" x14ac:dyDescent="0.25">
      <c r="A31" t="s">
        <v>40</v>
      </c>
      <c r="B31" t="s">
        <v>62</v>
      </c>
      <c r="C31" t="s">
        <v>63</v>
      </c>
      <c r="D31">
        <v>-1</v>
      </c>
    </row>
    <row r="32" spans="1:4" x14ac:dyDescent="0.25">
      <c r="A32" t="s">
        <v>40</v>
      </c>
      <c r="B32" t="s">
        <v>64</v>
      </c>
      <c r="C32" t="s">
        <v>65</v>
      </c>
      <c r="D32">
        <v>-2</v>
      </c>
    </row>
    <row r="33" spans="1:4" x14ac:dyDescent="0.25">
      <c r="A33" t="s">
        <v>40</v>
      </c>
      <c r="B33" t="s">
        <v>64</v>
      </c>
      <c r="C33" t="s">
        <v>66</v>
      </c>
      <c r="D33">
        <v>-3</v>
      </c>
    </row>
    <row r="34" spans="1:4" x14ac:dyDescent="0.25">
      <c r="A34" t="s">
        <v>40</v>
      </c>
      <c r="B34" t="s">
        <v>67</v>
      </c>
      <c r="C34" t="s">
        <v>68</v>
      </c>
      <c r="D34">
        <v>-5</v>
      </c>
    </row>
    <row r="35" spans="1:4" x14ac:dyDescent="0.25">
      <c r="A35" t="s">
        <v>40</v>
      </c>
      <c r="B35" t="s">
        <v>67</v>
      </c>
      <c r="C35" t="s">
        <v>69</v>
      </c>
      <c r="D35">
        <v>-6</v>
      </c>
    </row>
    <row r="36" spans="1:4" x14ac:dyDescent="0.25">
      <c r="A36" t="s">
        <v>40</v>
      </c>
      <c r="B36" t="s">
        <v>70</v>
      </c>
      <c r="C36" t="s">
        <v>71</v>
      </c>
      <c r="D36">
        <v>-8</v>
      </c>
    </row>
    <row r="37" spans="1:4" x14ac:dyDescent="0.25">
      <c r="A37" t="s">
        <v>40</v>
      </c>
      <c r="B37" t="s">
        <v>72</v>
      </c>
      <c r="C37" t="s">
        <v>73</v>
      </c>
      <c r="D37">
        <v>-6</v>
      </c>
    </row>
    <row r="38" spans="1:4" x14ac:dyDescent="0.25">
      <c r="A38" t="s">
        <v>40</v>
      </c>
      <c r="B38" t="s">
        <v>74</v>
      </c>
      <c r="C38" t="s">
        <v>75</v>
      </c>
      <c r="D38">
        <v>-9</v>
      </c>
    </row>
    <row r="39" spans="1:4" x14ac:dyDescent="0.25">
      <c r="A39" t="s">
        <v>40</v>
      </c>
      <c r="B39" t="s">
        <v>76</v>
      </c>
      <c r="C39" t="s">
        <v>77</v>
      </c>
      <c r="D39">
        <v>-10</v>
      </c>
    </row>
    <row r="40" spans="1:4" x14ac:dyDescent="0.25">
      <c r="A40" t="s">
        <v>40</v>
      </c>
      <c r="B40" t="s">
        <v>78</v>
      </c>
      <c r="C40" t="s">
        <v>79</v>
      </c>
      <c r="D40">
        <v>-8</v>
      </c>
    </row>
    <row r="41" spans="1:4" x14ac:dyDescent="0.25">
      <c r="A41" t="s">
        <v>80</v>
      </c>
      <c r="B41" t="s">
        <v>81</v>
      </c>
      <c r="C41" t="s">
        <v>82</v>
      </c>
      <c r="D41">
        <v>-10</v>
      </c>
    </row>
    <row r="42" spans="1:4" x14ac:dyDescent="0.25">
      <c r="A42" t="s">
        <v>80</v>
      </c>
      <c r="B42" t="s">
        <v>83</v>
      </c>
      <c r="C42" t="s">
        <v>84</v>
      </c>
      <c r="D42">
        <v>-8</v>
      </c>
    </row>
    <row r="43" spans="1:4" x14ac:dyDescent="0.25">
      <c r="A43" t="s">
        <v>80</v>
      </c>
      <c r="B43" t="s">
        <v>85</v>
      </c>
      <c r="C43" t="s">
        <v>86</v>
      </c>
      <c r="D43">
        <v>-9</v>
      </c>
    </row>
    <row r="44" spans="1:4" x14ac:dyDescent="0.25">
      <c r="A44" t="s">
        <v>80</v>
      </c>
      <c r="B44" t="s">
        <v>87</v>
      </c>
      <c r="C44" t="s">
        <v>88</v>
      </c>
      <c r="D44">
        <v>-7</v>
      </c>
    </row>
    <row r="45" spans="1:4" x14ac:dyDescent="0.25">
      <c r="A45" t="s">
        <v>80</v>
      </c>
      <c r="B45" t="s">
        <v>89</v>
      </c>
      <c r="C45" t="s">
        <v>90</v>
      </c>
      <c r="D45">
        <v>-8</v>
      </c>
    </row>
    <row r="46" spans="1:4" x14ac:dyDescent="0.25">
      <c r="A46" t="s">
        <v>80</v>
      </c>
      <c r="B46" t="s">
        <v>91</v>
      </c>
      <c r="C46" t="s">
        <v>92</v>
      </c>
      <c r="D46">
        <v>-5</v>
      </c>
    </row>
    <row r="47" spans="1:4" x14ac:dyDescent="0.25">
      <c r="A47" t="s">
        <v>80</v>
      </c>
      <c r="B47" t="s">
        <v>93</v>
      </c>
      <c r="C47" t="s">
        <v>94</v>
      </c>
      <c r="D47">
        <v>-4</v>
      </c>
    </row>
    <row r="48" spans="1:4" x14ac:dyDescent="0.25">
      <c r="A48" t="s">
        <v>80</v>
      </c>
      <c r="B48" t="s">
        <v>95</v>
      </c>
      <c r="C48" t="s">
        <v>96</v>
      </c>
      <c r="D48">
        <v>-5</v>
      </c>
    </row>
    <row r="49" spans="1:4" x14ac:dyDescent="0.25">
      <c r="A49" t="s">
        <v>80</v>
      </c>
      <c r="B49" t="s">
        <v>97</v>
      </c>
      <c r="C49" t="s">
        <v>98</v>
      </c>
      <c r="D49">
        <v>-8</v>
      </c>
    </row>
    <row r="50" spans="1:4" x14ac:dyDescent="0.25">
      <c r="A50" t="s">
        <v>80</v>
      </c>
      <c r="B50" t="s">
        <v>99</v>
      </c>
      <c r="C50" t="s">
        <v>100</v>
      </c>
      <c r="D50">
        <v>-6</v>
      </c>
    </row>
    <row r="51" spans="1:4" x14ac:dyDescent="0.25">
      <c r="A51" t="s">
        <v>80</v>
      </c>
      <c r="B51" t="s">
        <v>101</v>
      </c>
      <c r="C51" t="s">
        <v>102</v>
      </c>
      <c r="D51">
        <v>-7</v>
      </c>
    </row>
    <row r="52" spans="1:4" x14ac:dyDescent="0.25">
      <c r="A52" t="s">
        <v>80</v>
      </c>
      <c r="B52" t="s">
        <v>101</v>
      </c>
      <c r="C52" t="s">
        <v>103</v>
      </c>
      <c r="D52">
        <v>-8</v>
      </c>
    </row>
    <row r="53" spans="1:4" x14ac:dyDescent="0.25">
      <c r="A53" t="s">
        <v>80</v>
      </c>
      <c r="B53" t="s">
        <v>104</v>
      </c>
      <c r="C53" t="s">
        <v>105</v>
      </c>
      <c r="D53">
        <v>-5</v>
      </c>
    </row>
    <row r="54" spans="1:4" x14ac:dyDescent="0.25">
      <c r="A54" t="s">
        <v>80</v>
      </c>
      <c r="B54" t="s">
        <v>106</v>
      </c>
      <c r="C54" t="s">
        <v>107</v>
      </c>
      <c r="D54">
        <v>-7</v>
      </c>
    </row>
    <row r="55" spans="1:4" x14ac:dyDescent="0.25">
      <c r="A55" t="s">
        <v>80</v>
      </c>
      <c r="B55" t="s">
        <v>108</v>
      </c>
      <c r="C55" t="s">
        <v>109</v>
      </c>
      <c r="D55">
        <v>-9</v>
      </c>
    </row>
    <row r="56" spans="1:4" x14ac:dyDescent="0.25">
      <c r="A56" t="s">
        <v>80</v>
      </c>
      <c r="B56" t="s">
        <v>110</v>
      </c>
      <c r="C56" t="s">
        <v>111</v>
      </c>
      <c r="D56">
        <v>-7</v>
      </c>
    </row>
    <row r="57" spans="1:4" x14ac:dyDescent="0.25">
      <c r="A57" t="s">
        <v>80</v>
      </c>
      <c r="B57" t="s">
        <v>112</v>
      </c>
      <c r="C57" t="s">
        <v>113</v>
      </c>
      <c r="D57">
        <v>-10</v>
      </c>
    </row>
    <row r="58" spans="1:4" x14ac:dyDescent="0.25">
      <c r="A58" t="s">
        <v>80</v>
      </c>
      <c r="B58" t="s">
        <v>114</v>
      </c>
      <c r="C58" t="s">
        <v>115</v>
      </c>
      <c r="D58">
        <v>-8</v>
      </c>
    </row>
    <row r="59" spans="1:4" x14ac:dyDescent="0.25">
      <c r="A59" t="s">
        <v>80</v>
      </c>
      <c r="B59" t="s">
        <v>116</v>
      </c>
      <c r="C59" t="s">
        <v>117</v>
      </c>
      <c r="D59">
        <v>-6</v>
      </c>
    </row>
    <row r="60" spans="1:4" x14ac:dyDescent="0.25">
      <c r="A60" t="s">
        <v>80</v>
      </c>
      <c r="B60" t="s">
        <v>118</v>
      </c>
      <c r="C60" t="s">
        <v>119</v>
      </c>
      <c r="D60">
        <v>-3</v>
      </c>
    </row>
    <row r="61" spans="1:4" x14ac:dyDescent="0.25">
      <c r="A61" t="s">
        <v>80</v>
      </c>
      <c r="B61" t="s">
        <v>120</v>
      </c>
      <c r="C61" t="s">
        <v>121</v>
      </c>
      <c r="D61">
        <v>-4</v>
      </c>
    </row>
    <row r="62" spans="1:4" x14ac:dyDescent="0.25">
      <c r="A62" t="s">
        <v>80</v>
      </c>
      <c r="B62" t="s">
        <v>33</v>
      </c>
      <c r="C62" t="s">
        <v>122</v>
      </c>
      <c r="D62">
        <v>-6</v>
      </c>
    </row>
    <row r="63" spans="1:4" x14ac:dyDescent="0.25">
      <c r="A63" t="s">
        <v>123</v>
      </c>
      <c r="B63" t="s">
        <v>124</v>
      </c>
      <c r="C63" t="s">
        <v>125</v>
      </c>
      <c r="D63">
        <v>-9</v>
      </c>
    </row>
    <row r="64" spans="1:4" x14ac:dyDescent="0.25">
      <c r="A64" t="s">
        <v>123</v>
      </c>
      <c r="B64" t="s">
        <v>126</v>
      </c>
      <c r="C64" t="s">
        <v>127</v>
      </c>
      <c r="D64">
        <v>-7</v>
      </c>
    </row>
    <row r="65" spans="1:4" x14ac:dyDescent="0.25">
      <c r="A65" t="s">
        <v>123</v>
      </c>
      <c r="B65" t="s">
        <v>128</v>
      </c>
      <c r="C65" t="s">
        <v>129</v>
      </c>
      <c r="D65">
        <v>-9</v>
      </c>
    </row>
    <row r="66" spans="1:4" x14ac:dyDescent="0.25">
      <c r="A66" t="s">
        <v>123</v>
      </c>
      <c r="B66" t="s">
        <v>130</v>
      </c>
      <c r="C66" t="s">
        <v>131</v>
      </c>
      <c r="D66">
        <v>-12</v>
      </c>
    </row>
    <row r="67" spans="1:4" x14ac:dyDescent="0.25">
      <c r="A67" t="s">
        <v>123</v>
      </c>
      <c r="B67" t="s">
        <v>132</v>
      </c>
      <c r="C67" t="s">
        <v>133</v>
      </c>
      <c r="D67">
        <v>-10</v>
      </c>
    </row>
    <row r="68" spans="1:4" x14ac:dyDescent="0.25">
      <c r="A68" t="s">
        <v>123</v>
      </c>
      <c r="B68" t="s">
        <v>132</v>
      </c>
      <c r="C68" t="s">
        <v>134</v>
      </c>
      <c r="D68">
        <v>-9</v>
      </c>
    </row>
    <row r="69" spans="1:4" x14ac:dyDescent="0.25">
      <c r="A69" t="s">
        <v>123</v>
      </c>
      <c r="B69" t="s">
        <v>135</v>
      </c>
      <c r="C69" t="s">
        <v>136</v>
      </c>
      <c r="D69">
        <v>-11</v>
      </c>
    </row>
    <row r="70" spans="1:4" x14ac:dyDescent="0.25">
      <c r="A70" t="s">
        <v>123</v>
      </c>
      <c r="B70" t="s">
        <v>58</v>
      </c>
      <c r="C70" t="s">
        <v>137</v>
      </c>
      <c r="D70">
        <v>-8</v>
      </c>
    </row>
    <row r="71" spans="1:4" x14ac:dyDescent="0.25">
      <c r="A71" t="s">
        <v>123</v>
      </c>
      <c r="B71" t="s">
        <v>138</v>
      </c>
      <c r="C71" t="s">
        <v>139</v>
      </c>
      <c r="D71">
        <v>-7</v>
      </c>
    </row>
    <row r="72" spans="1:4" x14ac:dyDescent="0.25">
      <c r="A72" t="s">
        <v>123</v>
      </c>
      <c r="B72" t="s">
        <v>140</v>
      </c>
      <c r="C72" t="s">
        <v>141</v>
      </c>
      <c r="D72">
        <v>-4</v>
      </c>
    </row>
    <row r="73" spans="1:4" x14ac:dyDescent="0.25">
      <c r="A73" t="s">
        <v>123</v>
      </c>
      <c r="B73" t="s">
        <v>142</v>
      </c>
      <c r="C73" t="s">
        <v>143</v>
      </c>
      <c r="D73">
        <v>-7</v>
      </c>
    </row>
    <row r="74" spans="1:4" x14ac:dyDescent="0.25">
      <c r="A74" t="s">
        <v>123</v>
      </c>
      <c r="B74" t="s">
        <v>144</v>
      </c>
      <c r="C74" t="s">
        <v>145</v>
      </c>
      <c r="D74">
        <v>-10</v>
      </c>
    </row>
    <row r="75" spans="1:4" x14ac:dyDescent="0.25">
      <c r="A75" t="s">
        <v>123</v>
      </c>
      <c r="B75" t="s">
        <v>146</v>
      </c>
      <c r="C75" t="s">
        <v>147</v>
      </c>
      <c r="D75">
        <v>-7</v>
      </c>
    </row>
    <row r="76" spans="1:4" x14ac:dyDescent="0.25">
      <c r="A76" t="s">
        <v>123</v>
      </c>
      <c r="B76" t="s">
        <v>148</v>
      </c>
      <c r="C76" t="s">
        <v>149</v>
      </c>
      <c r="D76">
        <v>-10</v>
      </c>
    </row>
    <row r="77" spans="1:4" x14ac:dyDescent="0.25">
      <c r="A77" t="s">
        <v>123</v>
      </c>
      <c r="B77" t="s">
        <v>118</v>
      </c>
      <c r="C77" t="s">
        <v>150</v>
      </c>
      <c r="D77">
        <v>-11</v>
      </c>
    </row>
    <row r="78" spans="1:4" x14ac:dyDescent="0.25">
      <c r="A78" t="s">
        <v>123</v>
      </c>
      <c r="B78" t="s">
        <v>118</v>
      </c>
      <c r="C78" t="s">
        <v>151</v>
      </c>
      <c r="D78">
        <v>-12</v>
      </c>
    </row>
    <row r="79" spans="1:4" x14ac:dyDescent="0.25">
      <c r="A79" t="s">
        <v>123</v>
      </c>
      <c r="B79" t="s">
        <v>152</v>
      </c>
      <c r="C79" t="s">
        <v>153</v>
      </c>
      <c r="D79">
        <v>-10</v>
      </c>
    </row>
    <row r="80" spans="1:4" x14ac:dyDescent="0.25">
      <c r="A80" t="s">
        <v>123</v>
      </c>
      <c r="B80" t="s">
        <v>154</v>
      </c>
      <c r="C80" t="s">
        <v>155</v>
      </c>
      <c r="D80">
        <v>-11</v>
      </c>
    </row>
    <row r="81" spans="1:4" x14ac:dyDescent="0.25">
      <c r="A81" t="s">
        <v>123</v>
      </c>
      <c r="B81" t="s">
        <v>154</v>
      </c>
      <c r="C81" t="s">
        <v>156</v>
      </c>
      <c r="D81">
        <v>-12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-5.3250000000000002</v>
      </c>
    </row>
    <row r="85" spans="1:4" x14ac:dyDescent="0.25">
      <c r="A85" t="s">
        <v>159</v>
      </c>
      <c r="D85">
        <f>MAX(D2:D81)</f>
        <v>4</v>
      </c>
    </row>
    <row r="86" spans="1:4" x14ac:dyDescent="0.25">
      <c r="A86" t="s">
        <v>160</v>
      </c>
      <c r="D86">
        <f>MIN(D2:D81)</f>
        <v>-12</v>
      </c>
    </row>
    <row r="87" spans="1:4" x14ac:dyDescent="0.25">
      <c r="A87" t="s">
        <v>161</v>
      </c>
      <c r="D87">
        <f>COUNTIF(D2:D81,"&gt;0")</f>
        <v>6</v>
      </c>
    </row>
    <row r="88" spans="1:4" x14ac:dyDescent="0.25">
      <c r="A88" t="s">
        <v>162</v>
      </c>
      <c r="D88">
        <f>COUNTIF(D2:D81,"=0")</f>
        <v>4</v>
      </c>
    </row>
    <row r="89" spans="1:4" x14ac:dyDescent="0.25">
      <c r="A89" t="s">
        <v>163</v>
      </c>
      <c r="D89">
        <f>COUNTIF(D2:D81,"&lt;0")</f>
        <v>70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AVERAGE(D2,D3,D4,D5,D6,D7,D8,D9,D10,D11,D12,D13,D14,D15,D16,D17,D18,D19)</f>
        <v>-0.1111111111111111</v>
      </c>
    </row>
    <row r="93" spans="1:4" x14ac:dyDescent="0.25">
      <c r="A93" t="s">
        <v>166</v>
      </c>
      <c r="D93">
        <f>AVERAGE(D20,D21,D22,D23,D24,D25,D26,D27,D28,D29,D30,D31,D32,D33,D34,D35,D36,D37,D38,D39,D40)</f>
        <v>-4.666666666666667</v>
      </c>
    </row>
    <row r="94" spans="1:4" x14ac:dyDescent="0.25">
      <c r="A94" t="s">
        <v>167</v>
      </c>
      <c r="D94">
        <f>AVERAGE(D41,D42,D43,D44,D45,D46,D47,D48,D49,D50,D51,D52,D53,D54,D55,D56,D57,D58,D59,D60,D61,D62)</f>
        <v>-6.8181818181818183</v>
      </c>
    </row>
    <row r="95" spans="1:4" x14ac:dyDescent="0.25">
      <c r="A95" t="s">
        <v>168</v>
      </c>
      <c r="D95">
        <f>AVERAGE(D63,D64,D65,D66,D67,D68,D69,D70,D71,D72,D73,D74,D75,D76,D77,D78,D79,D80,D81)</f>
        <v>-9.2631578947368425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</v>
      </c>
    </row>
    <row r="2" spans="1:4" x14ac:dyDescent="0.25">
      <c r="A2" t="s">
        <v>4</v>
      </c>
      <c r="B2" t="s">
        <v>170</v>
      </c>
      <c r="C2" t="s">
        <v>171</v>
      </c>
      <c r="D2">
        <v>3</v>
      </c>
    </row>
    <row r="3" spans="1:4" x14ac:dyDescent="0.25">
      <c r="A3" t="s">
        <v>4</v>
      </c>
      <c r="B3" t="s">
        <v>172</v>
      </c>
      <c r="C3" t="s">
        <v>173</v>
      </c>
      <c r="D3">
        <v>2</v>
      </c>
    </row>
    <row r="4" spans="1:4" x14ac:dyDescent="0.25">
      <c r="A4" t="s">
        <v>4</v>
      </c>
      <c r="B4" t="s">
        <v>172</v>
      </c>
      <c r="C4" t="s">
        <v>174</v>
      </c>
      <c r="D4">
        <v>1</v>
      </c>
    </row>
    <row r="5" spans="1:4" x14ac:dyDescent="0.25">
      <c r="A5" t="s">
        <v>4</v>
      </c>
      <c r="B5" t="s">
        <v>175</v>
      </c>
      <c r="C5" t="s">
        <v>176</v>
      </c>
      <c r="D5">
        <v>4</v>
      </c>
    </row>
    <row r="6" spans="1:4" x14ac:dyDescent="0.25">
      <c r="A6" t="s">
        <v>4</v>
      </c>
      <c r="B6" t="s">
        <v>177</v>
      </c>
      <c r="C6" t="s">
        <v>178</v>
      </c>
      <c r="D6">
        <v>2</v>
      </c>
    </row>
    <row r="7" spans="1:4" x14ac:dyDescent="0.25">
      <c r="A7" t="s">
        <v>4</v>
      </c>
      <c r="B7" t="s">
        <v>179</v>
      </c>
      <c r="C7" t="s">
        <v>180</v>
      </c>
      <c r="D7">
        <v>4</v>
      </c>
    </row>
    <row r="8" spans="1:4" x14ac:dyDescent="0.25">
      <c r="A8" t="s">
        <v>4</v>
      </c>
      <c r="B8" t="s">
        <v>181</v>
      </c>
      <c r="C8" t="s">
        <v>182</v>
      </c>
      <c r="D8">
        <v>5</v>
      </c>
    </row>
    <row r="9" spans="1:4" x14ac:dyDescent="0.25">
      <c r="A9" t="s">
        <v>4</v>
      </c>
      <c r="B9" t="s">
        <v>181</v>
      </c>
      <c r="C9" t="s">
        <v>183</v>
      </c>
      <c r="D9">
        <v>6</v>
      </c>
    </row>
    <row r="10" spans="1:4" x14ac:dyDescent="0.25">
      <c r="A10" t="s">
        <v>4</v>
      </c>
      <c r="B10" t="s">
        <v>184</v>
      </c>
      <c r="C10" t="s">
        <v>185</v>
      </c>
      <c r="D10">
        <v>4</v>
      </c>
    </row>
    <row r="11" spans="1:4" x14ac:dyDescent="0.25">
      <c r="A11" t="s">
        <v>4</v>
      </c>
      <c r="B11" t="s">
        <v>186</v>
      </c>
      <c r="C11" t="s">
        <v>187</v>
      </c>
      <c r="D11">
        <v>7</v>
      </c>
    </row>
    <row r="12" spans="1:4" x14ac:dyDescent="0.25">
      <c r="A12" t="s">
        <v>4</v>
      </c>
      <c r="B12" t="s">
        <v>188</v>
      </c>
      <c r="C12" t="s">
        <v>189</v>
      </c>
      <c r="D12">
        <v>10</v>
      </c>
    </row>
    <row r="13" spans="1:4" x14ac:dyDescent="0.25">
      <c r="A13" t="s">
        <v>4</v>
      </c>
      <c r="B13" t="s">
        <v>190</v>
      </c>
      <c r="C13" t="s">
        <v>191</v>
      </c>
      <c r="D13">
        <v>8</v>
      </c>
    </row>
    <row r="14" spans="1:4" x14ac:dyDescent="0.25">
      <c r="A14" t="s">
        <v>4</v>
      </c>
      <c r="B14" t="s">
        <v>192</v>
      </c>
      <c r="C14" t="s">
        <v>193</v>
      </c>
      <c r="D14">
        <v>10</v>
      </c>
    </row>
    <row r="15" spans="1:4" x14ac:dyDescent="0.25">
      <c r="A15" t="s">
        <v>4</v>
      </c>
      <c r="B15" t="s">
        <v>25</v>
      </c>
      <c r="C15" t="s">
        <v>194</v>
      </c>
      <c r="D15">
        <v>9</v>
      </c>
    </row>
    <row r="16" spans="1:4" x14ac:dyDescent="0.25">
      <c r="A16" t="s">
        <v>4</v>
      </c>
      <c r="B16" t="s">
        <v>25</v>
      </c>
      <c r="C16" t="s">
        <v>195</v>
      </c>
      <c r="D16">
        <v>8</v>
      </c>
    </row>
    <row r="17" spans="1:4" x14ac:dyDescent="0.25">
      <c r="A17" t="s">
        <v>4</v>
      </c>
      <c r="B17" t="s">
        <v>196</v>
      </c>
      <c r="C17" t="s">
        <v>197</v>
      </c>
      <c r="D17">
        <v>5</v>
      </c>
    </row>
    <row r="18" spans="1:4" x14ac:dyDescent="0.25">
      <c r="A18" t="s">
        <v>4</v>
      </c>
      <c r="B18" t="s">
        <v>198</v>
      </c>
      <c r="C18" t="s">
        <v>199</v>
      </c>
      <c r="D18">
        <v>7</v>
      </c>
    </row>
    <row r="19" spans="1:4" x14ac:dyDescent="0.25">
      <c r="A19" t="s">
        <v>4</v>
      </c>
      <c r="B19" t="s">
        <v>118</v>
      </c>
      <c r="C19" t="s">
        <v>200</v>
      </c>
      <c r="D19">
        <v>5</v>
      </c>
    </row>
    <row r="20" spans="1:4" x14ac:dyDescent="0.25">
      <c r="A20" t="s">
        <v>4</v>
      </c>
      <c r="B20" t="s">
        <v>120</v>
      </c>
      <c r="C20" t="s">
        <v>201</v>
      </c>
      <c r="D20">
        <v>7</v>
      </c>
    </row>
    <row r="21" spans="1:4" x14ac:dyDescent="0.25">
      <c r="A21" t="s">
        <v>4</v>
      </c>
      <c r="B21" t="s">
        <v>202</v>
      </c>
      <c r="C21" t="s">
        <v>203</v>
      </c>
      <c r="D21">
        <v>9</v>
      </c>
    </row>
    <row r="22" spans="1:4" x14ac:dyDescent="0.25">
      <c r="A22" t="s">
        <v>4</v>
      </c>
      <c r="B22" t="s">
        <v>154</v>
      </c>
      <c r="C22" t="s">
        <v>204</v>
      </c>
      <c r="D22">
        <v>7</v>
      </c>
    </row>
    <row r="23" spans="1:4" x14ac:dyDescent="0.25">
      <c r="A23" t="s">
        <v>40</v>
      </c>
      <c r="B23" t="s">
        <v>205</v>
      </c>
      <c r="C23" t="s">
        <v>206</v>
      </c>
      <c r="D23">
        <v>6</v>
      </c>
    </row>
    <row r="24" spans="1:4" x14ac:dyDescent="0.25">
      <c r="A24" t="s">
        <v>40</v>
      </c>
      <c r="B24" t="s">
        <v>205</v>
      </c>
      <c r="C24" t="s">
        <v>207</v>
      </c>
      <c r="D24">
        <v>5</v>
      </c>
    </row>
    <row r="25" spans="1:4" x14ac:dyDescent="0.25">
      <c r="A25" t="s">
        <v>40</v>
      </c>
      <c r="B25" t="s">
        <v>208</v>
      </c>
      <c r="C25" t="s">
        <v>209</v>
      </c>
      <c r="D25">
        <v>6</v>
      </c>
    </row>
    <row r="26" spans="1:4" x14ac:dyDescent="0.25">
      <c r="A26" t="s">
        <v>40</v>
      </c>
      <c r="B26" t="s">
        <v>208</v>
      </c>
      <c r="C26" t="s">
        <v>210</v>
      </c>
      <c r="D26">
        <v>7</v>
      </c>
    </row>
    <row r="27" spans="1:4" x14ac:dyDescent="0.25">
      <c r="A27" t="s">
        <v>40</v>
      </c>
      <c r="B27" t="s">
        <v>211</v>
      </c>
      <c r="C27" t="s">
        <v>212</v>
      </c>
      <c r="D27">
        <v>5</v>
      </c>
    </row>
    <row r="28" spans="1:4" x14ac:dyDescent="0.25">
      <c r="A28" t="s">
        <v>40</v>
      </c>
      <c r="B28" t="s">
        <v>213</v>
      </c>
      <c r="C28" t="s">
        <v>214</v>
      </c>
      <c r="D28">
        <v>3</v>
      </c>
    </row>
    <row r="29" spans="1:4" x14ac:dyDescent="0.25">
      <c r="A29" t="s">
        <v>40</v>
      </c>
      <c r="B29" t="s">
        <v>215</v>
      </c>
      <c r="C29" t="s">
        <v>216</v>
      </c>
      <c r="D29">
        <v>6</v>
      </c>
    </row>
    <row r="30" spans="1:4" x14ac:dyDescent="0.25">
      <c r="A30" t="s">
        <v>40</v>
      </c>
      <c r="B30" t="s">
        <v>217</v>
      </c>
      <c r="C30" t="s">
        <v>218</v>
      </c>
      <c r="D30">
        <v>3</v>
      </c>
    </row>
    <row r="31" spans="1:4" x14ac:dyDescent="0.25">
      <c r="A31" t="s">
        <v>40</v>
      </c>
      <c r="B31" t="s">
        <v>219</v>
      </c>
      <c r="C31" t="s">
        <v>220</v>
      </c>
      <c r="D31">
        <v>6</v>
      </c>
    </row>
    <row r="32" spans="1:4" x14ac:dyDescent="0.25">
      <c r="A32" t="s">
        <v>40</v>
      </c>
      <c r="B32" t="s">
        <v>221</v>
      </c>
      <c r="C32" t="s">
        <v>222</v>
      </c>
      <c r="D32">
        <v>4</v>
      </c>
    </row>
    <row r="33" spans="1:4" x14ac:dyDescent="0.25">
      <c r="A33" t="s">
        <v>40</v>
      </c>
      <c r="B33" t="s">
        <v>223</v>
      </c>
      <c r="C33" t="s">
        <v>224</v>
      </c>
      <c r="D33">
        <v>6</v>
      </c>
    </row>
    <row r="34" spans="1:4" x14ac:dyDescent="0.25">
      <c r="A34" t="s">
        <v>40</v>
      </c>
      <c r="B34" t="s">
        <v>225</v>
      </c>
      <c r="C34" t="s">
        <v>226</v>
      </c>
      <c r="D34">
        <v>8</v>
      </c>
    </row>
    <row r="35" spans="1:4" x14ac:dyDescent="0.25">
      <c r="A35" t="s">
        <v>40</v>
      </c>
      <c r="B35" t="s">
        <v>70</v>
      </c>
      <c r="C35" t="s">
        <v>227</v>
      </c>
      <c r="D35">
        <v>6</v>
      </c>
    </row>
    <row r="36" spans="1:4" x14ac:dyDescent="0.25">
      <c r="A36" t="s">
        <v>40</v>
      </c>
      <c r="B36" t="s">
        <v>228</v>
      </c>
      <c r="C36" t="s">
        <v>229</v>
      </c>
      <c r="D36">
        <v>4</v>
      </c>
    </row>
    <row r="37" spans="1:4" x14ac:dyDescent="0.25">
      <c r="A37" t="s">
        <v>40</v>
      </c>
      <c r="B37" t="s">
        <v>29</v>
      </c>
      <c r="C37" t="s">
        <v>230</v>
      </c>
      <c r="D37">
        <v>2</v>
      </c>
    </row>
    <row r="38" spans="1:4" x14ac:dyDescent="0.25">
      <c r="A38" t="s">
        <v>40</v>
      </c>
      <c r="B38" t="s">
        <v>231</v>
      </c>
      <c r="C38" t="s">
        <v>232</v>
      </c>
      <c r="D38">
        <v>0</v>
      </c>
    </row>
    <row r="39" spans="1:4" x14ac:dyDescent="0.25">
      <c r="A39" t="s">
        <v>40</v>
      </c>
      <c r="B39" t="s">
        <v>233</v>
      </c>
      <c r="C39" t="s">
        <v>234</v>
      </c>
      <c r="D39">
        <v>-3</v>
      </c>
    </row>
    <row r="40" spans="1:4" x14ac:dyDescent="0.25">
      <c r="A40" t="s">
        <v>40</v>
      </c>
      <c r="B40" t="s">
        <v>235</v>
      </c>
      <c r="C40" t="s">
        <v>236</v>
      </c>
      <c r="D40">
        <v>-4</v>
      </c>
    </row>
    <row r="41" spans="1:4" x14ac:dyDescent="0.25">
      <c r="A41" t="s">
        <v>80</v>
      </c>
      <c r="B41" t="s">
        <v>237</v>
      </c>
      <c r="C41" t="s">
        <v>238</v>
      </c>
      <c r="D41">
        <v>-2</v>
      </c>
    </row>
    <row r="42" spans="1:4" x14ac:dyDescent="0.25">
      <c r="A42" t="s">
        <v>80</v>
      </c>
      <c r="B42" t="s">
        <v>239</v>
      </c>
      <c r="C42" t="s">
        <v>240</v>
      </c>
      <c r="D42">
        <v>-3</v>
      </c>
    </row>
    <row r="43" spans="1:4" x14ac:dyDescent="0.25">
      <c r="A43" t="s">
        <v>80</v>
      </c>
      <c r="B43" t="s">
        <v>239</v>
      </c>
      <c r="C43" t="s">
        <v>241</v>
      </c>
      <c r="D43">
        <v>-4</v>
      </c>
    </row>
    <row r="44" spans="1:4" x14ac:dyDescent="0.25">
      <c r="A44" t="s">
        <v>80</v>
      </c>
      <c r="B44" t="s">
        <v>242</v>
      </c>
      <c r="C44" t="s">
        <v>243</v>
      </c>
      <c r="D44">
        <v>-1</v>
      </c>
    </row>
    <row r="45" spans="1:4" x14ac:dyDescent="0.25">
      <c r="A45" t="s">
        <v>80</v>
      </c>
      <c r="B45" t="s">
        <v>244</v>
      </c>
      <c r="C45" t="s">
        <v>245</v>
      </c>
      <c r="D45">
        <v>0</v>
      </c>
    </row>
    <row r="46" spans="1:4" x14ac:dyDescent="0.25">
      <c r="A46" t="s">
        <v>80</v>
      </c>
      <c r="B46" t="s">
        <v>246</v>
      </c>
      <c r="C46" t="s">
        <v>247</v>
      </c>
      <c r="D46">
        <v>-1</v>
      </c>
    </row>
    <row r="47" spans="1:4" x14ac:dyDescent="0.25">
      <c r="A47" t="s">
        <v>80</v>
      </c>
      <c r="B47" t="s">
        <v>246</v>
      </c>
      <c r="C47" t="s">
        <v>248</v>
      </c>
      <c r="D47">
        <v>-2</v>
      </c>
    </row>
    <row r="48" spans="1:4" x14ac:dyDescent="0.25">
      <c r="A48" t="s">
        <v>80</v>
      </c>
      <c r="B48" t="s">
        <v>246</v>
      </c>
      <c r="C48" t="s">
        <v>249</v>
      </c>
      <c r="D48">
        <v>-3</v>
      </c>
    </row>
    <row r="49" spans="1:4" x14ac:dyDescent="0.25">
      <c r="A49" t="s">
        <v>80</v>
      </c>
      <c r="B49" t="s">
        <v>250</v>
      </c>
      <c r="C49" t="s">
        <v>251</v>
      </c>
      <c r="D49">
        <v>-2</v>
      </c>
    </row>
    <row r="50" spans="1:4" x14ac:dyDescent="0.25">
      <c r="A50" t="s">
        <v>80</v>
      </c>
      <c r="B50" t="s">
        <v>250</v>
      </c>
      <c r="C50" t="s">
        <v>252</v>
      </c>
      <c r="D50">
        <v>-1</v>
      </c>
    </row>
    <row r="51" spans="1:4" x14ac:dyDescent="0.25">
      <c r="A51" t="s">
        <v>80</v>
      </c>
      <c r="B51" t="s">
        <v>250</v>
      </c>
      <c r="C51" t="s">
        <v>253</v>
      </c>
      <c r="D51">
        <v>0</v>
      </c>
    </row>
    <row r="52" spans="1:4" x14ac:dyDescent="0.25">
      <c r="A52" t="s">
        <v>80</v>
      </c>
      <c r="B52" t="s">
        <v>254</v>
      </c>
      <c r="C52" t="s">
        <v>255</v>
      </c>
      <c r="D52">
        <v>-3</v>
      </c>
    </row>
    <row r="53" spans="1:4" x14ac:dyDescent="0.25">
      <c r="A53" t="s">
        <v>80</v>
      </c>
      <c r="B53" t="s">
        <v>256</v>
      </c>
      <c r="C53" t="s">
        <v>257</v>
      </c>
      <c r="D53">
        <v>-2</v>
      </c>
    </row>
    <row r="54" spans="1:4" x14ac:dyDescent="0.25">
      <c r="A54" t="s">
        <v>80</v>
      </c>
      <c r="B54" t="s">
        <v>256</v>
      </c>
      <c r="C54" t="s">
        <v>258</v>
      </c>
      <c r="D54">
        <v>-1</v>
      </c>
    </row>
    <row r="55" spans="1:4" x14ac:dyDescent="0.25">
      <c r="A55" t="s">
        <v>80</v>
      </c>
      <c r="B55" t="s">
        <v>259</v>
      </c>
      <c r="C55" t="s">
        <v>260</v>
      </c>
      <c r="D55">
        <v>-3</v>
      </c>
    </row>
    <row r="56" spans="1:4" x14ac:dyDescent="0.25">
      <c r="A56" t="s">
        <v>80</v>
      </c>
      <c r="B56" t="s">
        <v>261</v>
      </c>
      <c r="C56" t="s">
        <v>262</v>
      </c>
      <c r="D56">
        <v>-1</v>
      </c>
    </row>
    <row r="57" spans="1:4" x14ac:dyDescent="0.25">
      <c r="A57" t="s">
        <v>80</v>
      </c>
      <c r="B57" t="s">
        <v>263</v>
      </c>
      <c r="C57" t="s">
        <v>264</v>
      </c>
      <c r="D57">
        <v>-3</v>
      </c>
    </row>
    <row r="58" spans="1:4" x14ac:dyDescent="0.25">
      <c r="A58" t="s">
        <v>80</v>
      </c>
      <c r="B58" t="s">
        <v>108</v>
      </c>
      <c r="C58" t="s">
        <v>265</v>
      </c>
      <c r="D58">
        <v>-6</v>
      </c>
    </row>
    <row r="59" spans="1:4" x14ac:dyDescent="0.25">
      <c r="A59" t="s">
        <v>80</v>
      </c>
      <c r="B59" t="s">
        <v>146</v>
      </c>
      <c r="C59" t="s">
        <v>111</v>
      </c>
      <c r="D59">
        <v>-7</v>
      </c>
    </row>
    <row r="60" spans="1:4" x14ac:dyDescent="0.25">
      <c r="A60" t="s">
        <v>80</v>
      </c>
      <c r="B60" t="s">
        <v>146</v>
      </c>
      <c r="C60" t="s">
        <v>266</v>
      </c>
      <c r="D60">
        <v>-8</v>
      </c>
    </row>
    <row r="61" spans="1:4" x14ac:dyDescent="0.25">
      <c r="A61" t="s">
        <v>80</v>
      </c>
      <c r="B61" t="s">
        <v>267</v>
      </c>
      <c r="C61" t="s">
        <v>268</v>
      </c>
      <c r="D61">
        <v>-5</v>
      </c>
    </row>
    <row r="62" spans="1:4" x14ac:dyDescent="0.25">
      <c r="A62" t="s">
        <v>123</v>
      </c>
      <c r="B62" t="s">
        <v>269</v>
      </c>
      <c r="C62" t="s">
        <v>270</v>
      </c>
      <c r="D62">
        <v>-3</v>
      </c>
    </row>
    <row r="63" spans="1:4" x14ac:dyDescent="0.25">
      <c r="A63" t="s">
        <v>123</v>
      </c>
      <c r="B63" t="s">
        <v>271</v>
      </c>
      <c r="C63" t="s">
        <v>272</v>
      </c>
      <c r="D63">
        <v>-6</v>
      </c>
    </row>
    <row r="64" spans="1:4" x14ac:dyDescent="0.25">
      <c r="A64" t="s">
        <v>123</v>
      </c>
      <c r="B64" t="s">
        <v>273</v>
      </c>
      <c r="C64" t="s">
        <v>121</v>
      </c>
      <c r="D64">
        <v>-4</v>
      </c>
    </row>
    <row r="65" spans="1:4" x14ac:dyDescent="0.25">
      <c r="A65" t="s">
        <v>123</v>
      </c>
      <c r="B65" t="s">
        <v>274</v>
      </c>
      <c r="C65" t="s">
        <v>122</v>
      </c>
      <c r="D65">
        <v>-6</v>
      </c>
    </row>
    <row r="66" spans="1:4" x14ac:dyDescent="0.25">
      <c r="A66" t="s">
        <v>123</v>
      </c>
      <c r="B66" t="s">
        <v>275</v>
      </c>
      <c r="C66" t="s">
        <v>276</v>
      </c>
      <c r="D66">
        <v>-3</v>
      </c>
    </row>
    <row r="67" spans="1:4" x14ac:dyDescent="0.25">
      <c r="A67" t="s">
        <v>123</v>
      </c>
      <c r="B67" t="s">
        <v>277</v>
      </c>
      <c r="C67" t="s">
        <v>278</v>
      </c>
      <c r="D67">
        <v>-4</v>
      </c>
    </row>
    <row r="68" spans="1:4" x14ac:dyDescent="0.25">
      <c r="A68" t="s">
        <v>123</v>
      </c>
      <c r="B68" t="s">
        <v>277</v>
      </c>
      <c r="C68" t="s">
        <v>279</v>
      </c>
      <c r="D68">
        <v>-5</v>
      </c>
    </row>
    <row r="69" spans="1:4" x14ac:dyDescent="0.25">
      <c r="A69" t="s">
        <v>123</v>
      </c>
      <c r="B69" t="s">
        <v>280</v>
      </c>
      <c r="C69" t="s">
        <v>281</v>
      </c>
      <c r="D69">
        <v>-3</v>
      </c>
    </row>
    <row r="70" spans="1:4" x14ac:dyDescent="0.25">
      <c r="A70" t="s">
        <v>123</v>
      </c>
      <c r="B70" t="s">
        <v>17</v>
      </c>
      <c r="C70" t="s">
        <v>282</v>
      </c>
      <c r="D70">
        <v>-6</v>
      </c>
    </row>
    <row r="71" spans="1:4" x14ac:dyDescent="0.25">
      <c r="A71" t="s">
        <v>123</v>
      </c>
      <c r="B71" t="s">
        <v>140</v>
      </c>
      <c r="C71" t="s">
        <v>283</v>
      </c>
      <c r="D71">
        <v>-8</v>
      </c>
    </row>
    <row r="72" spans="1:4" x14ac:dyDescent="0.25">
      <c r="A72" t="s">
        <v>123</v>
      </c>
      <c r="B72" t="s">
        <v>284</v>
      </c>
      <c r="C72" t="s">
        <v>136</v>
      </c>
      <c r="D72">
        <v>-11</v>
      </c>
    </row>
    <row r="73" spans="1:4" x14ac:dyDescent="0.25">
      <c r="A73" t="s">
        <v>123</v>
      </c>
      <c r="B73" t="s">
        <v>285</v>
      </c>
      <c r="C73" t="s">
        <v>137</v>
      </c>
      <c r="D73">
        <v>-8</v>
      </c>
    </row>
    <row r="74" spans="1:4" x14ac:dyDescent="0.25">
      <c r="A74" t="s">
        <v>123</v>
      </c>
      <c r="B74" t="s">
        <v>286</v>
      </c>
      <c r="C74" t="s">
        <v>287</v>
      </c>
      <c r="D74">
        <v>-11</v>
      </c>
    </row>
    <row r="75" spans="1:4" x14ac:dyDescent="0.25">
      <c r="A75" t="s">
        <v>123</v>
      </c>
      <c r="B75" t="s">
        <v>288</v>
      </c>
      <c r="C75" t="s">
        <v>289</v>
      </c>
      <c r="D75">
        <v>-8</v>
      </c>
    </row>
    <row r="76" spans="1:4" x14ac:dyDescent="0.25">
      <c r="A76" t="s">
        <v>123</v>
      </c>
      <c r="B76" t="s">
        <v>290</v>
      </c>
      <c r="C76" t="s">
        <v>291</v>
      </c>
      <c r="D76">
        <v>-10</v>
      </c>
    </row>
    <row r="77" spans="1:4" x14ac:dyDescent="0.25">
      <c r="A77" t="s">
        <v>123</v>
      </c>
      <c r="B77" t="s">
        <v>292</v>
      </c>
      <c r="C77" t="s">
        <v>293</v>
      </c>
      <c r="D77">
        <v>-7</v>
      </c>
    </row>
    <row r="78" spans="1:4" x14ac:dyDescent="0.25">
      <c r="A78" t="s">
        <v>123</v>
      </c>
      <c r="B78" t="s">
        <v>294</v>
      </c>
      <c r="C78" t="s">
        <v>295</v>
      </c>
      <c r="D78">
        <v>-5</v>
      </c>
    </row>
    <row r="79" spans="1:4" x14ac:dyDescent="0.25">
      <c r="A79" t="s">
        <v>123</v>
      </c>
      <c r="B79" t="s">
        <v>296</v>
      </c>
      <c r="C79" t="s">
        <v>297</v>
      </c>
      <c r="D79">
        <v>-6</v>
      </c>
    </row>
    <row r="80" spans="1:4" x14ac:dyDescent="0.25">
      <c r="A80" t="s">
        <v>123</v>
      </c>
      <c r="B80" t="s">
        <v>298</v>
      </c>
      <c r="C80" t="s">
        <v>299</v>
      </c>
      <c r="D80">
        <v>-7</v>
      </c>
    </row>
    <row r="81" spans="1:4" x14ac:dyDescent="0.25">
      <c r="A81" t="s">
        <v>123</v>
      </c>
      <c r="B81" t="s">
        <v>298</v>
      </c>
      <c r="C81" t="s">
        <v>300</v>
      </c>
      <c r="D81">
        <v>-8</v>
      </c>
    </row>
    <row r="82" spans="1:4" x14ac:dyDescent="0.25">
      <c r="A82" t="s">
        <v>123</v>
      </c>
      <c r="B82" t="s">
        <v>301</v>
      </c>
      <c r="C82" t="s">
        <v>302</v>
      </c>
      <c r="D82">
        <v>-9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-3.7037037037037035E-2</v>
      </c>
    </row>
    <row r="86" spans="1:4" x14ac:dyDescent="0.25">
      <c r="A86" t="s">
        <v>159</v>
      </c>
      <c r="D86">
        <f>MAX(D2:D82)</f>
        <v>10</v>
      </c>
    </row>
    <row r="87" spans="1:4" x14ac:dyDescent="0.25">
      <c r="A87" t="s">
        <v>160</v>
      </c>
      <c r="D87">
        <f>MIN(D2:D82)</f>
        <v>-11</v>
      </c>
    </row>
    <row r="88" spans="1:4" x14ac:dyDescent="0.25">
      <c r="A88" t="s">
        <v>161</v>
      </c>
      <c r="D88">
        <f>COUNTIF(D2:D82,"&gt;0")</f>
        <v>36</v>
      </c>
    </row>
    <row r="89" spans="1:4" x14ac:dyDescent="0.25">
      <c r="A89" t="s">
        <v>162</v>
      </c>
      <c r="D89">
        <f>COUNTIF(D2:D82,"=0")</f>
        <v>3</v>
      </c>
    </row>
    <row r="90" spans="1:4" x14ac:dyDescent="0.25">
      <c r="A90" t="s">
        <v>303</v>
      </c>
      <c r="D90">
        <f>COUNTIF(D2:D82,"&lt;0")</f>
        <v>42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AVERAGE(D2,D3,D4,D5,D6,D7,D8,D9,D10,D11,D12,D13,D14,D15,D16,D17,D18,D19,D20,D21,D22)</f>
        <v>5.8571428571428568</v>
      </c>
    </row>
    <row r="94" spans="1:4" x14ac:dyDescent="0.25">
      <c r="A94" t="s">
        <v>166</v>
      </c>
      <c r="D94">
        <f>AVERAGE(D23,D24,D25,D26,D27,D28,D29,D30,D31,D32,D33,D34,D35,D36,D37,D38,D39,D40)</f>
        <v>3.8888888888888888</v>
      </c>
    </row>
    <row r="95" spans="1:4" x14ac:dyDescent="0.25">
      <c r="A95" t="s">
        <v>167</v>
      </c>
      <c r="D95">
        <f>AVERAGE(D41,D42,D43,D44,D45,D46,D47,D48,D49,D50,D51,D52,D53,D54,D55,D56,D57,D58,D59,D60,D61)</f>
        <v>-2.7619047619047619</v>
      </c>
    </row>
    <row r="96" spans="1:4" x14ac:dyDescent="0.25">
      <c r="A96" t="s">
        <v>168</v>
      </c>
      <c r="D96">
        <f>AVERAGE(D62,D63,D64,D65,D66,D67,D68,D69,D70,D71,D72,D73,D74,D75,D76,D77,D78,D79,D80,D81,D82)</f>
        <v>-6.5714285714285712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304</v>
      </c>
    </row>
    <row r="2" spans="1:4" x14ac:dyDescent="0.25">
      <c r="A2" t="s">
        <v>4</v>
      </c>
      <c r="B2" t="s">
        <v>244</v>
      </c>
      <c r="C2" t="s">
        <v>6</v>
      </c>
      <c r="D2">
        <v>2</v>
      </c>
    </row>
    <row r="3" spans="1:4" x14ac:dyDescent="0.25">
      <c r="A3" t="s">
        <v>4</v>
      </c>
      <c r="B3" t="s">
        <v>305</v>
      </c>
      <c r="C3" t="s">
        <v>306</v>
      </c>
      <c r="D3">
        <v>-1</v>
      </c>
    </row>
    <row r="4" spans="1:4" x14ac:dyDescent="0.25">
      <c r="A4" t="s">
        <v>4</v>
      </c>
      <c r="B4" t="s">
        <v>307</v>
      </c>
      <c r="C4" t="s">
        <v>308</v>
      </c>
      <c r="D4">
        <v>1</v>
      </c>
    </row>
    <row r="5" spans="1:4" x14ac:dyDescent="0.25">
      <c r="A5" t="s">
        <v>4</v>
      </c>
      <c r="B5" t="s">
        <v>213</v>
      </c>
      <c r="C5" t="s">
        <v>309</v>
      </c>
      <c r="D5">
        <v>-1</v>
      </c>
    </row>
    <row r="6" spans="1:4" x14ac:dyDescent="0.25">
      <c r="A6" t="s">
        <v>4</v>
      </c>
      <c r="B6" t="s">
        <v>15</v>
      </c>
      <c r="C6" t="s">
        <v>310</v>
      </c>
      <c r="D6">
        <v>-2</v>
      </c>
    </row>
    <row r="7" spans="1:4" x14ac:dyDescent="0.25">
      <c r="A7" t="s">
        <v>4</v>
      </c>
      <c r="B7" t="s">
        <v>93</v>
      </c>
      <c r="C7" t="s">
        <v>311</v>
      </c>
      <c r="D7">
        <v>1</v>
      </c>
    </row>
    <row r="8" spans="1:4" x14ac:dyDescent="0.25">
      <c r="A8" t="s">
        <v>4</v>
      </c>
      <c r="B8" t="s">
        <v>312</v>
      </c>
      <c r="C8" t="s">
        <v>185</v>
      </c>
      <c r="D8">
        <v>4</v>
      </c>
    </row>
    <row r="9" spans="1:4" x14ac:dyDescent="0.25">
      <c r="A9" t="s">
        <v>4</v>
      </c>
      <c r="B9" t="s">
        <v>313</v>
      </c>
      <c r="C9" t="s">
        <v>314</v>
      </c>
      <c r="D9">
        <v>6</v>
      </c>
    </row>
    <row r="10" spans="1:4" x14ac:dyDescent="0.25">
      <c r="A10" t="s">
        <v>4</v>
      </c>
      <c r="B10" t="s">
        <v>315</v>
      </c>
      <c r="C10" t="s">
        <v>316</v>
      </c>
      <c r="D10">
        <v>8</v>
      </c>
    </row>
    <row r="11" spans="1:4" x14ac:dyDescent="0.25">
      <c r="A11" t="s">
        <v>4</v>
      </c>
      <c r="B11" t="s">
        <v>317</v>
      </c>
      <c r="C11" t="s">
        <v>318</v>
      </c>
      <c r="D11">
        <v>6</v>
      </c>
    </row>
    <row r="12" spans="1:4" x14ac:dyDescent="0.25">
      <c r="A12" t="s">
        <v>4</v>
      </c>
      <c r="B12" t="s">
        <v>319</v>
      </c>
      <c r="C12" t="s">
        <v>191</v>
      </c>
      <c r="D12">
        <v>8</v>
      </c>
    </row>
    <row r="13" spans="1:4" x14ac:dyDescent="0.25">
      <c r="A13" t="s">
        <v>4</v>
      </c>
      <c r="B13" t="s">
        <v>320</v>
      </c>
      <c r="C13" t="s">
        <v>321</v>
      </c>
      <c r="D13">
        <v>6</v>
      </c>
    </row>
    <row r="14" spans="1:4" x14ac:dyDescent="0.25">
      <c r="A14" t="s">
        <v>4</v>
      </c>
      <c r="B14" t="s">
        <v>322</v>
      </c>
      <c r="C14" t="s">
        <v>323</v>
      </c>
      <c r="D14">
        <v>9</v>
      </c>
    </row>
    <row r="15" spans="1:4" x14ac:dyDescent="0.25">
      <c r="A15" t="s">
        <v>40</v>
      </c>
      <c r="B15" t="s">
        <v>237</v>
      </c>
      <c r="C15" t="s">
        <v>324</v>
      </c>
      <c r="D15">
        <v>7</v>
      </c>
    </row>
    <row r="16" spans="1:4" x14ac:dyDescent="0.25">
      <c r="A16" t="s">
        <v>40</v>
      </c>
      <c r="B16" t="s">
        <v>325</v>
      </c>
      <c r="C16" t="s">
        <v>326</v>
      </c>
      <c r="D16">
        <v>8</v>
      </c>
    </row>
    <row r="17" spans="1:4" x14ac:dyDescent="0.25">
      <c r="A17" t="s">
        <v>40</v>
      </c>
      <c r="B17" t="s">
        <v>325</v>
      </c>
      <c r="C17" t="s">
        <v>327</v>
      </c>
      <c r="D17">
        <v>9</v>
      </c>
    </row>
    <row r="18" spans="1:4" x14ac:dyDescent="0.25">
      <c r="A18" t="s">
        <v>40</v>
      </c>
      <c r="B18" t="s">
        <v>242</v>
      </c>
      <c r="C18" t="s">
        <v>328</v>
      </c>
      <c r="D18">
        <v>7</v>
      </c>
    </row>
    <row r="19" spans="1:4" x14ac:dyDescent="0.25">
      <c r="A19" t="s">
        <v>40</v>
      </c>
      <c r="B19" t="s">
        <v>329</v>
      </c>
      <c r="C19" t="s">
        <v>330</v>
      </c>
      <c r="D19">
        <v>5</v>
      </c>
    </row>
    <row r="20" spans="1:4" x14ac:dyDescent="0.25">
      <c r="A20" t="s">
        <v>40</v>
      </c>
      <c r="B20" t="s">
        <v>11</v>
      </c>
      <c r="C20" t="s">
        <v>331</v>
      </c>
      <c r="D20">
        <v>3</v>
      </c>
    </row>
    <row r="21" spans="1:4" x14ac:dyDescent="0.25">
      <c r="A21" t="s">
        <v>40</v>
      </c>
      <c r="B21" t="s">
        <v>332</v>
      </c>
      <c r="C21" t="s">
        <v>206</v>
      </c>
      <c r="D21">
        <v>6</v>
      </c>
    </row>
    <row r="22" spans="1:4" x14ac:dyDescent="0.25">
      <c r="A22" t="s">
        <v>40</v>
      </c>
      <c r="B22" t="s">
        <v>333</v>
      </c>
      <c r="C22" t="s">
        <v>334</v>
      </c>
      <c r="D22">
        <v>3</v>
      </c>
    </row>
    <row r="23" spans="1:4" x14ac:dyDescent="0.25">
      <c r="A23" t="s">
        <v>40</v>
      </c>
      <c r="B23" t="s">
        <v>335</v>
      </c>
      <c r="C23" t="s">
        <v>212</v>
      </c>
      <c r="D23">
        <v>5</v>
      </c>
    </row>
    <row r="24" spans="1:4" x14ac:dyDescent="0.25">
      <c r="A24" t="s">
        <v>40</v>
      </c>
      <c r="B24" t="s">
        <v>95</v>
      </c>
      <c r="C24" t="s">
        <v>336</v>
      </c>
      <c r="D24">
        <v>2</v>
      </c>
    </row>
    <row r="25" spans="1:4" x14ac:dyDescent="0.25">
      <c r="A25" t="s">
        <v>40</v>
      </c>
      <c r="B25" t="s">
        <v>337</v>
      </c>
      <c r="C25" t="s">
        <v>338</v>
      </c>
      <c r="D25">
        <v>4</v>
      </c>
    </row>
    <row r="26" spans="1:4" x14ac:dyDescent="0.25">
      <c r="A26" t="s">
        <v>40</v>
      </c>
      <c r="B26" t="s">
        <v>339</v>
      </c>
      <c r="C26" t="s">
        <v>340</v>
      </c>
      <c r="D26">
        <v>3</v>
      </c>
    </row>
    <row r="27" spans="1:4" x14ac:dyDescent="0.25">
      <c r="A27" t="s">
        <v>40</v>
      </c>
      <c r="B27" t="s">
        <v>341</v>
      </c>
      <c r="C27" t="s">
        <v>342</v>
      </c>
      <c r="D27">
        <v>0</v>
      </c>
    </row>
    <row r="28" spans="1:4" x14ac:dyDescent="0.25">
      <c r="A28" t="s">
        <v>40</v>
      </c>
      <c r="B28" t="s">
        <v>25</v>
      </c>
      <c r="C28" t="s">
        <v>343</v>
      </c>
      <c r="D28">
        <v>2</v>
      </c>
    </row>
    <row r="29" spans="1:4" x14ac:dyDescent="0.25">
      <c r="A29" t="s">
        <v>40</v>
      </c>
      <c r="B29" t="s">
        <v>144</v>
      </c>
      <c r="C29" t="s">
        <v>63</v>
      </c>
      <c r="D29">
        <v>-1</v>
      </c>
    </row>
    <row r="30" spans="1:4" x14ac:dyDescent="0.25">
      <c r="A30" t="s">
        <v>40</v>
      </c>
      <c r="B30" t="s">
        <v>344</v>
      </c>
      <c r="C30" t="s">
        <v>345</v>
      </c>
      <c r="D30">
        <v>0</v>
      </c>
    </row>
    <row r="31" spans="1:4" x14ac:dyDescent="0.25">
      <c r="A31" t="s">
        <v>40</v>
      </c>
      <c r="B31" t="s">
        <v>346</v>
      </c>
      <c r="C31" t="s">
        <v>347</v>
      </c>
      <c r="D31">
        <v>2</v>
      </c>
    </row>
    <row r="32" spans="1:4" x14ac:dyDescent="0.25">
      <c r="A32" t="s">
        <v>40</v>
      </c>
      <c r="B32" t="s">
        <v>348</v>
      </c>
      <c r="C32" t="s">
        <v>349</v>
      </c>
      <c r="D32">
        <v>3</v>
      </c>
    </row>
    <row r="33" spans="1:4" x14ac:dyDescent="0.25">
      <c r="A33" t="s">
        <v>40</v>
      </c>
      <c r="B33" t="s">
        <v>350</v>
      </c>
      <c r="C33" t="s">
        <v>351</v>
      </c>
      <c r="D33">
        <v>1</v>
      </c>
    </row>
    <row r="34" spans="1:4" x14ac:dyDescent="0.25">
      <c r="A34" t="s">
        <v>80</v>
      </c>
      <c r="B34" t="s">
        <v>352</v>
      </c>
      <c r="C34" t="s">
        <v>353</v>
      </c>
      <c r="D34">
        <v>3</v>
      </c>
    </row>
    <row r="35" spans="1:4" x14ac:dyDescent="0.25">
      <c r="A35" t="s">
        <v>80</v>
      </c>
      <c r="B35" t="s">
        <v>269</v>
      </c>
      <c r="C35" t="s">
        <v>354</v>
      </c>
      <c r="D35">
        <v>1</v>
      </c>
    </row>
    <row r="36" spans="1:4" x14ac:dyDescent="0.25">
      <c r="A36" t="s">
        <v>80</v>
      </c>
      <c r="B36" t="s">
        <v>244</v>
      </c>
      <c r="C36" t="s">
        <v>232</v>
      </c>
      <c r="D36">
        <v>0</v>
      </c>
    </row>
    <row r="37" spans="1:4" x14ac:dyDescent="0.25">
      <c r="A37" t="s">
        <v>80</v>
      </c>
      <c r="B37" t="s">
        <v>355</v>
      </c>
      <c r="C37" t="s">
        <v>356</v>
      </c>
      <c r="D37">
        <v>3</v>
      </c>
    </row>
    <row r="38" spans="1:4" x14ac:dyDescent="0.25">
      <c r="A38" t="s">
        <v>80</v>
      </c>
      <c r="B38" t="s">
        <v>357</v>
      </c>
      <c r="C38" t="s">
        <v>358</v>
      </c>
      <c r="D38">
        <v>1</v>
      </c>
    </row>
    <row r="39" spans="1:4" x14ac:dyDescent="0.25">
      <c r="A39" t="s">
        <v>80</v>
      </c>
      <c r="B39" t="s">
        <v>359</v>
      </c>
      <c r="C39" t="s">
        <v>360</v>
      </c>
      <c r="D39">
        <v>3</v>
      </c>
    </row>
    <row r="40" spans="1:4" x14ac:dyDescent="0.25">
      <c r="A40" t="s">
        <v>80</v>
      </c>
      <c r="B40" t="s">
        <v>361</v>
      </c>
      <c r="C40" t="s">
        <v>362</v>
      </c>
      <c r="D40">
        <v>1</v>
      </c>
    </row>
    <row r="41" spans="1:4" x14ac:dyDescent="0.25">
      <c r="A41" t="s">
        <v>80</v>
      </c>
      <c r="B41" t="s">
        <v>363</v>
      </c>
      <c r="C41" t="s">
        <v>243</v>
      </c>
      <c r="D41">
        <v>-1</v>
      </c>
    </row>
    <row r="42" spans="1:4" x14ac:dyDescent="0.25">
      <c r="A42" t="s">
        <v>80</v>
      </c>
      <c r="B42" t="s">
        <v>364</v>
      </c>
      <c r="C42" t="s">
        <v>365</v>
      </c>
      <c r="D42">
        <v>2</v>
      </c>
    </row>
    <row r="43" spans="1:4" x14ac:dyDescent="0.25">
      <c r="A43" t="s">
        <v>80</v>
      </c>
      <c r="B43" t="s">
        <v>366</v>
      </c>
      <c r="C43" t="s">
        <v>367</v>
      </c>
      <c r="D43">
        <v>0</v>
      </c>
    </row>
    <row r="44" spans="1:4" x14ac:dyDescent="0.25">
      <c r="A44" t="s">
        <v>80</v>
      </c>
      <c r="B44" t="s">
        <v>368</v>
      </c>
      <c r="C44" t="s">
        <v>369</v>
      </c>
      <c r="D44">
        <v>3</v>
      </c>
    </row>
    <row r="45" spans="1:4" x14ac:dyDescent="0.25">
      <c r="A45" t="s">
        <v>80</v>
      </c>
      <c r="B45" t="s">
        <v>370</v>
      </c>
      <c r="C45" t="s">
        <v>371</v>
      </c>
      <c r="D45">
        <v>2</v>
      </c>
    </row>
    <row r="46" spans="1:4" x14ac:dyDescent="0.25">
      <c r="A46" t="s">
        <v>80</v>
      </c>
      <c r="B46" t="s">
        <v>370</v>
      </c>
      <c r="C46" t="s">
        <v>372</v>
      </c>
      <c r="D46">
        <v>1</v>
      </c>
    </row>
    <row r="47" spans="1:4" x14ac:dyDescent="0.25">
      <c r="A47" t="s">
        <v>80</v>
      </c>
      <c r="B47" t="s">
        <v>188</v>
      </c>
      <c r="C47" t="s">
        <v>373</v>
      </c>
      <c r="D47">
        <v>3</v>
      </c>
    </row>
    <row r="48" spans="1:4" x14ac:dyDescent="0.25">
      <c r="A48" t="s">
        <v>80</v>
      </c>
      <c r="B48" t="s">
        <v>374</v>
      </c>
      <c r="C48" t="s">
        <v>375</v>
      </c>
      <c r="D48">
        <v>1</v>
      </c>
    </row>
    <row r="49" spans="1:4" x14ac:dyDescent="0.25">
      <c r="A49" t="s">
        <v>80</v>
      </c>
      <c r="B49" t="s">
        <v>376</v>
      </c>
      <c r="C49" t="s">
        <v>377</v>
      </c>
      <c r="D49">
        <v>-2</v>
      </c>
    </row>
    <row r="50" spans="1:4" x14ac:dyDescent="0.25">
      <c r="A50" t="s">
        <v>80</v>
      </c>
      <c r="B50" t="s">
        <v>378</v>
      </c>
      <c r="C50" t="s">
        <v>379</v>
      </c>
      <c r="D50">
        <v>1</v>
      </c>
    </row>
    <row r="51" spans="1:4" x14ac:dyDescent="0.25">
      <c r="A51" t="s">
        <v>80</v>
      </c>
      <c r="B51" t="s">
        <v>380</v>
      </c>
      <c r="C51" t="s">
        <v>381</v>
      </c>
      <c r="D51">
        <v>-1</v>
      </c>
    </row>
    <row r="52" spans="1:4" x14ac:dyDescent="0.25">
      <c r="A52" t="s">
        <v>80</v>
      </c>
      <c r="B52" t="s">
        <v>286</v>
      </c>
      <c r="C52" t="s">
        <v>382</v>
      </c>
      <c r="D52">
        <v>1</v>
      </c>
    </row>
    <row r="53" spans="1:4" x14ac:dyDescent="0.25">
      <c r="A53" t="s">
        <v>80</v>
      </c>
      <c r="B53" t="s">
        <v>286</v>
      </c>
      <c r="C53" t="s">
        <v>383</v>
      </c>
      <c r="D53">
        <v>2</v>
      </c>
    </row>
    <row r="54" spans="1:4" x14ac:dyDescent="0.25">
      <c r="A54" t="s">
        <v>80</v>
      </c>
      <c r="B54" t="s">
        <v>384</v>
      </c>
      <c r="C54" t="s">
        <v>385</v>
      </c>
      <c r="D54">
        <v>0</v>
      </c>
    </row>
    <row r="55" spans="1:4" x14ac:dyDescent="0.25">
      <c r="A55" t="s">
        <v>80</v>
      </c>
      <c r="B55" t="s">
        <v>386</v>
      </c>
      <c r="C55" t="s">
        <v>387</v>
      </c>
      <c r="D55">
        <v>2</v>
      </c>
    </row>
    <row r="56" spans="1:4" x14ac:dyDescent="0.25">
      <c r="A56" t="s">
        <v>80</v>
      </c>
      <c r="B56" t="s">
        <v>148</v>
      </c>
      <c r="C56" t="s">
        <v>388</v>
      </c>
      <c r="D56">
        <v>-1</v>
      </c>
    </row>
    <row r="57" spans="1:4" x14ac:dyDescent="0.25">
      <c r="A57" t="s">
        <v>80</v>
      </c>
      <c r="B57" t="s">
        <v>389</v>
      </c>
      <c r="C57" t="s">
        <v>390</v>
      </c>
      <c r="D57">
        <v>0</v>
      </c>
    </row>
    <row r="58" spans="1:4" x14ac:dyDescent="0.25">
      <c r="A58" t="s">
        <v>80</v>
      </c>
      <c r="B58" t="s">
        <v>389</v>
      </c>
      <c r="C58" t="s">
        <v>391</v>
      </c>
      <c r="D58">
        <v>1</v>
      </c>
    </row>
    <row r="59" spans="1:4" x14ac:dyDescent="0.25">
      <c r="A59" t="s">
        <v>80</v>
      </c>
      <c r="B59" t="s">
        <v>392</v>
      </c>
      <c r="C59" t="s">
        <v>393</v>
      </c>
      <c r="D59">
        <v>3</v>
      </c>
    </row>
    <row r="60" spans="1:4" x14ac:dyDescent="0.25">
      <c r="A60" t="s">
        <v>80</v>
      </c>
      <c r="B60" t="s">
        <v>394</v>
      </c>
      <c r="C60" t="s">
        <v>395</v>
      </c>
      <c r="D60">
        <v>5</v>
      </c>
    </row>
    <row r="61" spans="1:4" x14ac:dyDescent="0.25">
      <c r="A61" t="s">
        <v>80</v>
      </c>
      <c r="B61" t="s">
        <v>396</v>
      </c>
      <c r="C61" t="s">
        <v>397</v>
      </c>
      <c r="D61">
        <v>8</v>
      </c>
    </row>
    <row r="62" spans="1:4" x14ac:dyDescent="0.25">
      <c r="A62" t="s">
        <v>123</v>
      </c>
      <c r="B62" t="s">
        <v>398</v>
      </c>
      <c r="C62" t="s">
        <v>399</v>
      </c>
      <c r="D62">
        <v>10</v>
      </c>
    </row>
    <row r="63" spans="1:4" x14ac:dyDescent="0.25">
      <c r="A63" t="s">
        <v>123</v>
      </c>
      <c r="B63" t="s">
        <v>400</v>
      </c>
      <c r="C63" t="s">
        <v>401</v>
      </c>
      <c r="D63">
        <v>8</v>
      </c>
    </row>
    <row r="64" spans="1:4" x14ac:dyDescent="0.25">
      <c r="A64" t="s">
        <v>123</v>
      </c>
      <c r="B64" t="s">
        <v>175</v>
      </c>
      <c r="C64" t="s">
        <v>402</v>
      </c>
      <c r="D64">
        <v>10</v>
      </c>
    </row>
    <row r="65" spans="1:4" x14ac:dyDescent="0.25">
      <c r="A65" t="s">
        <v>123</v>
      </c>
      <c r="B65" t="s">
        <v>179</v>
      </c>
      <c r="C65" t="s">
        <v>403</v>
      </c>
      <c r="D65">
        <v>9</v>
      </c>
    </row>
    <row r="66" spans="1:4" x14ac:dyDescent="0.25">
      <c r="A66" t="s">
        <v>123</v>
      </c>
      <c r="B66" t="s">
        <v>56</v>
      </c>
      <c r="C66" t="s">
        <v>404</v>
      </c>
      <c r="D66">
        <v>7</v>
      </c>
    </row>
    <row r="67" spans="1:4" x14ac:dyDescent="0.25">
      <c r="A67" t="s">
        <v>123</v>
      </c>
      <c r="B67" t="s">
        <v>405</v>
      </c>
      <c r="C67" t="s">
        <v>406</v>
      </c>
      <c r="D67">
        <v>8</v>
      </c>
    </row>
    <row r="68" spans="1:4" x14ac:dyDescent="0.25">
      <c r="A68" t="s">
        <v>123</v>
      </c>
      <c r="B68" t="s">
        <v>405</v>
      </c>
      <c r="C68" t="s">
        <v>407</v>
      </c>
      <c r="D68">
        <v>9</v>
      </c>
    </row>
    <row r="69" spans="1:4" x14ac:dyDescent="0.25">
      <c r="A69" t="s">
        <v>123</v>
      </c>
      <c r="B69" t="s">
        <v>408</v>
      </c>
      <c r="C69" t="s">
        <v>409</v>
      </c>
      <c r="D69">
        <v>7</v>
      </c>
    </row>
    <row r="70" spans="1:4" x14ac:dyDescent="0.25">
      <c r="A70" t="s">
        <v>123</v>
      </c>
      <c r="B70" t="s">
        <v>64</v>
      </c>
      <c r="C70" t="s">
        <v>410</v>
      </c>
      <c r="D70">
        <v>5</v>
      </c>
    </row>
    <row r="71" spans="1:4" x14ac:dyDescent="0.25">
      <c r="A71" t="s">
        <v>123</v>
      </c>
      <c r="B71" t="s">
        <v>411</v>
      </c>
      <c r="C71" t="s">
        <v>412</v>
      </c>
      <c r="D71">
        <v>7</v>
      </c>
    </row>
    <row r="72" spans="1:4" x14ac:dyDescent="0.25">
      <c r="A72" t="s">
        <v>123</v>
      </c>
      <c r="B72" t="s">
        <v>411</v>
      </c>
      <c r="C72" t="s">
        <v>413</v>
      </c>
      <c r="D72">
        <v>8</v>
      </c>
    </row>
    <row r="73" spans="1:4" x14ac:dyDescent="0.25">
      <c r="A73" t="s">
        <v>123</v>
      </c>
      <c r="B73" t="s">
        <v>414</v>
      </c>
      <c r="C73" t="s">
        <v>415</v>
      </c>
      <c r="D73">
        <v>9</v>
      </c>
    </row>
    <row r="74" spans="1:4" x14ac:dyDescent="0.25">
      <c r="A74" t="s">
        <v>123</v>
      </c>
      <c r="B74" t="s">
        <v>414</v>
      </c>
      <c r="C74" t="s">
        <v>416</v>
      </c>
      <c r="D74">
        <v>10</v>
      </c>
    </row>
    <row r="75" spans="1:4" x14ac:dyDescent="0.25">
      <c r="A75" t="s">
        <v>123</v>
      </c>
      <c r="B75" t="s">
        <v>417</v>
      </c>
      <c r="C75" t="s">
        <v>418</v>
      </c>
      <c r="D75">
        <v>8</v>
      </c>
    </row>
    <row r="76" spans="1:4" x14ac:dyDescent="0.25">
      <c r="A76" t="s">
        <v>123</v>
      </c>
      <c r="B76" t="s">
        <v>320</v>
      </c>
      <c r="C76" t="s">
        <v>419</v>
      </c>
      <c r="D76">
        <v>5</v>
      </c>
    </row>
    <row r="77" spans="1:4" x14ac:dyDescent="0.25">
      <c r="A77" t="s">
        <v>123</v>
      </c>
      <c r="B77" t="s">
        <v>346</v>
      </c>
      <c r="C77" t="s">
        <v>420</v>
      </c>
      <c r="D77">
        <v>7</v>
      </c>
    </row>
    <row r="78" spans="1:4" x14ac:dyDescent="0.25">
      <c r="A78" t="s">
        <v>123</v>
      </c>
      <c r="B78" t="s">
        <v>301</v>
      </c>
      <c r="C78" t="s">
        <v>421</v>
      </c>
      <c r="D78">
        <v>8</v>
      </c>
    </row>
    <row r="79" spans="1:4" x14ac:dyDescent="0.25">
      <c r="A79" t="s">
        <v>123</v>
      </c>
      <c r="B79" t="s">
        <v>422</v>
      </c>
      <c r="C79" t="s">
        <v>423</v>
      </c>
      <c r="D79">
        <v>9</v>
      </c>
    </row>
    <row r="80" spans="1:4" x14ac:dyDescent="0.25">
      <c r="A80" t="s">
        <v>123</v>
      </c>
      <c r="B80" t="s">
        <v>422</v>
      </c>
      <c r="C80" t="s">
        <v>424</v>
      </c>
      <c r="D80">
        <v>10</v>
      </c>
    </row>
    <row r="82" spans="1:4" x14ac:dyDescent="0.25">
      <c r="A82" s="2" t="s">
        <v>157</v>
      </c>
    </row>
    <row r="83" spans="1:4" x14ac:dyDescent="0.25">
      <c r="A83" t="s">
        <v>158</v>
      </c>
      <c r="D83">
        <f>AVERAGE(D2:D80)</f>
        <v>3.9493670886075951</v>
      </c>
    </row>
    <row r="84" spans="1:4" x14ac:dyDescent="0.25">
      <c r="A84" t="s">
        <v>159</v>
      </c>
      <c r="D84">
        <f>MAX(D2:D80)</f>
        <v>10</v>
      </c>
    </row>
    <row r="85" spans="1:4" x14ac:dyDescent="0.25">
      <c r="A85" t="s">
        <v>160</v>
      </c>
      <c r="D85">
        <f>MIN(D2:D80)</f>
        <v>-2</v>
      </c>
    </row>
    <row r="86" spans="1:4" x14ac:dyDescent="0.25">
      <c r="A86" t="s">
        <v>161</v>
      </c>
      <c r="D86">
        <f>COUNTIF(D2:D80,"&gt;0")</f>
        <v>65</v>
      </c>
    </row>
    <row r="87" spans="1:4" x14ac:dyDescent="0.25">
      <c r="A87" t="s">
        <v>162</v>
      </c>
      <c r="D87">
        <f>COUNTIF(D2:D80,"=0")</f>
        <v>6</v>
      </c>
    </row>
    <row r="88" spans="1:4" x14ac:dyDescent="0.25">
      <c r="A88" t="s">
        <v>425</v>
      </c>
      <c r="D88">
        <f>COUNTIF(D2:D80,"&lt;0")</f>
        <v>8</v>
      </c>
    </row>
    <row r="90" spans="1:4" x14ac:dyDescent="0.25">
      <c r="A90" s="2" t="s">
        <v>164</v>
      </c>
    </row>
    <row r="91" spans="1:4" x14ac:dyDescent="0.25">
      <c r="A91" t="s">
        <v>165</v>
      </c>
      <c r="D91">
        <f>AVERAGE(D2,D3,D4,D5,D6,D7,D8,D9,D10,D11,D12,D13,D14)</f>
        <v>3.6153846153846154</v>
      </c>
    </row>
    <row r="92" spans="1:4" x14ac:dyDescent="0.25">
      <c r="A92" t="s">
        <v>166</v>
      </c>
      <c r="D92">
        <f>AVERAGE(D15,D16,D17,D18,D19,D20,D21,D22,D23,D24,D25,D26,D27,D28,D29,D30,D31,D32,D33)</f>
        <v>3.6315789473684212</v>
      </c>
    </row>
    <row r="93" spans="1:4" x14ac:dyDescent="0.25">
      <c r="A93" t="s">
        <v>167</v>
      </c>
      <c r="D93">
        <f>AVERAGE(D34,D35,D36,D37,D38,D39,D40,D41,D42,D43,D44,D45,D46,D47,D48,D49,D50,D51,D52,D53,D54,D55,D56,D57,D58,D59,D60,D61)</f>
        <v>1.5</v>
      </c>
    </row>
    <row r="94" spans="1:4" x14ac:dyDescent="0.25">
      <c r="A94" t="s">
        <v>168</v>
      </c>
      <c r="D94">
        <f>AVERAGE(D62,D63,D64,D65,D66,D67,D68,D69,D70,D71,D72,D73,D74,D75,D76,D77,D78,D79,D80)</f>
        <v>8.1052631578947363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427</v>
      </c>
      <c r="C2" t="s">
        <v>6</v>
      </c>
      <c r="D2">
        <v>2</v>
      </c>
    </row>
    <row r="3" spans="1:4" x14ac:dyDescent="0.25">
      <c r="A3" t="s">
        <v>4</v>
      </c>
      <c r="B3" t="s">
        <v>428</v>
      </c>
      <c r="C3" t="s">
        <v>306</v>
      </c>
      <c r="D3">
        <v>-1</v>
      </c>
    </row>
    <row r="4" spans="1:4" x14ac:dyDescent="0.25">
      <c r="A4" t="s">
        <v>4</v>
      </c>
      <c r="B4" t="s">
        <v>9</v>
      </c>
      <c r="C4" t="s">
        <v>429</v>
      </c>
      <c r="D4">
        <v>2</v>
      </c>
    </row>
    <row r="5" spans="1:4" x14ac:dyDescent="0.25">
      <c r="A5" t="s">
        <v>4</v>
      </c>
      <c r="B5" t="s">
        <v>132</v>
      </c>
      <c r="C5" t="s">
        <v>430</v>
      </c>
      <c r="D5">
        <v>4</v>
      </c>
    </row>
    <row r="6" spans="1:4" x14ac:dyDescent="0.25">
      <c r="A6" t="s">
        <v>4</v>
      </c>
      <c r="B6" t="s">
        <v>431</v>
      </c>
      <c r="C6" t="s">
        <v>432</v>
      </c>
      <c r="D6">
        <v>2</v>
      </c>
    </row>
    <row r="7" spans="1:4" x14ac:dyDescent="0.25">
      <c r="A7" t="s">
        <v>4</v>
      </c>
      <c r="B7" t="s">
        <v>433</v>
      </c>
      <c r="C7" t="s">
        <v>434</v>
      </c>
      <c r="D7">
        <v>-1</v>
      </c>
    </row>
    <row r="8" spans="1:4" x14ac:dyDescent="0.25">
      <c r="A8" t="s">
        <v>4</v>
      </c>
      <c r="B8" t="s">
        <v>435</v>
      </c>
      <c r="C8" t="s">
        <v>436</v>
      </c>
      <c r="D8">
        <v>-3</v>
      </c>
    </row>
    <row r="9" spans="1:4" x14ac:dyDescent="0.25">
      <c r="A9" t="s">
        <v>4</v>
      </c>
      <c r="B9" t="s">
        <v>437</v>
      </c>
      <c r="C9" t="s">
        <v>438</v>
      </c>
      <c r="D9">
        <v>-1</v>
      </c>
    </row>
    <row r="10" spans="1:4" x14ac:dyDescent="0.25">
      <c r="A10" t="s">
        <v>4</v>
      </c>
      <c r="B10" t="s">
        <v>380</v>
      </c>
      <c r="C10" t="s">
        <v>439</v>
      </c>
      <c r="D10">
        <v>1</v>
      </c>
    </row>
    <row r="11" spans="1:4" x14ac:dyDescent="0.25">
      <c r="A11" t="s">
        <v>4</v>
      </c>
      <c r="B11" t="s">
        <v>440</v>
      </c>
      <c r="C11" t="s">
        <v>441</v>
      </c>
      <c r="D11">
        <v>-2</v>
      </c>
    </row>
    <row r="12" spans="1:4" x14ac:dyDescent="0.25">
      <c r="A12" t="s">
        <v>4</v>
      </c>
      <c r="B12" t="s">
        <v>442</v>
      </c>
      <c r="C12" t="s">
        <v>443</v>
      </c>
      <c r="D12">
        <v>0</v>
      </c>
    </row>
    <row r="13" spans="1:4" x14ac:dyDescent="0.25">
      <c r="A13" t="s">
        <v>4</v>
      </c>
      <c r="B13" t="s">
        <v>444</v>
      </c>
      <c r="C13" t="s">
        <v>445</v>
      </c>
      <c r="D13">
        <v>-2</v>
      </c>
    </row>
    <row r="14" spans="1:4" x14ac:dyDescent="0.25">
      <c r="A14" t="s">
        <v>4</v>
      </c>
      <c r="B14" t="s">
        <v>27</v>
      </c>
      <c r="C14" t="s">
        <v>446</v>
      </c>
      <c r="D14">
        <v>1</v>
      </c>
    </row>
    <row r="15" spans="1:4" x14ac:dyDescent="0.25">
      <c r="A15" t="s">
        <v>4</v>
      </c>
      <c r="B15" t="s">
        <v>198</v>
      </c>
      <c r="C15" t="s">
        <v>447</v>
      </c>
      <c r="D15">
        <v>-1</v>
      </c>
    </row>
    <row r="16" spans="1:4" x14ac:dyDescent="0.25">
      <c r="A16" t="s">
        <v>4</v>
      </c>
      <c r="B16" t="s">
        <v>448</v>
      </c>
      <c r="C16" t="s">
        <v>449</v>
      </c>
      <c r="D16">
        <v>2</v>
      </c>
    </row>
    <row r="17" spans="1:4" x14ac:dyDescent="0.25">
      <c r="A17" t="s">
        <v>4</v>
      </c>
      <c r="B17" t="s">
        <v>76</v>
      </c>
      <c r="C17" t="s">
        <v>450</v>
      </c>
      <c r="D17">
        <v>3</v>
      </c>
    </row>
    <row r="18" spans="1:4" x14ac:dyDescent="0.25">
      <c r="A18" t="s">
        <v>4</v>
      </c>
      <c r="B18" t="s">
        <v>451</v>
      </c>
      <c r="C18" t="s">
        <v>452</v>
      </c>
      <c r="D18">
        <v>0</v>
      </c>
    </row>
    <row r="19" spans="1:4" x14ac:dyDescent="0.25">
      <c r="A19" t="s">
        <v>40</v>
      </c>
      <c r="B19" t="s">
        <v>453</v>
      </c>
      <c r="C19" t="s">
        <v>454</v>
      </c>
      <c r="D19">
        <v>-2</v>
      </c>
    </row>
    <row r="20" spans="1:4" x14ac:dyDescent="0.25">
      <c r="A20" t="s">
        <v>40</v>
      </c>
      <c r="B20" t="s">
        <v>170</v>
      </c>
      <c r="C20" t="s">
        <v>455</v>
      </c>
      <c r="D20">
        <v>1</v>
      </c>
    </row>
    <row r="21" spans="1:4" x14ac:dyDescent="0.25">
      <c r="A21" t="s">
        <v>40</v>
      </c>
      <c r="B21" t="s">
        <v>83</v>
      </c>
      <c r="C21" t="s">
        <v>456</v>
      </c>
      <c r="D21">
        <v>-2</v>
      </c>
    </row>
    <row r="22" spans="1:4" x14ac:dyDescent="0.25">
      <c r="A22" t="s">
        <v>40</v>
      </c>
      <c r="B22" t="s">
        <v>208</v>
      </c>
      <c r="C22" t="s">
        <v>457</v>
      </c>
      <c r="D22">
        <v>0</v>
      </c>
    </row>
    <row r="23" spans="1:4" x14ac:dyDescent="0.25">
      <c r="A23" t="s">
        <v>40</v>
      </c>
      <c r="B23" t="s">
        <v>458</v>
      </c>
      <c r="C23" t="s">
        <v>459</v>
      </c>
      <c r="D23">
        <v>-3</v>
      </c>
    </row>
    <row r="24" spans="1:4" x14ac:dyDescent="0.25">
      <c r="A24" t="s">
        <v>40</v>
      </c>
      <c r="B24" t="s">
        <v>460</v>
      </c>
      <c r="C24" t="s">
        <v>461</v>
      </c>
      <c r="D24">
        <v>-5</v>
      </c>
    </row>
    <row r="25" spans="1:4" x14ac:dyDescent="0.25">
      <c r="A25" t="s">
        <v>40</v>
      </c>
      <c r="B25" t="s">
        <v>462</v>
      </c>
      <c r="C25" t="s">
        <v>463</v>
      </c>
      <c r="D25">
        <v>-2</v>
      </c>
    </row>
    <row r="26" spans="1:4" x14ac:dyDescent="0.25">
      <c r="A26" t="s">
        <v>40</v>
      </c>
      <c r="B26" t="s">
        <v>280</v>
      </c>
      <c r="C26" t="s">
        <v>464</v>
      </c>
      <c r="D26">
        <v>0</v>
      </c>
    </row>
    <row r="27" spans="1:4" x14ac:dyDescent="0.25">
      <c r="A27" t="s">
        <v>40</v>
      </c>
      <c r="B27" t="s">
        <v>465</v>
      </c>
      <c r="C27" t="s">
        <v>65</v>
      </c>
      <c r="D27">
        <v>-2</v>
      </c>
    </row>
    <row r="28" spans="1:4" x14ac:dyDescent="0.25">
      <c r="A28" t="s">
        <v>40</v>
      </c>
      <c r="B28" t="s">
        <v>188</v>
      </c>
      <c r="C28" t="s">
        <v>466</v>
      </c>
      <c r="D28">
        <v>0</v>
      </c>
    </row>
    <row r="29" spans="1:4" x14ac:dyDescent="0.25">
      <c r="A29" t="s">
        <v>40</v>
      </c>
      <c r="B29" t="s">
        <v>467</v>
      </c>
      <c r="C29" t="s">
        <v>468</v>
      </c>
      <c r="D29">
        <v>2</v>
      </c>
    </row>
    <row r="30" spans="1:4" x14ac:dyDescent="0.25">
      <c r="A30" t="s">
        <v>40</v>
      </c>
      <c r="B30" t="s">
        <v>469</v>
      </c>
      <c r="C30" t="s">
        <v>351</v>
      </c>
      <c r="D30">
        <v>1</v>
      </c>
    </row>
    <row r="31" spans="1:4" x14ac:dyDescent="0.25">
      <c r="A31" t="s">
        <v>40</v>
      </c>
      <c r="B31" t="s">
        <v>469</v>
      </c>
      <c r="C31" t="s">
        <v>470</v>
      </c>
      <c r="D31">
        <v>0</v>
      </c>
    </row>
    <row r="32" spans="1:4" x14ac:dyDescent="0.25">
      <c r="A32" t="s">
        <v>40</v>
      </c>
      <c r="B32" t="s">
        <v>471</v>
      </c>
      <c r="C32" t="s">
        <v>230</v>
      </c>
      <c r="D32">
        <v>2</v>
      </c>
    </row>
    <row r="33" spans="1:4" x14ac:dyDescent="0.25">
      <c r="A33" t="s">
        <v>40</v>
      </c>
      <c r="B33" t="s">
        <v>472</v>
      </c>
      <c r="C33" t="s">
        <v>354</v>
      </c>
      <c r="D33">
        <v>1</v>
      </c>
    </row>
    <row r="34" spans="1:4" x14ac:dyDescent="0.25">
      <c r="A34" t="s">
        <v>40</v>
      </c>
      <c r="B34" t="s">
        <v>472</v>
      </c>
      <c r="C34" t="s">
        <v>232</v>
      </c>
      <c r="D34">
        <v>0</v>
      </c>
    </row>
    <row r="35" spans="1:4" x14ac:dyDescent="0.25">
      <c r="A35" t="s">
        <v>40</v>
      </c>
      <c r="B35" t="s">
        <v>473</v>
      </c>
      <c r="C35" t="s">
        <v>474</v>
      </c>
      <c r="D35">
        <v>2</v>
      </c>
    </row>
    <row r="36" spans="1:4" x14ac:dyDescent="0.25">
      <c r="A36" t="s">
        <v>40</v>
      </c>
      <c r="B36" t="s">
        <v>475</v>
      </c>
      <c r="C36" t="s">
        <v>476</v>
      </c>
      <c r="D36">
        <v>1</v>
      </c>
    </row>
    <row r="37" spans="1:4" x14ac:dyDescent="0.25">
      <c r="A37" t="s">
        <v>40</v>
      </c>
      <c r="B37" t="s">
        <v>477</v>
      </c>
      <c r="C37" t="s">
        <v>478</v>
      </c>
      <c r="D37">
        <v>4</v>
      </c>
    </row>
    <row r="38" spans="1:4" x14ac:dyDescent="0.25">
      <c r="A38" t="s">
        <v>40</v>
      </c>
      <c r="B38" t="s">
        <v>118</v>
      </c>
      <c r="C38" t="s">
        <v>479</v>
      </c>
      <c r="D38">
        <v>2</v>
      </c>
    </row>
    <row r="39" spans="1:4" x14ac:dyDescent="0.25">
      <c r="A39" t="s">
        <v>40</v>
      </c>
      <c r="B39" t="s">
        <v>118</v>
      </c>
      <c r="C39" t="s">
        <v>362</v>
      </c>
      <c r="D39">
        <v>1</v>
      </c>
    </row>
    <row r="40" spans="1:4" x14ac:dyDescent="0.25">
      <c r="A40" t="s">
        <v>40</v>
      </c>
      <c r="B40" t="s">
        <v>294</v>
      </c>
      <c r="C40" t="s">
        <v>480</v>
      </c>
      <c r="D40">
        <v>0</v>
      </c>
    </row>
    <row r="41" spans="1:4" x14ac:dyDescent="0.25">
      <c r="A41" t="s">
        <v>40</v>
      </c>
      <c r="B41" t="s">
        <v>294</v>
      </c>
      <c r="C41" t="s">
        <v>243</v>
      </c>
      <c r="D41">
        <v>-1</v>
      </c>
    </row>
    <row r="42" spans="1:4" x14ac:dyDescent="0.25">
      <c r="A42" t="s">
        <v>40</v>
      </c>
      <c r="B42" t="s">
        <v>481</v>
      </c>
      <c r="C42" t="s">
        <v>482</v>
      </c>
      <c r="D42">
        <v>1</v>
      </c>
    </row>
    <row r="43" spans="1:4" x14ac:dyDescent="0.25">
      <c r="A43" t="s">
        <v>40</v>
      </c>
      <c r="B43" t="s">
        <v>483</v>
      </c>
      <c r="C43" t="s">
        <v>484</v>
      </c>
      <c r="D43">
        <v>3</v>
      </c>
    </row>
    <row r="44" spans="1:4" x14ac:dyDescent="0.25">
      <c r="A44" t="s">
        <v>40</v>
      </c>
      <c r="B44" t="s">
        <v>235</v>
      </c>
      <c r="C44" t="s">
        <v>485</v>
      </c>
      <c r="D44">
        <v>6</v>
      </c>
    </row>
    <row r="45" spans="1:4" x14ac:dyDescent="0.25">
      <c r="A45" t="s">
        <v>80</v>
      </c>
      <c r="B45" t="s">
        <v>269</v>
      </c>
      <c r="C45" t="s">
        <v>486</v>
      </c>
      <c r="D45">
        <v>4</v>
      </c>
    </row>
    <row r="46" spans="1:4" x14ac:dyDescent="0.25">
      <c r="A46" t="s">
        <v>80</v>
      </c>
      <c r="B46" t="s">
        <v>487</v>
      </c>
      <c r="C46" t="s">
        <v>488</v>
      </c>
      <c r="D46">
        <v>6</v>
      </c>
    </row>
    <row r="47" spans="1:4" x14ac:dyDescent="0.25">
      <c r="A47" t="s">
        <v>80</v>
      </c>
      <c r="B47" t="s">
        <v>271</v>
      </c>
      <c r="C47" t="s">
        <v>489</v>
      </c>
      <c r="D47">
        <v>4</v>
      </c>
    </row>
    <row r="48" spans="1:4" x14ac:dyDescent="0.25">
      <c r="A48" t="s">
        <v>80</v>
      </c>
      <c r="B48" t="s">
        <v>490</v>
      </c>
      <c r="C48" t="s">
        <v>491</v>
      </c>
      <c r="D48">
        <v>7</v>
      </c>
    </row>
    <row r="49" spans="1:4" x14ac:dyDescent="0.25">
      <c r="A49" t="s">
        <v>80</v>
      </c>
      <c r="B49" t="s">
        <v>357</v>
      </c>
      <c r="C49" t="s">
        <v>492</v>
      </c>
      <c r="D49">
        <v>9</v>
      </c>
    </row>
    <row r="50" spans="1:4" x14ac:dyDescent="0.25">
      <c r="A50" t="s">
        <v>80</v>
      </c>
      <c r="B50" t="s">
        <v>89</v>
      </c>
      <c r="C50" t="s">
        <v>493</v>
      </c>
      <c r="D50">
        <v>6</v>
      </c>
    </row>
    <row r="51" spans="1:4" x14ac:dyDescent="0.25">
      <c r="A51" t="s">
        <v>80</v>
      </c>
      <c r="B51" t="s">
        <v>494</v>
      </c>
      <c r="C51" t="s">
        <v>495</v>
      </c>
      <c r="D51">
        <v>5</v>
      </c>
    </row>
    <row r="52" spans="1:4" x14ac:dyDescent="0.25">
      <c r="A52" t="s">
        <v>80</v>
      </c>
      <c r="B52" t="s">
        <v>494</v>
      </c>
      <c r="C52" t="s">
        <v>496</v>
      </c>
      <c r="D52">
        <v>4</v>
      </c>
    </row>
    <row r="53" spans="1:4" x14ac:dyDescent="0.25">
      <c r="A53" t="s">
        <v>80</v>
      </c>
      <c r="B53" t="s">
        <v>497</v>
      </c>
      <c r="C53" t="s">
        <v>383</v>
      </c>
      <c r="D53">
        <v>2</v>
      </c>
    </row>
    <row r="54" spans="1:4" x14ac:dyDescent="0.25">
      <c r="A54" t="s">
        <v>80</v>
      </c>
      <c r="B54" t="s">
        <v>280</v>
      </c>
      <c r="C54" t="s">
        <v>385</v>
      </c>
      <c r="D54">
        <v>0</v>
      </c>
    </row>
    <row r="55" spans="1:4" x14ac:dyDescent="0.25">
      <c r="A55" t="s">
        <v>80</v>
      </c>
      <c r="B55" t="s">
        <v>138</v>
      </c>
      <c r="C55" t="s">
        <v>498</v>
      </c>
      <c r="D55">
        <v>3</v>
      </c>
    </row>
    <row r="56" spans="1:4" x14ac:dyDescent="0.25">
      <c r="A56" t="s">
        <v>80</v>
      </c>
      <c r="B56" t="s">
        <v>499</v>
      </c>
      <c r="C56" t="s">
        <v>500</v>
      </c>
      <c r="D56">
        <v>5</v>
      </c>
    </row>
    <row r="57" spans="1:4" x14ac:dyDescent="0.25">
      <c r="A57" t="s">
        <v>80</v>
      </c>
      <c r="B57" t="s">
        <v>499</v>
      </c>
      <c r="C57" t="s">
        <v>501</v>
      </c>
      <c r="D57">
        <v>6</v>
      </c>
    </row>
    <row r="58" spans="1:4" x14ac:dyDescent="0.25">
      <c r="A58" t="s">
        <v>80</v>
      </c>
      <c r="B58" t="s">
        <v>112</v>
      </c>
      <c r="C58" t="s">
        <v>502</v>
      </c>
      <c r="D58">
        <v>4</v>
      </c>
    </row>
    <row r="59" spans="1:4" x14ac:dyDescent="0.25">
      <c r="A59" t="s">
        <v>80</v>
      </c>
      <c r="B59" t="s">
        <v>503</v>
      </c>
      <c r="C59" t="s">
        <v>504</v>
      </c>
      <c r="D59">
        <v>1</v>
      </c>
    </row>
    <row r="60" spans="1:4" x14ac:dyDescent="0.25">
      <c r="A60" t="s">
        <v>80</v>
      </c>
      <c r="B60" t="s">
        <v>505</v>
      </c>
      <c r="C60" t="s">
        <v>506</v>
      </c>
      <c r="D60">
        <v>3</v>
      </c>
    </row>
    <row r="61" spans="1:4" x14ac:dyDescent="0.25">
      <c r="A61" t="s">
        <v>80</v>
      </c>
      <c r="B61" t="s">
        <v>233</v>
      </c>
      <c r="C61" t="s">
        <v>507</v>
      </c>
      <c r="D61">
        <v>0</v>
      </c>
    </row>
    <row r="62" spans="1:4" x14ac:dyDescent="0.25">
      <c r="A62" t="s">
        <v>80</v>
      </c>
      <c r="B62" t="s">
        <v>508</v>
      </c>
      <c r="C62" t="s">
        <v>509</v>
      </c>
      <c r="D62">
        <v>2</v>
      </c>
    </row>
    <row r="63" spans="1:4" x14ac:dyDescent="0.25">
      <c r="A63" t="s">
        <v>123</v>
      </c>
      <c r="B63" t="s">
        <v>427</v>
      </c>
      <c r="C63" t="s">
        <v>510</v>
      </c>
      <c r="D63">
        <v>-1</v>
      </c>
    </row>
    <row r="64" spans="1:4" x14ac:dyDescent="0.25">
      <c r="A64" t="s">
        <v>123</v>
      </c>
      <c r="B64" t="s">
        <v>511</v>
      </c>
      <c r="C64" t="s">
        <v>512</v>
      </c>
      <c r="D64">
        <v>-3</v>
      </c>
    </row>
    <row r="65" spans="1:4" x14ac:dyDescent="0.25">
      <c r="A65" t="s">
        <v>123</v>
      </c>
      <c r="B65" t="s">
        <v>398</v>
      </c>
      <c r="C65" t="s">
        <v>513</v>
      </c>
      <c r="D65">
        <v>-1</v>
      </c>
    </row>
    <row r="66" spans="1:4" x14ac:dyDescent="0.25">
      <c r="A66" t="s">
        <v>123</v>
      </c>
      <c r="B66" t="s">
        <v>514</v>
      </c>
      <c r="C66" t="s">
        <v>515</v>
      </c>
      <c r="D66">
        <v>-3</v>
      </c>
    </row>
    <row r="67" spans="1:4" x14ac:dyDescent="0.25">
      <c r="A67" t="s">
        <v>123</v>
      </c>
      <c r="B67" t="s">
        <v>363</v>
      </c>
      <c r="C67" t="s">
        <v>516</v>
      </c>
      <c r="D67">
        <v>-1</v>
      </c>
    </row>
    <row r="68" spans="1:4" x14ac:dyDescent="0.25">
      <c r="A68" t="s">
        <v>123</v>
      </c>
      <c r="B68" t="s">
        <v>517</v>
      </c>
      <c r="C68" t="s">
        <v>518</v>
      </c>
      <c r="D68">
        <v>-3</v>
      </c>
    </row>
    <row r="69" spans="1:4" x14ac:dyDescent="0.25">
      <c r="A69" t="s">
        <v>123</v>
      </c>
      <c r="B69" t="s">
        <v>519</v>
      </c>
      <c r="C69" t="s">
        <v>520</v>
      </c>
      <c r="D69">
        <v>-4</v>
      </c>
    </row>
    <row r="70" spans="1:4" x14ac:dyDescent="0.25">
      <c r="A70" t="s">
        <v>123</v>
      </c>
      <c r="B70" t="s">
        <v>519</v>
      </c>
      <c r="C70" t="s">
        <v>521</v>
      </c>
      <c r="D70">
        <v>-5</v>
      </c>
    </row>
    <row r="71" spans="1:4" x14ac:dyDescent="0.25">
      <c r="A71" t="s">
        <v>123</v>
      </c>
      <c r="B71" t="s">
        <v>64</v>
      </c>
      <c r="C71" t="s">
        <v>522</v>
      </c>
      <c r="D71">
        <v>-2</v>
      </c>
    </row>
    <row r="72" spans="1:4" x14ac:dyDescent="0.25">
      <c r="A72" t="s">
        <v>123</v>
      </c>
      <c r="B72" t="s">
        <v>192</v>
      </c>
      <c r="C72" t="s">
        <v>523</v>
      </c>
      <c r="D72">
        <v>-3</v>
      </c>
    </row>
    <row r="73" spans="1:4" x14ac:dyDescent="0.25">
      <c r="A73" t="s">
        <v>123</v>
      </c>
      <c r="B73" t="s">
        <v>524</v>
      </c>
      <c r="C73" t="s">
        <v>525</v>
      </c>
      <c r="D73">
        <v>-2</v>
      </c>
    </row>
    <row r="74" spans="1:4" x14ac:dyDescent="0.25">
      <c r="A74" t="s">
        <v>123</v>
      </c>
      <c r="B74" t="s">
        <v>524</v>
      </c>
      <c r="C74" t="s">
        <v>526</v>
      </c>
      <c r="D74">
        <v>-1</v>
      </c>
    </row>
    <row r="75" spans="1:4" x14ac:dyDescent="0.25">
      <c r="A75" t="s">
        <v>123</v>
      </c>
      <c r="B75" t="s">
        <v>442</v>
      </c>
      <c r="C75" t="s">
        <v>527</v>
      </c>
      <c r="D75">
        <v>-2</v>
      </c>
    </row>
    <row r="76" spans="1:4" x14ac:dyDescent="0.25">
      <c r="A76" t="s">
        <v>123</v>
      </c>
      <c r="B76" t="s">
        <v>475</v>
      </c>
      <c r="C76" t="s">
        <v>528</v>
      </c>
      <c r="D76">
        <v>0</v>
      </c>
    </row>
    <row r="77" spans="1:4" x14ac:dyDescent="0.25">
      <c r="A77" t="s">
        <v>123</v>
      </c>
      <c r="B77" t="s">
        <v>529</v>
      </c>
      <c r="C77" t="s">
        <v>530</v>
      </c>
      <c r="D77">
        <v>-2</v>
      </c>
    </row>
    <row r="78" spans="1:4" x14ac:dyDescent="0.25">
      <c r="A78" t="s">
        <v>123</v>
      </c>
      <c r="B78" t="s">
        <v>531</v>
      </c>
      <c r="C78" t="s">
        <v>532</v>
      </c>
      <c r="D78">
        <v>-1</v>
      </c>
    </row>
    <row r="79" spans="1:4" x14ac:dyDescent="0.25">
      <c r="A79" t="s">
        <v>123</v>
      </c>
      <c r="B79" t="s">
        <v>531</v>
      </c>
      <c r="C79" t="s">
        <v>533</v>
      </c>
      <c r="D79">
        <v>0</v>
      </c>
    </row>
    <row r="80" spans="1:4" x14ac:dyDescent="0.25">
      <c r="A80" t="s">
        <v>123</v>
      </c>
      <c r="B80" t="s">
        <v>534</v>
      </c>
      <c r="C80" t="s">
        <v>535</v>
      </c>
      <c r="D80">
        <v>-1</v>
      </c>
    </row>
    <row r="81" spans="1:4" x14ac:dyDescent="0.25">
      <c r="A81" t="s">
        <v>123</v>
      </c>
      <c r="B81" t="s">
        <v>154</v>
      </c>
      <c r="C81" t="s">
        <v>536</v>
      </c>
      <c r="D81">
        <v>-3</v>
      </c>
    </row>
    <row r="82" spans="1:4" x14ac:dyDescent="0.25">
      <c r="A82" t="s">
        <v>123</v>
      </c>
      <c r="B82" t="s">
        <v>537</v>
      </c>
      <c r="C82" t="s">
        <v>538</v>
      </c>
      <c r="D82">
        <v>0</v>
      </c>
    </row>
    <row r="83" spans="1:4" x14ac:dyDescent="0.25">
      <c r="A83" t="s">
        <v>4</v>
      </c>
      <c r="B83" t="s">
        <v>539</v>
      </c>
      <c r="C83" t="s">
        <v>540</v>
      </c>
      <c r="D83">
        <v>1</v>
      </c>
    </row>
    <row r="84" spans="1:4" x14ac:dyDescent="0.25">
      <c r="A84" t="s">
        <v>4</v>
      </c>
      <c r="B84" t="s">
        <v>541</v>
      </c>
      <c r="C84" t="s">
        <v>542</v>
      </c>
      <c r="D84">
        <v>-2</v>
      </c>
    </row>
    <row r="85" spans="1:4" x14ac:dyDescent="0.25">
      <c r="A85" t="s">
        <v>4</v>
      </c>
      <c r="B85" t="s">
        <v>467</v>
      </c>
      <c r="C85" t="s">
        <v>543</v>
      </c>
      <c r="D85">
        <v>1</v>
      </c>
    </row>
    <row r="86" spans="1:4" x14ac:dyDescent="0.25">
      <c r="A86" t="s">
        <v>4</v>
      </c>
      <c r="B86" t="s">
        <v>544</v>
      </c>
      <c r="C86" t="s">
        <v>545</v>
      </c>
      <c r="D86">
        <v>-2</v>
      </c>
    </row>
    <row r="87" spans="1:4" x14ac:dyDescent="0.25">
      <c r="A87" t="s">
        <v>4</v>
      </c>
      <c r="B87" t="s">
        <v>546</v>
      </c>
      <c r="C87" t="s">
        <v>547</v>
      </c>
      <c r="D87">
        <v>-3</v>
      </c>
    </row>
    <row r="88" spans="1:4" x14ac:dyDescent="0.25">
      <c r="A88" t="s">
        <v>4</v>
      </c>
      <c r="B88" t="s">
        <v>546</v>
      </c>
      <c r="C88" t="s">
        <v>548</v>
      </c>
      <c r="D88">
        <v>-4</v>
      </c>
    </row>
    <row r="89" spans="1:4" x14ac:dyDescent="0.25">
      <c r="A89" t="s">
        <v>4</v>
      </c>
      <c r="B89" t="s">
        <v>444</v>
      </c>
      <c r="C89" t="s">
        <v>549</v>
      </c>
      <c r="D89">
        <v>-2</v>
      </c>
    </row>
    <row r="90" spans="1:4" x14ac:dyDescent="0.25">
      <c r="A90" t="s">
        <v>4</v>
      </c>
      <c r="B90" t="s">
        <v>550</v>
      </c>
      <c r="C90" t="s">
        <v>551</v>
      </c>
      <c r="D90">
        <v>-4</v>
      </c>
    </row>
    <row r="91" spans="1:4" x14ac:dyDescent="0.25">
      <c r="A91" t="s">
        <v>4</v>
      </c>
      <c r="B91" t="s">
        <v>552</v>
      </c>
      <c r="C91" t="s">
        <v>553</v>
      </c>
      <c r="D91">
        <v>-2</v>
      </c>
    </row>
    <row r="92" spans="1:4" x14ac:dyDescent="0.25">
      <c r="A92" t="s">
        <v>4</v>
      </c>
      <c r="B92" t="s">
        <v>554</v>
      </c>
      <c r="C92" t="s">
        <v>555</v>
      </c>
      <c r="D92">
        <v>-4</v>
      </c>
    </row>
    <row r="93" spans="1:4" x14ac:dyDescent="0.25">
      <c r="A93" t="s">
        <v>4</v>
      </c>
      <c r="B93" t="s">
        <v>556</v>
      </c>
      <c r="C93" t="s">
        <v>557</v>
      </c>
      <c r="D93">
        <v>-3</v>
      </c>
    </row>
    <row r="94" spans="1:4" x14ac:dyDescent="0.25">
      <c r="A94" t="s">
        <v>4</v>
      </c>
      <c r="B94" t="s">
        <v>422</v>
      </c>
      <c r="C94" t="s">
        <v>558</v>
      </c>
      <c r="D94">
        <v>-1</v>
      </c>
    </row>
    <row r="95" spans="1:4" x14ac:dyDescent="0.25">
      <c r="A95" t="s">
        <v>4</v>
      </c>
      <c r="B95" t="s">
        <v>559</v>
      </c>
      <c r="C95" t="s">
        <v>560</v>
      </c>
      <c r="D95">
        <v>-2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0.23404255319148937</v>
      </c>
    </row>
    <row r="99" spans="1:4" x14ac:dyDescent="0.25">
      <c r="A99" t="s">
        <v>159</v>
      </c>
      <c r="D99">
        <f>MAX(D2:D95)</f>
        <v>9</v>
      </c>
    </row>
    <row r="100" spans="1:4" x14ac:dyDescent="0.25">
      <c r="A100" t="s">
        <v>160</v>
      </c>
      <c r="D100">
        <f>MIN(D2:D95)</f>
        <v>-5</v>
      </c>
    </row>
    <row r="101" spans="1:4" x14ac:dyDescent="0.25">
      <c r="A101" t="s">
        <v>161</v>
      </c>
      <c r="D101">
        <f>COUNTIF(D2:D95,"&gt;0")</f>
        <v>39</v>
      </c>
    </row>
    <row r="102" spans="1:4" x14ac:dyDescent="0.25">
      <c r="A102" t="s">
        <v>162</v>
      </c>
      <c r="D102">
        <f>COUNTIF(D2:D95,"=0")</f>
        <v>13</v>
      </c>
    </row>
    <row r="103" spans="1:4" x14ac:dyDescent="0.25">
      <c r="A103" t="s">
        <v>561</v>
      </c>
      <c r="D103">
        <f>COUNTIF(D2:D95,"&lt;0")</f>
        <v>42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AVERAGE(D2,D3,D4,D5,D6,D7,D8,D9,D10,D11,D12,D13,D14,D15,D16,D17,D18,D83,D84,D85,D86,D87,D88,D89,D90,D91,D92,D93,D94,D95)</f>
        <v>-0.7</v>
      </c>
    </row>
    <row r="107" spans="1:4" x14ac:dyDescent="0.25">
      <c r="A107" t="s">
        <v>166</v>
      </c>
      <c r="D107">
        <f>AVERAGE(D19,D20,D21,D22,D23,D24,D25,D26,D27,D28,D29,D30,D31,D32,D33,D34,D35,D36,D37,D38,D39,D40,D41,D42,D43,D44)</f>
        <v>0.38461538461538464</v>
      </c>
    </row>
    <row r="108" spans="1:4" x14ac:dyDescent="0.25">
      <c r="A108" t="s">
        <v>167</v>
      </c>
      <c r="D108">
        <f>AVERAGE(D45,D46,D47,D48,D49,D50,D51,D52,D53,D54,D55,D56,D57,D58,D59,D60,D61,D62)</f>
        <v>3.9444444444444446</v>
      </c>
    </row>
    <row r="109" spans="1:4" x14ac:dyDescent="0.25">
      <c r="A109" t="s">
        <v>168</v>
      </c>
      <c r="D109">
        <f>AVERAGE(D63,D64,D65,D66,D67,D68,D69,D70,D71,D72,D73,D74,D75,D76,D77,D78,D79,D80,D81,D82)</f>
        <v>-1.9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563</v>
      </c>
      <c r="C2" t="s">
        <v>6</v>
      </c>
      <c r="D2">
        <v>2</v>
      </c>
    </row>
    <row r="3" spans="1:4" x14ac:dyDescent="0.25">
      <c r="A3" t="s">
        <v>4</v>
      </c>
      <c r="B3" t="s">
        <v>239</v>
      </c>
      <c r="C3" t="s">
        <v>8</v>
      </c>
      <c r="D3">
        <v>0</v>
      </c>
    </row>
    <row r="4" spans="1:4" x14ac:dyDescent="0.25">
      <c r="A4" t="s">
        <v>4</v>
      </c>
      <c r="B4" t="s">
        <v>7</v>
      </c>
      <c r="C4" t="s">
        <v>564</v>
      </c>
      <c r="D4">
        <v>2</v>
      </c>
    </row>
    <row r="5" spans="1:4" x14ac:dyDescent="0.25">
      <c r="A5" t="s">
        <v>4</v>
      </c>
      <c r="B5" t="s">
        <v>565</v>
      </c>
      <c r="C5" t="s">
        <v>309</v>
      </c>
      <c r="D5">
        <v>-1</v>
      </c>
    </row>
    <row r="6" spans="1:4" x14ac:dyDescent="0.25">
      <c r="A6" t="s">
        <v>4</v>
      </c>
      <c r="B6" t="s">
        <v>172</v>
      </c>
      <c r="C6" t="s">
        <v>432</v>
      </c>
      <c r="D6">
        <v>2</v>
      </c>
    </row>
    <row r="7" spans="1:4" x14ac:dyDescent="0.25">
      <c r="A7" t="s">
        <v>4</v>
      </c>
      <c r="B7" t="s">
        <v>566</v>
      </c>
      <c r="C7" t="s">
        <v>567</v>
      </c>
      <c r="D7">
        <v>0</v>
      </c>
    </row>
    <row r="8" spans="1:4" x14ac:dyDescent="0.25">
      <c r="A8" t="s">
        <v>4</v>
      </c>
      <c r="B8" t="s">
        <v>568</v>
      </c>
      <c r="C8" t="s">
        <v>569</v>
      </c>
      <c r="D8">
        <v>2</v>
      </c>
    </row>
    <row r="9" spans="1:4" x14ac:dyDescent="0.25">
      <c r="A9" t="s">
        <v>4</v>
      </c>
      <c r="B9" t="s">
        <v>570</v>
      </c>
      <c r="C9" t="s">
        <v>571</v>
      </c>
      <c r="D9">
        <v>0</v>
      </c>
    </row>
    <row r="10" spans="1:4" x14ac:dyDescent="0.25">
      <c r="A10" t="s">
        <v>4</v>
      </c>
      <c r="B10" t="s">
        <v>572</v>
      </c>
      <c r="C10" t="s">
        <v>573</v>
      </c>
      <c r="D10">
        <v>2</v>
      </c>
    </row>
    <row r="11" spans="1:4" x14ac:dyDescent="0.25">
      <c r="A11" t="s">
        <v>4</v>
      </c>
      <c r="B11" t="s">
        <v>368</v>
      </c>
      <c r="C11" t="s">
        <v>574</v>
      </c>
      <c r="D11">
        <v>0</v>
      </c>
    </row>
    <row r="12" spans="1:4" x14ac:dyDescent="0.25">
      <c r="A12" t="s">
        <v>4</v>
      </c>
      <c r="B12" t="s">
        <v>368</v>
      </c>
      <c r="C12" t="s">
        <v>575</v>
      </c>
      <c r="D12">
        <v>-1</v>
      </c>
    </row>
    <row r="13" spans="1:4" x14ac:dyDescent="0.25">
      <c r="A13" t="s">
        <v>4</v>
      </c>
      <c r="B13" t="s">
        <v>104</v>
      </c>
      <c r="C13" t="s">
        <v>576</v>
      </c>
      <c r="D13">
        <v>-4</v>
      </c>
    </row>
    <row r="14" spans="1:4" x14ac:dyDescent="0.25">
      <c r="A14" t="s">
        <v>4</v>
      </c>
      <c r="B14" t="s">
        <v>577</v>
      </c>
      <c r="C14" t="s">
        <v>445</v>
      </c>
      <c r="D14">
        <v>-2</v>
      </c>
    </row>
    <row r="15" spans="1:4" x14ac:dyDescent="0.25">
      <c r="A15" t="s">
        <v>4</v>
      </c>
      <c r="B15" t="s">
        <v>285</v>
      </c>
      <c r="C15" t="s">
        <v>578</v>
      </c>
      <c r="D15">
        <v>-5</v>
      </c>
    </row>
    <row r="16" spans="1:4" x14ac:dyDescent="0.25">
      <c r="A16" t="s">
        <v>4</v>
      </c>
      <c r="B16" t="s">
        <v>579</v>
      </c>
      <c r="C16" t="s">
        <v>580</v>
      </c>
      <c r="D16">
        <v>-3</v>
      </c>
    </row>
    <row r="17" spans="1:4" x14ac:dyDescent="0.25">
      <c r="A17" t="s">
        <v>4</v>
      </c>
      <c r="B17" t="s">
        <v>581</v>
      </c>
      <c r="C17" t="s">
        <v>39</v>
      </c>
      <c r="D17">
        <v>-1</v>
      </c>
    </row>
    <row r="18" spans="1:4" x14ac:dyDescent="0.25">
      <c r="A18" t="s">
        <v>4</v>
      </c>
      <c r="B18" t="s">
        <v>582</v>
      </c>
      <c r="C18" t="s">
        <v>583</v>
      </c>
      <c r="D18">
        <v>1</v>
      </c>
    </row>
    <row r="19" spans="1:4" x14ac:dyDescent="0.25">
      <c r="A19" t="s">
        <v>4</v>
      </c>
      <c r="B19" t="s">
        <v>584</v>
      </c>
      <c r="C19" t="s">
        <v>585</v>
      </c>
      <c r="D19">
        <v>0</v>
      </c>
    </row>
    <row r="20" spans="1:4" x14ac:dyDescent="0.25">
      <c r="A20" t="s">
        <v>40</v>
      </c>
      <c r="B20" t="s">
        <v>81</v>
      </c>
      <c r="C20" t="s">
        <v>586</v>
      </c>
      <c r="D20">
        <v>3</v>
      </c>
    </row>
    <row r="21" spans="1:4" x14ac:dyDescent="0.25">
      <c r="A21" t="s">
        <v>40</v>
      </c>
      <c r="B21" t="s">
        <v>244</v>
      </c>
      <c r="C21" t="s">
        <v>587</v>
      </c>
      <c r="D21">
        <v>1</v>
      </c>
    </row>
    <row r="22" spans="1:4" x14ac:dyDescent="0.25">
      <c r="A22" t="s">
        <v>40</v>
      </c>
      <c r="B22" t="s">
        <v>588</v>
      </c>
      <c r="C22" t="s">
        <v>589</v>
      </c>
      <c r="D22">
        <v>-1</v>
      </c>
    </row>
    <row r="23" spans="1:4" x14ac:dyDescent="0.25">
      <c r="A23" t="s">
        <v>40</v>
      </c>
      <c r="B23" t="s">
        <v>590</v>
      </c>
      <c r="C23" t="s">
        <v>591</v>
      </c>
      <c r="D23">
        <v>1</v>
      </c>
    </row>
    <row r="24" spans="1:4" x14ac:dyDescent="0.25">
      <c r="A24" t="s">
        <v>40</v>
      </c>
      <c r="B24" t="s">
        <v>568</v>
      </c>
      <c r="C24" t="s">
        <v>592</v>
      </c>
      <c r="D24">
        <v>-2</v>
      </c>
    </row>
    <row r="25" spans="1:4" x14ac:dyDescent="0.25">
      <c r="A25" t="s">
        <v>40</v>
      </c>
      <c r="B25" t="s">
        <v>366</v>
      </c>
      <c r="C25" t="s">
        <v>593</v>
      </c>
      <c r="D25">
        <v>-1</v>
      </c>
    </row>
    <row r="26" spans="1:4" x14ac:dyDescent="0.25">
      <c r="A26" t="s">
        <v>40</v>
      </c>
      <c r="B26" t="s">
        <v>594</v>
      </c>
      <c r="C26" t="s">
        <v>595</v>
      </c>
      <c r="D26">
        <v>-2</v>
      </c>
    </row>
    <row r="27" spans="1:4" x14ac:dyDescent="0.25">
      <c r="A27" t="s">
        <v>40</v>
      </c>
      <c r="B27" t="s">
        <v>594</v>
      </c>
      <c r="C27" t="s">
        <v>459</v>
      </c>
      <c r="D27">
        <v>-3</v>
      </c>
    </row>
    <row r="28" spans="1:4" x14ac:dyDescent="0.25">
      <c r="A28" t="s">
        <v>40</v>
      </c>
      <c r="B28" t="s">
        <v>596</v>
      </c>
      <c r="C28" t="s">
        <v>597</v>
      </c>
      <c r="D28">
        <v>-2</v>
      </c>
    </row>
    <row r="29" spans="1:4" x14ac:dyDescent="0.25">
      <c r="A29" t="s">
        <v>40</v>
      </c>
      <c r="B29" t="s">
        <v>598</v>
      </c>
      <c r="C29" t="s">
        <v>599</v>
      </c>
      <c r="D29">
        <v>-4</v>
      </c>
    </row>
    <row r="30" spans="1:4" x14ac:dyDescent="0.25">
      <c r="A30" t="s">
        <v>40</v>
      </c>
      <c r="B30" t="s">
        <v>600</v>
      </c>
      <c r="C30" t="s">
        <v>601</v>
      </c>
      <c r="D30">
        <v>-7</v>
      </c>
    </row>
    <row r="31" spans="1:4" x14ac:dyDescent="0.25">
      <c r="A31" t="s">
        <v>40</v>
      </c>
      <c r="B31" t="s">
        <v>339</v>
      </c>
      <c r="C31" t="s">
        <v>602</v>
      </c>
      <c r="D31">
        <v>-5</v>
      </c>
    </row>
    <row r="32" spans="1:4" x14ac:dyDescent="0.25">
      <c r="A32" t="s">
        <v>40</v>
      </c>
      <c r="B32" t="s">
        <v>23</v>
      </c>
      <c r="C32" t="s">
        <v>603</v>
      </c>
      <c r="D32">
        <v>-6</v>
      </c>
    </row>
    <row r="33" spans="1:4" x14ac:dyDescent="0.25">
      <c r="A33" t="s">
        <v>40</v>
      </c>
      <c r="B33" t="s">
        <v>23</v>
      </c>
      <c r="C33" t="s">
        <v>604</v>
      </c>
      <c r="D33">
        <v>-7</v>
      </c>
    </row>
    <row r="34" spans="1:4" x14ac:dyDescent="0.25">
      <c r="A34" t="s">
        <v>40</v>
      </c>
      <c r="B34" t="s">
        <v>605</v>
      </c>
      <c r="C34" t="s">
        <v>606</v>
      </c>
      <c r="D34">
        <v>-6</v>
      </c>
    </row>
    <row r="35" spans="1:4" x14ac:dyDescent="0.25">
      <c r="A35" t="s">
        <v>40</v>
      </c>
      <c r="B35" t="s">
        <v>607</v>
      </c>
      <c r="C35" t="s">
        <v>608</v>
      </c>
      <c r="D35">
        <v>-8</v>
      </c>
    </row>
    <row r="36" spans="1:4" x14ac:dyDescent="0.25">
      <c r="A36" t="s">
        <v>40</v>
      </c>
      <c r="B36" t="s">
        <v>114</v>
      </c>
      <c r="C36" t="s">
        <v>609</v>
      </c>
      <c r="D36">
        <v>-5</v>
      </c>
    </row>
    <row r="37" spans="1:4" x14ac:dyDescent="0.25">
      <c r="A37" t="s">
        <v>40</v>
      </c>
      <c r="B37" t="s">
        <v>290</v>
      </c>
      <c r="C37" t="s">
        <v>610</v>
      </c>
      <c r="D37">
        <v>-8</v>
      </c>
    </row>
    <row r="38" spans="1:4" x14ac:dyDescent="0.25">
      <c r="A38" t="s">
        <v>40</v>
      </c>
      <c r="B38" t="s">
        <v>611</v>
      </c>
      <c r="C38" t="s">
        <v>75</v>
      </c>
      <c r="D38">
        <v>-9</v>
      </c>
    </row>
    <row r="39" spans="1:4" x14ac:dyDescent="0.25">
      <c r="A39" t="s">
        <v>40</v>
      </c>
      <c r="B39" t="s">
        <v>612</v>
      </c>
      <c r="C39" t="s">
        <v>613</v>
      </c>
      <c r="D39">
        <v>-7</v>
      </c>
    </row>
    <row r="40" spans="1:4" x14ac:dyDescent="0.25">
      <c r="A40" t="s">
        <v>40</v>
      </c>
      <c r="B40" t="s">
        <v>235</v>
      </c>
      <c r="C40" t="s">
        <v>614</v>
      </c>
      <c r="D40">
        <v>-9</v>
      </c>
    </row>
    <row r="41" spans="1:4" x14ac:dyDescent="0.25">
      <c r="A41" t="s">
        <v>80</v>
      </c>
      <c r="B41" t="s">
        <v>128</v>
      </c>
      <c r="C41" t="s">
        <v>615</v>
      </c>
      <c r="D41">
        <v>-7</v>
      </c>
    </row>
    <row r="42" spans="1:4" x14ac:dyDescent="0.25">
      <c r="A42" t="s">
        <v>80</v>
      </c>
      <c r="B42" t="s">
        <v>616</v>
      </c>
      <c r="C42" t="s">
        <v>617</v>
      </c>
      <c r="D42">
        <v>-4</v>
      </c>
    </row>
    <row r="43" spans="1:4" x14ac:dyDescent="0.25">
      <c r="A43" t="s">
        <v>80</v>
      </c>
      <c r="B43" t="s">
        <v>618</v>
      </c>
      <c r="C43" t="s">
        <v>619</v>
      </c>
      <c r="D43">
        <v>-7</v>
      </c>
    </row>
    <row r="44" spans="1:4" x14ac:dyDescent="0.25">
      <c r="A44" t="s">
        <v>80</v>
      </c>
      <c r="B44" t="s">
        <v>274</v>
      </c>
      <c r="C44" t="s">
        <v>620</v>
      </c>
      <c r="D44">
        <v>-9</v>
      </c>
    </row>
    <row r="45" spans="1:4" x14ac:dyDescent="0.25">
      <c r="A45" t="s">
        <v>80</v>
      </c>
      <c r="B45" t="s">
        <v>621</v>
      </c>
      <c r="C45" t="s">
        <v>622</v>
      </c>
      <c r="D45">
        <v>-6</v>
      </c>
    </row>
    <row r="46" spans="1:4" x14ac:dyDescent="0.25">
      <c r="A46" t="s">
        <v>80</v>
      </c>
      <c r="B46" t="s">
        <v>623</v>
      </c>
      <c r="C46" t="s">
        <v>624</v>
      </c>
      <c r="D46">
        <v>-4</v>
      </c>
    </row>
    <row r="47" spans="1:4" x14ac:dyDescent="0.25">
      <c r="A47" t="s">
        <v>80</v>
      </c>
      <c r="B47" t="s">
        <v>625</v>
      </c>
      <c r="C47" t="s">
        <v>626</v>
      </c>
      <c r="D47">
        <v>-5</v>
      </c>
    </row>
    <row r="48" spans="1:4" x14ac:dyDescent="0.25">
      <c r="A48" t="s">
        <v>80</v>
      </c>
      <c r="B48" t="s">
        <v>625</v>
      </c>
      <c r="C48" t="s">
        <v>100</v>
      </c>
      <c r="D48">
        <v>-6</v>
      </c>
    </row>
    <row r="49" spans="1:4" x14ac:dyDescent="0.25">
      <c r="A49" t="s">
        <v>80</v>
      </c>
      <c r="B49" t="s">
        <v>625</v>
      </c>
      <c r="C49" t="s">
        <v>102</v>
      </c>
      <c r="D49">
        <v>-7</v>
      </c>
    </row>
    <row r="50" spans="1:4" x14ac:dyDescent="0.25">
      <c r="A50" t="s">
        <v>80</v>
      </c>
      <c r="B50" t="s">
        <v>181</v>
      </c>
      <c r="C50" t="s">
        <v>627</v>
      </c>
      <c r="D50">
        <v>-5</v>
      </c>
    </row>
    <row r="51" spans="1:4" x14ac:dyDescent="0.25">
      <c r="A51" t="s">
        <v>80</v>
      </c>
      <c r="B51" t="s">
        <v>628</v>
      </c>
      <c r="C51" t="s">
        <v>377</v>
      </c>
      <c r="D51">
        <v>-2</v>
      </c>
    </row>
    <row r="52" spans="1:4" x14ac:dyDescent="0.25">
      <c r="A52" t="s">
        <v>80</v>
      </c>
      <c r="B52" t="s">
        <v>380</v>
      </c>
      <c r="C52" t="s">
        <v>379</v>
      </c>
      <c r="D52">
        <v>1</v>
      </c>
    </row>
    <row r="53" spans="1:4" x14ac:dyDescent="0.25">
      <c r="A53" t="s">
        <v>80</v>
      </c>
      <c r="B53" t="s">
        <v>629</v>
      </c>
      <c r="C53" t="s">
        <v>630</v>
      </c>
      <c r="D53">
        <v>-2</v>
      </c>
    </row>
    <row r="54" spans="1:4" x14ac:dyDescent="0.25">
      <c r="A54" t="s">
        <v>80</v>
      </c>
      <c r="B54" t="s">
        <v>631</v>
      </c>
      <c r="C54" t="s">
        <v>632</v>
      </c>
      <c r="D54">
        <v>-4</v>
      </c>
    </row>
    <row r="55" spans="1:4" x14ac:dyDescent="0.25">
      <c r="A55" t="s">
        <v>80</v>
      </c>
      <c r="B55" t="s">
        <v>231</v>
      </c>
      <c r="C55" t="s">
        <v>633</v>
      </c>
      <c r="D55">
        <v>-2</v>
      </c>
    </row>
    <row r="56" spans="1:4" x14ac:dyDescent="0.25">
      <c r="A56" t="s">
        <v>80</v>
      </c>
      <c r="B56" t="s">
        <v>634</v>
      </c>
      <c r="C56" t="s">
        <v>635</v>
      </c>
      <c r="D56">
        <v>1</v>
      </c>
    </row>
    <row r="57" spans="1:4" x14ac:dyDescent="0.25">
      <c r="A57" t="s">
        <v>80</v>
      </c>
      <c r="B57" t="s">
        <v>301</v>
      </c>
      <c r="C57" t="s">
        <v>636</v>
      </c>
      <c r="D57">
        <v>3</v>
      </c>
    </row>
    <row r="58" spans="1:4" x14ac:dyDescent="0.25">
      <c r="A58" t="s">
        <v>80</v>
      </c>
      <c r="B58" t="s">
        <v>584</v>
      </c>
      <c r="C58" t="s">
        <v>637</v>
      </c>
      <c r="D58">
        <v>6</v>
      </c>
    </row>
    <row r="59" spans="1:4" x14ac:dyDescent="0.25">
      <c r="A59" t="s">
        <v>123</v>
      </c>
      <c r="B59" t="s">
        <v>124</v>
      </c>
      <c r="C59" t="s">
        <v>638</v>
      </c>
      <c r="D59">
        <v>4</v>
      </c>
    </row>
    <row r="60" spans="1:4" x14ac:dyDescent="0.25">
      <c r="A60" t="s">
        <v>123</v>
      </c>
      <c r="B60" t="s">
        <v>49</v>
      </c>
      <c r="C60" t="s">
        <v>639</v>
      </c>
      <c r="D60">
        <v>2</v>
      </c>
    </row>
    <row r="61" spans="1:4" x14ac:dyDescent="0.25">
      <c r="A61" t="s">
        <v>123</v>
      </c>
      <c r="B61" t="s">
        <v>588</v>
      </c>
      <c r="C61" t="s">
        <v>640</v>
      </c>
      <c r="D61">
        <v>4</v>
      </c>
    </row>
    <row r="62" spans="1:4" x14ac:dyDescent="0.25">
      <c r="A62" t="s">
        <v>123</v>
      </c>
      <c r="B62" t="s">
        <v>641</v>
      </c>
      <c r="C62" t="s">
        <v>642</v>
      </c>
      <c r="D62">
        <v>2</v>
      </c>
    </row>
    <row r="63" spans="1:4" x14ac:dyDescent="0.25">
      <c r="A63" t="s">
        <v>123</v>
      </c>
      <c r="B63" t="s">
        <v>643</v>
      </c>
      <c r="C63" t="s">
        <v>644</v>
      </c>
      <c r="D63">
        <v>4</v>
      </c>
    </row>
    <row r="64" spans="1:4" x14ac:dyDescent="0.25">
      <c r="A64" t="s">
        <v>123</v>
      </c>
      <c r="B64" t="s">
        <v>645</v>
      </c>
      <c r="C64" t="s">
        <v>646</v>
      </c>
      <c r="D64">
        <v>2</v>
      </c>
    </row>
    <row r="65" spans="1:4" x14ac:dyDescent="0.25">
      <c r="A65" t="s">
        <v>123</v>
      </c>
      <c r="B65" t="s">
        <v>213</v>
      </c>
      <c r="C65" t="s">
        <v>647</v>
      </c>
      <c r="D65">
        <v>4</v>
      </c>
    </row>
    <row r="66" spans="1:4" x14ac:dyDescent="0.25">
      <c r="A66" t="s">
        <v>123</v>
      </c>
      <c r="B66" t="s">
        <v>648</v>
      </c>
      <c r="C66" t="s">
        <v>649</v>
      </c>
      <c r="D66">
        <v>3</v>
      </c>
    </row>
    <row r="67" spans="1:4" x14ac:dyDescent="0.25">
      <c r="A67" t="s">
        <v>123</v>
      </c>
      <c r="B67" t="s">
        <v>648</v>
      </c>
      <c r="C67" t="s">
        <v>650</v>
      </c>
      <c r="D67">
        <v>2</v>
      </c>
    </row>
    <row r="68" spans="1:4" x14ac:dyDescent="0.25">
      <c r="A68" t="s">
        <v>123</v>
      </c>
      <c r="B68" t="s">
        <v>651</v>
      </c>
      <c r="C68" t="s">
        <v>652</v>
      </c>
      <c r="D68">
        <v>1</v>
      </c>
    </row>
    <row r="69" spans="1:4" x14ac:dyDescent="0.25">
      <c r="A69" t="s">
        <v>123</v>
      </c>
      <c r="B69" t="s">
        <v>651</v>
      </c>
      <c r="C69" t="s">
        <v>653</v>
      </c>
      <c r="D69">
        <v>0</v>
      </c>
    </row>
    <row r="70" spans="1:4" x14ac:dyDescent="0.25">
      <c r="A70" t="s">
        <v>123</v>
      </c>
      <c r="B70" t="s">
        <v>654</v>
      </c>
      <c r="C70" t="s">
        <v>655</v>
      </c>
      <c r="D70">
        <v>1</v>
      </c>
    </row>
    <row r="71" spans="1:4" x14ac:dyDescent="0.25">
      <c r="A71" t="s">
        <v>123</v>
      </c>
      <c r="B71" t="s">
        <v>654</v>
      </c>
      <c r="C71" t="s">
        <v>656</v>
      </c>
      <c r="D71">
        <v>2</v>
      </c>
    </row>
    <row r="72" spans="1:4" x14ac:dyDescent="0.25">
      <c r="A72" t="s">
        <v>123</v>
      </c>
      <c r="B72" t="s">
        <v>62</v>
      </c>
      <c r="C72" t="s">
        <v>657</v>
      </c>
      <c r="D72">
        <v>0</v>
      </c>
    </row>
    <row r="73" spans="1:4" x14ac:dyDescent="0.25">
      <c r="A73" t="s">
        <v>123</v>
      </c>
      <c r="B73" t="s">
        <v>62</v>
      </c>
      <c r="C73" t="s">
        <v>658</v>
      </c>
      <c r="D73">
        <v>-1</v>
      </c>
    </row>
    <row r="74" spans="1:4" x14ac:dyDescent="0.25">
      <c r="A74" t="s">
        <v>123</v>
      </c>
      <c r="B74" t="s">
        <v>221</v>
      </c>
      <c r="C74" t="s">
        <v>659</v>
      </c>
      <c r="D74">
        <v>0</v>
      </c>
    </row>
    <row r="75" spans="1:4" x14ac:dyDescent="0.25">
      <c r="A75" t="s">
        <v>123</v>
      </c>
      <c r="B75" t="s">
        <v>221</v>
      </c>
      <c r="C75" t="s">
        <v>660</v>
      </c>
      <c r="D75">
        <v>1</v>
      </c>
    </row>
    <row r="76" spans="1:4" x14ac:dyDescent="0.25">
      <c r="A76" t="s">
        <v>123</v>
      </c>
      <c r="B76" t="s">
        <v>661</v>
      </c>
      <c r="C76" t="s">
        <v>662</v>
      </c>
      <c r="D76">
        <v>-1</v>
      </c>
    </row>
    <row r="77" spans="1:4" x14ac:dyDescent="0.25">
      <c r="A77" t="s">
        <v>123</v>
      </c>
      <c r="B77" t="s">
        <v>663</v>
      </c>
      <c r="C77" t="s">
        <v>664</v>
      </c>
      <c r="D77">
        <v>0</v>
      </c>
    </row>
    <row r="78" spans="1:4" x14ac:dyDescent="0.25">
      <c r="A78" t="s">
        <v>123</v>
      </c>
      <c r="B78" t="s">
        <v>663</v>
      </c>
      <c r="C78" t="s">
        <v>665</v>
      </c>
      <c r="D78">
        <v>1</v>
      </c>
    </row>
    <row r="79" spans="1:4" x14ac:dyDescent="0.25">
      <c r="A79" t="s">
        <v>123</v>
      </c>
      <c r="B79" t="s">
        <v>442</v>
      </c>
      <c r="C79" t="s">
        <v>666</v>
      </c>
      <c r="D79">
        <v>3</v>
      </c>
    </row>
    <row r="80" spans="1:4" x14ac:dyDescent="0.25">
      <c r="A80" t="s">
        <v>123</v>
      </c>
      <c r="B80" t="s">
        <v>667</v>
      </c>
      <c r="C80" t="s">
        <v>668</v>
      </c>
      <c r="D80">
        <v>2</v>
      </c>
    </row>
    <row r="81" spans="1:4" x14ac:dyDescent="0.25">
      <c r="A81" t="s">
        <v>123</v>
      </c>
      <c r="B81" t="s">
        <v>414</v>
      </c>
      <c r="C81" t="s">
        <v>669</v>
      </c>
      <c r="D81">
        <v>3</v>
      </c>
    </row>
    <row r="82" spans="1:4" x14ac:dyDescent="0.25">
      <c r="A82" t="s">
        <v>123</v>
      </c>
      <c r="B82" t="s">
        <v>414</v>
      </c>
      <c r="C82" t="s">
        <v>670</v>
      </c>
      <c r="D82">
        <v>4</v>
      </c>
    </row>
    <row r="83" spans="1:4" x14ac:dyDescent="0.25">
      <c r="A83" t="s">
        <v>123</v>
      </c>
      <c r="B83" t="s">
        <v>671</v>
      </c>
      <c r="C83" t="s">
        <v>672</v>
      </c>
      <c r="D83">
        <v>2</v>
      </c>
    </row>
    <row r="84" spans="1:4" x14ac:dyDescent="0.25">
      <c r="A84" t="s">
        <v>123</v>
      </c>
      <c r="B84" t="s">
        <v>673</v>
      </c>
      <c r="C84" t="s">
        <v>674</v>
      </c>
      <c r="D84">
        <v>4</v>
      </c>
    </row>
    <row r="85" spans="1:4" x14ac:dyDescent="0.25">
      <c r="A85" t="s">
        <v>123</v>
      </c>
      <c r="B85" t="s">
        <v>675</v>
      </c>
      <c r="C85" t="s">
        <v>676</v>
      </c>
      <c r="D85">
        <v>5</v>
      </c>
    </row>
    <row r="86" spans="1:4" x14ac:dyDescent="0.25">
      <c r="A86" t="s">
        <v>123</v>
      </c>
      <c r="B86" t="s">
        <v>675</v>
      </c>
      <c r="C86" t="s">
        <v>677</v>
      </c>
      <c r="D86">
        <v>6</v>
      </c>
    </row>
    <row r="87" spans="1:4" x14ac:dyDescent="0.25">
      <c r="A87" t="s">
        <v>123</v>
      </c>
      <c r="B87" t="s">
        <v>481</v>
      </c>
      <c r="C87" t="s">
        <v>678</v>
      </c>
      <c r="D87">
        <v>7</v>
      </c>
    </row>
    <row r="88" spans="1:4" x14ac:dyDescent="0.25">
      <c r="A88" t="s">
        <v>123</v>
      </c>
      <c r="B88" t="s">
        <v>481</v>
      </c>
      <c r="C88" t="s">
        <v>679</v>
      </c>
      <c r="D88">
        <v>8</v>
      </c>
    </row>
    <row r="89" spans="1:4" x14ac:dyDescent="0.25">
      <c r="A89" t="s">
        <v>123</v>
      </c>
      <c r="B89" t="s">
        <v>322</v>
      </c>
      <c r="C89" t="s">
        <v>680</v>
      </c>
      <c r="D89">
        <v>7</v>
      </c>
    </row>
    <row r="90" spans="1:4" x14ac:dyDescent="0.25">
      <c r="A90" t="s">
        <v>123</v>
      </c>
      <c r="B90" t="s">
        <v>681</v>
      </c>
      <c r="C90" t="s">
        <v>682</v>
      </c>
      <c r="D90">
        <v>6</v>
      </c>
    </row>
    <row r="91" spans="1:4" x14ac:dyDescent="0.25">
      <c r="A91" t="s">
        <v>123</v>
      </c>
      <c r="B91" t="s">
        <v>683</v>
      </c>
      <c r="C91" t="s">
        <v>684</v>
      </c>
      <c r="D91">
        <v>7</v>
      </c>
    </row>
    <row r="92" spans="1:4" x14ac:dyDescent="0.25">
      <c r="A92" t="s">
        <v>123</v>
      </c>
      <c r="B92" t="s">
        <v>38</v>
      </c>
      <c r="C92" t="s">
        <v>685</v>
      </c>
      <c r="D92">
        <v>9</v>
      </c>
    </row>
    <row r="93" spans="1:4" x14ac:dyDescent="0.25">
      <c r="A93" t="s">
        <v>123</v>
      </c>
      <c r="B93" t="s">
        <v>38</v>
      </c>
      <c r="C93" t="s">
        <v>686</v>
      </c>
      <c r="D93">
        <v>6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-0.45652173913043476</v>
      </c>
    </row>
    <row r="97" spans="1:4" x14ac:dyDescent="0.25">
      <c r="A97" t="s">
        <v>159</v>
      </c>
      <c r="D97">
        <f>MAX(D2:D93)</f>
        <v>9</v>
      </c>
    </row>
    <row r="98" spans="1:4" x14ac:dyDescent="0.25">
      <c r="A98" t="s">
        <v>160</v>
      </c>
      <c r="D98">
        <f>MIN(D2:D93)</f>
        <v>-9</v>
      </c>
    </row>
    <row r="99" spans="1:4" x14ac:dyDescent="0.25">
      <c r="A99" t="s">
        <v>161</v>
      </c>
      <c r="D99">
        <f>COUNTIF(D2:D93,"&gt;0")</f>
        <v>42</v>
      </c>
    </row>
    <row r="100" spans="1:4" x14ac:dyDescent="0.25">
      <c r="A100" t="s">
        <v>162</v>
      </c>
      <c r="D100">
        <f>COUNTIF(D2:D93,"=0")</f>
        <v>9</v>
      </c>
    </row>
    <row r="101" spans="1:4" x14ac:dyDescent="0.25">
      <c r="A101" t="s">
        <v>687</v>
      </c>
      <c r="D101">
        <f>COUNTIF(D2:D93,"&lt;0")</f>
        <v>41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AVERAGE(D2,D3,D4,D5,D6,D7,D8,D9,D10,D11,D12,D13,D14,D15,D16,D17,D18,D19)</f>
        <v>-0.33333333333333331</v>
      </c>
    </row>
    <row r="105" spans="1:4" x14ac:dyDescent="0.25">
      <c r="A105" t="s">
        <v>166</v>
      </c>
      <c r="D105">
        <f>AVERAGE(D20,D21,D22,D23,D24,D25,D26,D27,D28,D29,D30,D31,D32,D33,D34,D35,D36,D37,D38,D39,D40)</f>
        <v>-4.1428571428571432</v>
      </c>
    </row>
    <row r="106" spans="1:4" x14ac:dyDescent="0.25">
      <c r="A106" t="s">
        <v>167</v>
      </c>
      <c r="D106">
        <f>AVERAGE(D41,D42,D43,D44,D45,D46,D47,D48,D49,D50,D51,D52,D53,D54,D55,D56,D57,D58)</f>
        <v>-3.2777777777777777</v>
      </c>
    </row>
    <row r="107" spans="1:4" x14ac:dyDescent="0.25">
      <c r="A107" t="s">
        <v>168</v>
      </c>
      <c r="D107">
        <f>AVERAGE(D59,D60,D61,D62,D63,D64,D65,D66,D67,D68,D69,D70,D71,D72,D73,D74,D75,D76,D77,D78,D79,D80,D81,D82,D83,D84,D85,D86,D87,D88,D89,D90,D91,D92,D93)</f>
        <v>3.1428571428571428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124</v>
      </c>
      <c r="C2" t="s">
        <v>171</v>
      </c>
      <c r="D2">
        <v>3</v>
      </c>
    </row>
    <row r="3" spans="1:4" x14ac:dyDescent="0.25">
      <c r="A3" t="s">
        <v>4</v>
      </c>
      <c r="B3" t="s">
        <v>689</v>
      </c>
      <c r="C3" t="s">
        <v>690</v>
      </c>
      <c r="D3">
        <v>6</v>
      </c>
    </row>
    <row r="4" spans="1:4" x14ac:dyDescent="0.25">
      <c r="A4" t="s">
        <v>4</v>
      </c>
      <c r="B4" t="s">
        <v>691</v>
      </c>
      <c r="C4" t="s">
        <v>692</v>
      </c>
      <c r="D4">
        <v>3</v>
      </c>
    </row>
    <row r="5" spans="1:4" x14ac:dyDescent="0.25">
      <c r="A5" t="s">
        <v>4</v>
      </c>
      <c r="B5" t="s">
        <v>693</v>
      </c>
      <c r="C5" t="s">
        <v>694</v>
      </c>
      <c r="D5">
        <v>5</v>
      </c>
    </row>
    <row r="6" spans="1:4" x14ac:dyDescent="0.25">
      <c r="A6" t="s">
        <v>4</v>
      </c>
      <c r="B6" t="s">
        <v>588</v>
      </c>
      <c r="C6" t="s">
        <v>695</v>
      </c>
      <c r="D6">
        <v>3</v>
      </c>
    </row>
    <row r="7" spans="1:4" x14ac:dyDescent="0.25">
      <c r="A7" t="s">
        <v>4</v>
      </c>
      <c r="B7" t="s">
        <v>274</v>
      </c>
      <c r="C7" t="s">
        <v>696</v>
      </c>
      <c r="D7">
        <v>1</v>
      </c>
    </row>
    <row r="8" spans="1:4" x14ac:dyDescent="0.25">
      <c r="A8" t="s">
        <v>4</v>
      </c>
      <c r="B8" t="s">
        <v>572</v>
      </c>
      <c r="C8" t="s">
        <v>697</v>
      </c>
      <c r="D8">
        <v>-1</v>
      </c>
    </row>
    <row r="9" spans="1:4" x14ac:dyDescent="0.25">
      <c r="A9" t="s">
        <v>4</v>
      </c>
      <c r="B9" t="s">
        <v>698</v>
      </c>
      <c r="C9" t="s">
        <v>699</v>
      </c>
      <c r="D9">
        <v>1</v>
      </c>
    </row>
    <row r="10" spans="1:4" x14ac:dyDescent="0.25">
      <c r="A10" t="s">
        <v>4</v>
      </c>
      <c r="B10" t="s">
        <v>698</v>
      </c>
      <c r="C10" t="s">
        <v>573</v>
      </c>
      <c r="D10">
        <v>2</v>
      </c>
    </row>
    <row r="11" spans="1:4" x14ac:dyDescent="0.25">
      <c r="A11" t="s">
        <v>4</v>
      </c>
      <c r="B11" t="s">
        <v>499</v>
      </c>
      <c r="C11" t="s">
        <v>574</v>
      </c>
      <c r="D11">
        <v>0</v>
      </c>
    </row>
    <row r="12" spans="1:4" x14ac:dyDescent="0.25">
      <c r="A12" t="s">
        <v>4</v>
      </c>
      <c r="B12" t="s">
        <v>700</v>
      </c>
      <c r="C12" t="s">
        <v>441</v>
      </c>
      <c r="D12">
        <v>-2</v>
      </c>
    </row>
    <row r="13" spans="1:4" x14ac:dyDescent="0.25">
      <c r="A13" t="s">
        <v>4</v>
      </c>
      <c r="B13" t="s">
        <v>701</v>
      </c>
      <c r="C13" t="s">
        <v>443</v>
      </c>
      <c r="D13">
        <v>0</v>
      </c>
    </row>
    <row r="14" spans="1:4" x14ac:dyDescent="0.25">
      <c r="A14" t="s">
        <v>4</v>
      </c>
      <c r="B14" t="s">
        <v>702</v>
      </c>
      <c r="C14" t="s">
        <v>703</v>
      </c>
      <c r="D14">
        <v>-3</v>
      </c>
    </row>
    <row r="15" spans="1:4" x14ac:dyDescent="0.25">
      <c r="A15" t="s">
        <v>4</v>
      </c>
      <c r="B15" t="s">
        <v>704</v>
      </c>
      <c r="C15" t="s">
        <v>705</v>
      </c>
      <c r="D15">
        <v>-1</v>
      </c>
    </row>
    <row r="16" spans="1:4" x14ac:dyDescent="0.25">
      <c r="A16" t="s">
        <v>4</v>
      </c>
      <c r="B16" t="s">
        <v>706</v>
      </c>
      <c r="C16" t="s">
        <v>707</v>
      </c>
      <c r="D16">
        <v>1</v>
      </c>
    </row>
    <row r="17" spans="1:4" x14ac:dyDescent="0.25">
      <c r="A17" t="s">
        <v>4</v>
      </c>
      <c r="B17" t="s">
        <v>267</v>
      </c>
      <c r="C17" t="s">
        <v>708</v>
      </c>
      <c r="D17">
        <v>3</v>
      </c>
    </row>
    <row r="18" spans="1:4" x14ac:dyDescent="0.25">
      <c r="A18" t="s">
        <v>4</v>
      </c>
      <c r="B18" t="s">
        <v>709</v>
      </c>
      <c r="C18" t="s">
        <v>583</v>
      </c>
      <c r="D18">
        <v>1</v>
      </c>
    </row>
    <row r="19" spans="1:4" x14ac:dyDescent="0.25">
      <c r="A19" t="s">
        <v>4</v>
      </c>
      <c r="B19" t="s">
        <v>31</v>
      </c>
      <c r="C19" t="s">
        <v>331</v>
      </c>
      <c r="D19">
        <v>3</v>
      </c>
    </row>
    <row r="20" spans="1:4" x14ac:dyDescent="0.25">
      <c r="A20" t="s">
        <v>4</v>
      </c>
      <c r="B20" t="s">
        <v>710</v>
      </c>
      <c r="C20" t="s">
        <v>711</v>
      </c>
      <c r="D20">
        <v>1</v>
      </c>
    </row>
    <row r="21" spans="1:4" x14ac:dyDescent="0.25">
      <c r="A21" t="s">
        <v>4</v>
      </c>
      <c r="B21" t="s">
        <v>582</v>
      </c>
      <c r="C21" t="s">
        <v>712</v>
      </c>
      <c r="D21">
        <v>3</v>
      </c>
    </row>
    <row r="22" spans="1:4" x14ac:dyDescent="0.25">
      <c r="A22" t="s">
        <v>4</v>
      </c>
      <c r="B22" t="s">
        <v>537</v>
      </c>
      <c r="C22" t="s">
        <v>713</v>
      </c>
      <c r="D22">
        <v>5</v>
      </c>
    </row>
    <row r="23" spans="1:4" x14ac:dyDescent="0.25">
      <c r="A23" t="s">
        <v>40</v>
      </c>
      <c r="B23" t="s">
        <v>714</v>
      </c>
      <c r="C23" t="s">
        <v>715</v>
      </c>
      <c r="D23">
        <v>7</v>
      </c>
    </row>
    <row r="24" spans="1:4" x14ac:dyDescent="0.25">
      <c r="A24" t="s">
        <v>40</v>
      </c>
      <c r="B24" t="s">
        <v>716</v>
      </c>
      <c r="C24" t="s">
        <v>717</v>
      </c>
      <c r="D24">
        <v>4</v>
      </c>
    </row>
    <row r="25" spans="1:4" x14ac:dyDescent="0.25">
      <c r="A25" t="s">
        <v>40</v>
      </c>
      <c r="B25" t="s">
        <v>83</v>
      </c>
      <c r="C25" t="s">
        <v>718</v>
      </c>
      <c r="D25">
        <v>1</v>
      </c>
    </row>
    <row r="26" spans="1:4" x14ac:dyDescent="0.25">
      <c r="A26" t="s">
        <v>40</v>
      </c>
      <c r="B26" t="s">
        <v>719</v>
      </c>
      <c r="C26" t="s">
        <v>720</v>
      </c>
      <c r="D26">
        <v>4</v>
      </c>
    </row>
    <row r="27" spans="1:4" x14ac:dyDescent="0.25">
      <c r="A27" t="s">
        <v>40</v>
      </c>
      <c r="B27" t="s">
        <v>721</v>
      </c>
      <c r="C27" t="s">
        <v>722</v>
      </c>
      <c r="D27">
        <v>3</v>
      </c>
    </row>
    <row r="28" spans="1:4" x14ac:dyDescent="0.25">
      <c r="A28" t="s">
        <v>40</v>
      </c>
      <c r="B28" t="s">
        <v>721</v>
      </c>
      <c r="C28" t="s">
        <v>343</v>
      </c>
      <c r="D28">
        <v>2</v>
      </c>
    </row>
    <row r="29" spans="1:4" x14ac:dyDescent="0.25">
      <c r="A29" t="s">
        <v>40</v>
      </c>
      <c r="B29" t="s">
        <v>723</v>
      </c>
      <c r="C29" t="s">
        <v>222</v>
      </c>
      <c r="D29">
        <v>4</v>
      </c>
    </row>
    <row r="30" spans="1:4" x14ac:dyDescent="0.25">
      <c r="A30" t="s">
        <v>40</v>
      </c>
      <c r="B30" t="s">
        <v>724</v>
      </c>
      <c r="C30" t="s">
        <v>725</v>
      </c>
      <c r="D30">
        <v>1</v>
      </c>
    </row>
    <row r="31" spans="1:4" x14ac:dyDescent="0.25">
      <c r="A31" t="s">
        <v>40</v>
      </c>
      <c r="B31" t="s">
        <v>726</v>
      </c>
      <c r="C31" t="s">
        <v>727</v>
      </c>
      <c r="D31">
        <v>4</v>
      </c>
    </row>
    <row r="32" spans="1:4" x14ac:dyDescent="0.25">
      <c r="A32" t="s">
        <v>40</v>
      </c>
      <c r="B32" t="s">
        <v>435</v>
      </c>
      <c r="C32" t="s">
        <v>728</v>
      </c>
      <c r="D32">
        <v>2</v>
      </c>
    </row>
    <row r="33" spans="1:4" x14ac:dyDescent="0.25">
      <c r="A33" t="s">
        <v>40</v>
      </c>
      <c r="B33" t="s">
        <v>729</v>
      </c>
      <c r="C33" t="s">
        <v>730</v>
      </c>
      <c r="D33">
        <v>0</v>
      </c>
    </row>
    <row r="34" spans="1:4" x14ac:dyDescent="0.25">
      <c r="A34" t="s">
        <v>40</v>
      </c>
      <c r="B34" t="s">
        <v>70</v>
      </c>
      <c r="C34" t="s">
        <v>731</v>
      </c>
      <c r="D34">
        <v>-2</v>
      </c>
    </row>
    <row r="35" spans="1:4" x14ac:dyDescent="0.25">
      <c r="A35" t="s">
        <v>40</v>
      </c>
      <c r="B35" t="s">
        <v>29</v>
      </c>
      <c r="C35" t="s">
        <v>476</v>
      </c>
      <c r="D35">
        <v>1</v>
      </c>
    </row>
    <row r="36" spans="1:4" x14ac:dyDescent="0.25">
      <c r="A36" t="s">
        <v>40</v>
      </c>
      <c r="B36" t="s">
        <v>732</v>
      </c>
      <c r="C36" t="s">
        <v>238</v>
      </c>
      <c r="D36">
        <v>-2</v>
      </c>
    </row>
    <row r="37" spans="1:4" x14ac:dyDescent="0.25">
      <c r="A37" t="s">
        <v>40</v>
      </c>
      <c r="B37" t="s">
        <v>322</v>
      </c>
      <c r="C37" t="s">
        <v>733</v>
      </c>
      <c r="D37">
        <v>0</v>
      </c>
    </row>
    <row r="38" spans="1:4" x14ac:dyDescent="0.25">
      <c r="A38" t="s">
        <v>40</v>
      </c>
      <c r="B38" t="s">
        <v>396</v>
      </c>
      <c r="C38" t="s">
        <v>734</v>
      </c>
      <c r="D38">
        <v>2</v>
      </c>
    </row>
    <row r="39" spans="1:4" x14ac:dyDescent="0.25">
      <c r="A39" t="s">
        <v>80</v>
      </c>
      <c r="B39" t="s">
        <v>239</v>
      </c>
      <c r="C39" t="s">
        <v>735</v>
      </c>
      <c r="D39">
        <v>3</v>
      </c>
    </row>
    <row r="40" spans="1:4" x14ac:dyDescent="0.25">
      <c r="A40" t="s">
        <v>80</v>
      </c>
      <c r="B40" t="s">
        <v>565</v>
      </c>
      <c r="C40" t="s">
        <v>482</v>
      </c>
      <c r="D40">
        <v>1</v>
      </c>
    </row>
    <row r="41" spans="1:4" x14ac:dyDescent="0.25">
      <c r="A41" t="s">
        <v>80</v>
      </c>
      <c r="B41" t="s">
        <v>87</v>
      </c>
      <c r="C41" t="s">
        <v>484</v>
      </c>
      <c r="D41">
        <v>3</v>
      </c>
    </row>
    <row r="42" spans="1:4" x14ac:dyDescent="0.25">
      <c r="A42" t="s">
        <v>80</v>
      </c>
      <c r="B42" t="s">
        <v>590</v>
      </c>
      <c r="C42" t="s">
        <v>736</v>
      </c>
      <c r="D42">
        <v>1</v>
      </c>
    </row>
    <row r="43" spans="1:4" x14ac:dyDescent="0.25">
      <c r="A43" t="s">
        <v>80</v>
      </c>
      <c r="B43" t="s">
        <v>737</v>
      </c>
      <c r="C43" t="s">
        <v>738</v>
      </c>
      <c r="D43">
        <v>-1</v>
      </c>
    </row>
    <row r="44" spans="1:4" x14ac:dyDescent="0.25">
      <c r="A44" t="s">
        <v>80</v>
      </c>
      <c r="B44" t="s">
        <v>366</v>
      </c>
      <c r="C44" t="s">
        <v>739</v>
      </c>
      <c r="D44">
        <v>-4</v>
      </c>
    </row>
    <row r="45" spans="1:4" x14ac:dyDescent="0.25">
      <c r="A45" t="s">
        <v>80</v>
      </c>
      <c r="B45" t="s">
        <v>740</v>
      </c>
      <c r="C45" t="s">
        <v>741</v>
      </c>
      <c r="D45">
        <v>-3</v>
      </c>
    </row>
    <row r="46" spans="1:4" x14ac:dyDescent="0.25">
      <c r="A46" t="s">
        <v>80</v>
      </c>
      <c r="B46" t="s">
        <v>740</v>
      </c>
      <c r="C46" t="s">
        <v>742</v>
      </c>
      <c r="D46">
        <v>-2</v>
      </c>
    </row>
    <row r="47" spans="1:4" x14ac:dyDescent="0.25">
      <c r="A47" t="s">
        <v>80</v>
      </c>
      <c r="B47" t="s">
        <v>743</v>
      </c>
      <c r="C47" t="s">
        <v>744</v>
      </c>
      <c r="D47">
        <v>-1</v>
      </c>
    </row>
    <row r="48" spans="1:4" x14ac:dyDescent="0.25">
      <c r="A48" t="s">
        <v>80</v>
      </c>
      <c r="B48" t="s">
        <v>743</v>
      </c>
      <c r="C48" t="s">
        <v>745</v>
      </c>
      <c r="D48">
        <v>0</v>
      </c>
    </row>
    <row r="49" spans="1:4" x14ac:dyDescent="0.25">
      <c r="A49" t="s">
        <v>80</v>
      </c>
      <c r="B49" t="s">
        <v>746</v>
      </c>
      <c r="C49" t="s">
        <v>264</v>
      </c>
      <c r="D49">
        <v>-3</v>
      </c>
    </row>
    <row r="50" spans="1:4" x14ac:dyDescent="0.25">
      <c r="A50" t="s">
        <v>80</v>
      </c>
      <c r="B50" t="s">
        <v>747</v>
      </c>
      <c r="C50" t="s">
        <v>748</v>
      </c>
      <c r="D50">
        <v>0</v>
      </c>
    </row>
    <row r="51" spans="1:4" x14ac:dyDescent="0.25">
      <c r="A51" t="s">
        <v>80</v>
      </c>
      <c r="B51" t="s">
        <v>749</v>
      </c>
      <c r="C51" t="s">
        <v>750</v>
      </c>
      <c r="D51">
        <v>-3</v>
      </c>
    </row>
    <row r="52" spans="1:4" x14ac:dyDescent="0.25">
      <c r="A52" t="s">
        <v>80</v>
      </c>
      <c r="B52" t="s">
        <v>196</v>
      </c>
      <c r="C52" t="s">
        <v>751</v>
      </c>
      <c r="D52">
        <v>-1</v>
      </c>
    </row>
    <row r="53" spans="1:4" x14ac:dyDescent="0.25">
      <c r="A53" t="s">
        <v>80</v>
      </c>
      <c r="B53" t="s">
        <v>671</v>
      </c>
      <c r="C53" t="s">
        <v>385</v>
      </c>
      <c r="D53">
        <v>0</v>
      </c>
    </row>
    <row r="54" spans="1:4" x14ac:dyDescent="0.25">
      <c r="A54" t="s">
        <v>80</v>
      </c>
      <c r="B54" t="s">
        <v>671</v>
      </c>
      <c r="C54" t="s">
        <v>752</v>
      </c>
      <c r="D54">
        <v>1</v>
      </c>
    </row>
    <row r="55" spans="1:4" x14ac:dyDescent="0.25">
      <c r="A55" t="s">
        <v>80</v>
      </c>
      <c r="B55" t="s">
        <v>581</v>
      </c>
      <c r="C55" t="s">
        <v>753</v>
      </c>
      <c r="D55">
        <v>-1</v>
      </c>
    </row>
    <row r="56" spans="1:4" x14ac:dyDescent="0.25">
      <c r="A56" t="s">
        <v>80</v>
      </c>
      <c r="B56" t="s">
        <v>581</v>
      </c>
      <c r="C56" t="s">
        <v>754</v>
      </c>
      <c r="D56">
        <v>-2</v>
      </c>
    </row>
    <row r="57" spans="1:4" x14ac:dyDescent="0.25">
      <c r="A57" t="s">
        <v>80</v>
      </c>
      <c r="B57" t="s">
        <v>235</v>
      </c>
      <c r="C57" t="s">
        <v>391</v>
      </c>
      <c r="D57">
        <v>1</v>
      </c>
    </row>
    <row r="58" spans="1:4" x14ac:dyDescent="0.25">
      <c r="A58" t="s">
        <v>123</v>
      </c>
      <c r="B58" t="s">
        <v>124</v>
      </c>
      <c r="C58" t="s">
        <v>755</v>
      </c>
      <c r="D58">
        <v>-1</v>
      </c>
    </row>
    <row r="59" spans="1:4" x14ac:dyDescent="0.25">
      <c r="A59" t="s">
        <v>123</v>
      </c>
      <c r="B59" t="s">
        <v>124</v>
      </c>
      <c r="C59" t="s">
        <v>756</v>
      </c>
      <c r="D59">
        <v>-2</v>
      </c>
    </row>
    <row r="60" spans="1:4" x14ac:dyDescent="0.25">
      <c r="A60" t="s">
        <v>123</v>
      </c>
      <c r="B60" t="s">
        <v>757</v>
      </c>
      <c r="C60" t="s">
        <v>278</v>
      </c>
      <c r="D60">
        <v>-4</v>
      </c>
    </row>
    <row r="61" spans="1:4" x14ac:dyDescent="0.25">
      <c r="A61" t="s">
        <v>123</v>
      </c>
      <c r="B61" t="s">
        <v>208</v>
      </c>
      <c r="C61" t="s">
        <v>758</v>
      </c>
      <c r="D61">
        <v>-2</v>
      </c>
    </row>
    <row r="62" spans="1:4" x14ac:dyDescent="0.25">
      <c r="A62" t="s">
        <v>123</v>
      </c>
      <c r="B62" t="s">
        <v>759</v>
      </c>
      <c r="C62" t="s">
        <v>507</v>
      </c>
      <c r="D62">
        <v>0</v>
      </c>
    </row>
    <row r="63" spans="1:4" x14ac:dyDescent="0.25">
      <c r="A63" t="s">
        <v>123</v>
      </c>
      <c r="B63" t="s">
        <v>333</v>
      </c>
      <c r="C63" t="s">
        <v>760</v>
      </c>
      <c r="D63">
        <v>3</v>
      </c>
    </row>
    <row r="64" spans="1:4" x14ac:dyDescent="0.25">
      <c r="A64" t="s">
        <v>123</v>
      </c>
      <c r="B64" t="s">
        <v>698</v>
      </c>
      <c r="C64" t="s">
        <v>761</v>
      </c>
      <c r="D64">
        <v>5</v>
      </c>
    </row>
    <row r="65" spans="1:4" x14ac:dyDescent="0.25">
      <c r="A65" t="s">
        <v>123</v>
      </c>
      <c r="B65" t="s">
        <v>19</v>
      </c>
      <c r="C65" t="s">
        <v>650</v>
      </c>
      <c r="D65">
        <v>2</v>
      </c>
    </row>
    <row r="66" spans="1:4" x14ac:dyDescent="0.25">
      <c r="A66" t="s">
        <v>123</v>
      </c>
      <c r="B66" t="s">
        <v>762</v>
      </c>
      <c r="C66" t="s">
        <v>763</v>
      </c>
      <c r="D66">
        <v>5</v>
      </c>
    </row>
    <row r="67" spans="1:4" x14ac:dyDescent="0.25">
      <c r="A67" t="s">
        <v>123</v>
      </c>
      <c r="B67" t="s">
        <v>764</v>
      </c>
      <c r="C67" t="s">
        <v>765</v>
      </c>
      <c r="D67">
        <v>7</v>
      </c>
    </row>
    <row r="68" spans="1:4" x14ac:dyDescent="0.25">
      <c r="A68" t="s">
        <v>123</v>
      </c>
      <c r="B68" t="s">
        <v>766</v>
      </c>
      <c r="C68" t="s">
        <v>767</v>
      </c>
      <c r="D68">
        <v>9</v>
      </c>
    </row>
    <row r="69" spans="1:4" x14ac:dyDescent="0.25">
      <c r="A69" t="s">
        <v>123</v>
      </c>
      <c r="B69" t="s">
        <v>544</v>
      </c>
      <c r="C69" t="s">
        <v>768</v>
      </c>
      <c r="D69">
        <v>6</v>
      </c>
    </row>
    <row r="70" spans="1:4" x14ac:dyDescent="0.25">
      <c r="A70" t="s">
        <v>123</v>
      </c>
      <c r="B70" t="s">
        <v>552</v>
      </c>
      <c r="C70" t="s">
        <v>769</v>
      </c>
      <c r="D70">
        <v>3</v>
      </c>
    </row>
    <row r="71" spans="1:4" x14ac:dyDescent="0.25">
      <c r="A71" t="s">
        <v>123</v>
      </c>
      <c r="B71" t="s">
        <v>675</v>
      </c>
      <c r="C71" t="s">
        <v>419</v>
      </c>
      <c r="D71">
        <v>5</v>
      </c>
    </row>
    <row r="72" spans="1:4" x14ac:dyDescent="0.25">
      <c r="A72" t="s">
        <v>123</v>
      </c>
      <c r="B72" t="s">
        <v>422</v>
      </c>
      <c r="C72" t="s">
        <v>420</v>
      </c>
      <c r="D72">
        <v>7</v>
      </c>
    </row>
    <row r="73" spans="1:4" x14ac:dyDescent="0.25">
      <c r="A73" t="s">
        <v>123</v>
      </c>
      <c r="B73" t="s">
        <v>770</v>
      </c>
      <c r="C73" t="s">
        <v>771</v>
      </c>
      <c r="D73">
        <v>4</v>
      </c>
    </row>
    <row r="74" spans="1:4" x14ac:dyDescent="0.25">
      <c r="A74" t="s">
        <v>123</v>
      </c>
      <c r="B74" t="s">
        <v>772</v>
      </c>
      <c r="C74" t="s">
        <v>773</v>
      </c>
      <c r="D74">
        <v>5</v>
      </c>
    </row>
    <row r="75" spans="1:4" x14ac:dyDescent="0.25">
      <c r="A75" t="s">
        <v>123</v>
      </c>
      <c r="B75" t="s">
        <v>772</v>
      </c>
      <c r="C75" t="s">
        <v>774</v>
      </c>
      <c r="D75">
        <v>6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1.5135135135135136</v>
      </c>
    </row>
    <row r="79" spans="1:4" x14ac:dyDescent="0.25">
      <c r="A79" t="s">
        <v>159</v>
      </c>
      <c r="D79">
        <f>MAX(D2:D75)</f>
        <v>9</v>
      </c>
    </row>
    <row r="80" spans="1:4" x14ac:dyDescent="0.25">
      <c r="A80" t="s">
        <v>160</v>
      </c>
      <c r="D80">
        <f>MIN(D2:D75)</f>
        <v>-4</v>
      </c>
    </row>
    <row r="81" spans="1:4" x14ac:dyDescent="0.25">
      <c r="A81" t="s">
        <v>161</v>
      </c>
      <c r="D81">
        <f>COUNTIF(D2:D75,"&gt;0")</f>
        <v>46</v>
      </c>
    </row>
    <row r="82" spans="1:4" x14ac:dyDescent="0.25">
      <c r="A82" t="s">
        <v>162</v>
      </c>
      <c r="D82">
        <f>COUNTIF(D2:D75,"=0")</f>
        <v>8</v>
      </c>
    </row>
    <row r="83" spans="1:4" x14ac:dyDescent="0.25">
      <c r="A83" t="s">
        <v>775</v>
      </c>
      <c r="D83">
        <f>COUNTIF(D2:D75,"&lt;0")</f>
        <v>20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AVERAGE(D2,D3,D4,D5,D6,D7,D8,D9,D10,D11,D12,D13,D14,D15,D16,D17,D18,D19,D20,D21,D22)</f>
        <v>1.6190476190476191</v>
      </c>
    </row>
    <row r="87" spans="1:4" x14ac:dyDescent="0.25">
      <c r="A87" t="s">
        <v>166</v>
      </c>
      <c r="D87">
        <f>AVERAGE(D23,D24,D25,D26,D27,D28,D29,D30,D31,D32,D33,D34,D35,D36,D37,D38)</f>
        <v>1.9375</v>
      </c>
    </row>
    <row r="88" spans="1:4" x14ac:dyDescent="0.25">
      <c r="A88" t="s">
        <v>167</v>
      </c>
      <c r="D88">
        <f>AVERAGE(D39,D40,D41,D42,D43,D44,D45,D46,D47,D48,D49,D50,D51,D52,D53,D54,D55,D56,D57)</f>
        <v>-0.57894736842105265</v>
      </c>
    </row>
    <row r="89" spans="1:4" x14ac:dyDescent="0.25">
      <c r="A89" t="s">
        <v>168</v>
      </c>
      <c r="D89">
        <f>AVERAGE(D58,D59,D60,D61,D62,D63,D64,D65,D66,D67,D68,D69,D70,D71,D72,D73,D74,D75)</f>
        <v>3.2222222222222223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776</v>
      </c>
    </row>
    <row r="2" spans="1:4" x14ac:dyDescent="0.25">
      <c r="A2" t="s">
        <v>4</v>
      </c>
      <c r="B2" t="s">
        <v>777</v>
      </c>
      <c r="C2" t="s">
        <v>6</v>
      </c>
      <c r="D2">
        <v>2</v>
      </c>
    </row>
    <row r="3" spans="1:4" x14ac:dyDescent="0.25">
      <c r="A3" t="s">
        <v>4</v>
      </c>
      <c r="B3" t="s">
        <v>719</v>
      </c>
      <c r="C3" t="s">
        <v>8</v>
      </c>
      <c r="D3">
        <v>0</v>
      </c>
    </row>
    <row r="4" spans="1:4" x14ac:dyDescent="0.25">
      <c r="A4" t="s">
        <v>4</v>
      </c>
      <c r="B4" t="s">
        <v>9</v>
      </c>
      <c r="C4" t="s">
        <v>564</v>
      </c>
      <c r="D4">
        <v>2</v>
      </c>
    </row>
    <row r="5" spans="1:4" x14ac:dyDescent="0.25">
      <c r="A5" t="s">
        <v>4</v>
      </c>
      <c r="B5" t="s">
        <v>778</v>
      </c>
      <c r="C5" t="s">
        <v>308</v>
      </c>
      <c r="D5">
        <v>1</v>
      </c>
    </row>
    <row r="6" spans="1:4" x14ac:dyDescent="0.25">
      <c r="A6" t="s">
        <v>4</v>
      </c>
      <c r="B6" t="s">
        <v>400</v>
      </c>
      <c r="C6" t="s">
        <v>692</v>
      </c>
      <c r="D6">
        <v>3</v>
      </c>
    </row>
    <row r="7" spans="1:4" x14ac:dyDescent="0.25">
      <c r="A7" t="s">
        <v>4</v>
      </c>
      <c r="B7" t="s">
        <v>779</v>
      </c>
      <c r="C7" t="s">
        <v>780</v>
      </c>
      <c r="D7">
        <v>6</v>
      </c>
    </row>
    <row r="8" spans="1:4" x14ac:dyDescent="0.25">
      <c r="A8" t="s">
        <v>4</v>
      </c>
      <c r="B8" t="s">
        <v>517</v>
      </c>
      <c r="C8" t="s">
        <v>781</v>
      </c>
      <c r="D8">
        <v>7</v>
      </c>
    </row>
    <row r="9" spans="1:4" x14ac:dyDescent="0.25">
      <c r="A9" t="s">
        <v>4</v>
      </c>
      <c r="B9" t="s">
        <v>284</v>
      </c>
      <c r="C9" t="s">
        <v>782</v>
      </c>
      <c r="D9">
        <v>9</v>
      </c>
    </row>
    <row r="10" spans="1:4" x14ac:dyDescent="0.25">
      <c r="A10" t="s">
        <v>4</v>
      </c>
      <c r="B10" t="s">
        <v>315</v>
      </c>
      <c r="C10" t="s">
        <v>783</v>
      </c>
      <c r="D10">
        <v>7</v>
      </c>
    </row>
    <row r="11" spans="1:4" x14ac:dyDescent="0.25">
      <c r="A11" t="s">
        <v>4</v>
      </c>
      <c r="B11" t="s">
        <v>64</v>
      </c>
      <c r="C11" t="s">
        <v>784</v>
      </c>
      <c r="D11">
        <v>5</v>
      </c>
    </row>
    <row r="12" spans="1:4" x14ac:dyDescent="0.25">
      <c r="A12" t="s">
        <v>4</v>
      </c>
      <c r="B12" t="s">
        <v>190</v>
      </c>
      <c r="C12" t="s">
        <v>24</v>
      </c>
      <c r="D12">
        <v>4</v>
      </c>
    </row>
    <row r="13" spans="1:4" x14ac:dyDescent="0.25">
      <c r="A13" t="s">
        <v>4</v>
      </c>
      <c r="B13" t="s">
        <v>190</v>
      </c>
      <c r="C13" t="s">
        <v>785</v>
      </c>
      <c r="D13">
        <v>5</v>
      </c>
    </row>
    <row r="14" spans="1:4" x14ac:dyDescent="0.25">
      <c r="A14" t="s">
        <v>4</v>
      </c>
      <c r="B14" t="s">
        <v>190</v>
      </c>
      <c r="C14" t="s">
        <v>318</v>
      </c>
      <c r="D14">
        <v>6</v>
      </c>
    </row>
    <row r="15" spans="1:4" x14ac:dyDescent="0.25">
      <c r="A15" t="s">
        <v>4</v>
      </c>
      <c r="B15" t="s">
        <v>190</v>
      </c>
      <c r="C15" t="s">
        <v>786</v>
      </c>
      <c r="D15">
        <v>7</v>
      </c>
    </row>
    <row r="16" spans="1:4" x14ac:dyDescent="0.25">
      <c r="A16" t="s">
        <v>4</v>
      </c>
      <c r="B16" t="s">
        <v>190</v>
      </c>
      <c r="C16" t="s">
        <v>191</v>
      </c>
      <c r="D16">
        <v>8</v>
      </c>
    </row>
    <row r="17" spans="1:4" x14ac:dyDescent="0.25">
      <c r="A17" t="s">
        <v>4</v>
      </c>
      <c r="B17" t="s">
        <v>577</v>
      </c>
      <c r="C17" t="s">
        <v>193</v>
      </c>
      <c r="D17">
        <v>10</v>
      </c>
    </row>
    <row r="18" spans="1:4" x14ac:dyDescent="0.25">
      <c r="A18" t="s">
        <v>4</v>
      </c>
      <c r="B18" t="s">
        <v>577</v>
      </c>
      <c r="C18" t="s">
        <v>787</v>
      </c>
      <c r="D18">
        <v>7</v>
      </c>
    </row>
    <row r="19" spans="1:4" x14ac:dyDescent="0.25">
      <c r="A19" t="s">
        <v>4</v>
      </c>
      <c r="B19" t="s">
        <v>472</v>
      </c>
      <c r="C19" t="s">
        <v>197</v>
      </c>
      <c r="D19">
        <v>5</v>
      </c>
    </row>
    <row r="20" spans="1:4" x14ac:dyDescent="0.25">
      <c r="A20" t="s">
        <v>4</v>
      </c>
      <c r="B20" t="s">
        <v>788</v>
      </c>
      <c r="C20" t="s">
        <v>789</v>
      </c>
      <c r="D20">
        <v>2</v>
      </c>
    </row>
    <row r="21" spans="1:4" x14ac:dyDescent="0.25">
      <c r="A21" t="s">
        <v>4</v>
      </c>
      <c r="B21" t="s">
        <v>346</v>
      </c>
      <c r="C21" t="s">
        <v>790</v>
      </c>
      <c r="D21">
        <v>4</v>
      </c>
    </row>
    <row r="22" spans="1:4" x14ac:dyDescent="0.25">
      <c r="A22" t="s">
        <v>4</v>
      </c>
      <c r="B22" t="s">
        <v>675</v>
      </c>
      <c r="C22" t="s">
        <v>450</v>
      </c>
      <c r="D22">
        <v>3</v>
      </c>
    </row>
    <row r="23" spans="1:4" x14ac:dyDescent="0.25">
      <c r="A23" t="s">
        <v>4</v>
      </c>
      <c r="B23" t="s">
        <v>675</v>
      </c>
      <c r="C23" t="s">
        <v>791</v>
      </c>
      <c r="D23">
        <v>2</v>
      </c>
    </row>
    <row r="24" spans="1:4" x14ac:dyDescent="0.25">
      <c r="A24" t="s">
        <v>4</v>
      </c>
      <c r="B24" t="s">
        <v>154</v>
      </c>
      <c r="C24" t="s">
        <v>792</v>
      </c>
      <c r="D24">
        <v>1</v>
      </c>
    </row>
    <row r="25" spans="1:4" x14ac:dyDescent="0.25">
      <c r="A25" t="s">
        <v>4</v>
      </c>
      <c r="B25" t="s">
        <v>793</v>
      </c>
      <c r="C25" t="s">
        <v>452</v>
      </c>
      <c r="D25">
        <v>0</v>
      </c>
    </row>
    <row r="26" spans="1:4" x14ac:dyDescent="0.25">
      <c r="A26" t="s">
        <v>4</v>
      </c>
      <c r="B26" t="s">
        <v>793</v>
      </c>
      <c r="C26" t="s">
        <v>794</v>
      </c>
      <c r="D26">
        <v>-1</v>
      </c>
    </row>
    <row r="27" spans="1:4" x14ac:dyDescent="0.25">
      <c r="A27" t="s">
        <v>40</v>
      </c>
      <c r="B27" t="s">
        <v>795</v>
      </c>
      <c r="C27" t="s">
        <v>796</v>
      </c>
      <c r="D27">
        <v>-4</v>
      </c>
    </row>
    <row r="28" spans="1:4" x14ac:dyDescent="0.25">
      <c r="A28" t="s">
        <v>40</v>
      </c>
      <c r="B28" t="s">
        <v>797</v>
      </c>
      <c r="C28" t="s">
        <v>798</v>
      </c>
      <c r="D28">
        <v>-7</v>
      </c>
    </row>
    <row r="29" spans="1:4" x14ac:dyDescent="0.25">
      <c r="A29" t="s">
        <v>40</v>
      </c>
      <c r="B29" t="s">
        <v>87</v>
      </c>
      <c r="C29" t="s">
        <v>799</v>
      </c>
      <c r="D29">
        <v>-4</v>
      </c>
    </row>
    <row r="30" spans="1:4" x14ac:dyDescent="0.25">
      <c r="A30" t="s">
        <v>40</v>
      </c>
      <c r="B30" t="s">
        <v>800</v>
      </c>
      <c r="C30" t="s">
        <v>801</v>
      </c>
      <c r="D30">
        <v>-7</v>
      </c>
    </row>
    <row r="31" spans="1:4" x14ac:dyDescent="0.25">
      <c r="A31" t="s">
        <v>40</v>
      </c>
      <c r="B31" t="s">
        <v>177</v>
      </c>
      <c r="C31" t="s">
        <v>599</v>
      </c>
      <c r="D31">
        <v>-4</v>
      </c>
    </row>
    <row r="32" spans="1:4" x14ac:dyDescent="0.25">
      <c r="A32" t="s">
        <v>40</v>
      </c>
      <c r="B32" t="s">
        <v>213</v>
      </c>
      <c r="C32" t="s">
        <v>601</v>
      </c>
      <c r="D32">
        <v>-7</v>
      </c>
    </row>
    <row r="33" spans="1:4" x14ac:dyDescent="0.25">
      <c r="A33" t="s">
        <v>40</v>
      </c>
      <c r="B33" t="s">
        <v>802</v>
      </c>
      <c r="C33" t="s">
        <v>803</v>
      </c>
      <c r="D33">
        <v>-9</v>
      </c>
    </row>
    <row r="34" spans="1:4" x14ac:dyDescent="0.25">
      <c r="A34" t="s">
        <v>40</v>
      </c>
      <c r="B34" t="s">
        <v>804</v>
      </c>
      <c r="C34" t="s">
        <v>604</v>
      </c>
      <c r="D34">
        <v>-7</v>
      </c>
    </row>
    <row r="35" spans="1:4" x14ac:dyDescent="0.25">
      <c r="A35" t="s">
        <v>40</v>
      </c>
      <c r="B35" t="s">
        <v>805</v>
      </c>
      <c r="C35" t="s">
        <v>806</v>
      </c>
      <c r="D35">
        <v>-9</v>
      </c>
    </row>
    <row r="36" spans="1:4" x14ac:dyDescent="0.25">
      <c r="A36" t="s">
        <v>40</v>
      </c>
      <c r="B36" t="s">
        <v>807</v>
      </c>
      <c r="C36" t="s">
        <v>808</v>
      </c>
      <c r="D36">
        <v>-11</v>
      </c>
    </row>
    <row r="37" spans="1:4" x14ac:dyDescent="0.25">
      <c r="A37" t="s">
        <v>40</v>
      </c>
      <c r="B37" t="s">
        <v>701</v>
      </c>
      <c r="C37" t="s">
        <v>809</v>
      </c>
      <c r="D37">
        <v>-9</v>
      </c>
    </row>
    <row r="38" spans="1:4" x14ac:dyDescent="0.25">
      <c r="A38" t="s">
        <v>40</v>
      </c>
      <c r="B38" t="s">
        <v>524</v>
      </c>
      <c r="C38" t="s">
        <v>810</v>
      </c>
      <c r="D38">
        <v>-10</v>
      </c>
    </row>
    <row r="39" spans="1:4" x14ac:dyDescent="0.25">
      <c r="A39" t="s">
        <v>40</v>
      </c>
      <c r="B39" t="s">
        <v>524</v>
      </c>
      <c r="C39" t="s">
        <v>811</v>
      </c>
      <c r="D39">
        <v>-11</v>
      </c>
    </row>
    <row r="40" spans="1:4" x14ac:dyDescent="0.25">
      <c r="A40" t="s">
        <v>40</v>
      </c>
      <c r="B40" t="s">
        <v>812</v>
      </c>
      <c r="C40" t="s">
        <v>75</v>
      </c>
      <c r="D40">
        <v>-9</v>
      </c>
    </row>
    <row r="41" spans="1:4" x14ac:dyDescent="0.25">
      <c r="A41" t="s">
        <v>40</v>
      </c>
      <c r="B41" t="s">
        <v>813</v>
      </c>
      <c r="C41" t="s">
        <v>814</v>
      </c>
      <c r="D41">
        <v>-12</v>
      </c>
    </row>
    <row r="42" spans="1:4" x14ac:dyDescent="0.25">
      <c r="A42" t="s">
        <v>40</v>
      </c>
      <c r="B42" t="s">
        <v>292</v>
      </c>
      <c r="C42" t="s">
        <v>82</v>
      </c>
      <c r="D42">
        <v>-10</v>
      </c>
    </row>
    <row r="43" spans="1:4" x14ac:dyDescent="0.25">
      <c r="A43" t="s">
        <v>40</v>
      </c>
      <c r="B43" t="s">
        <v>815</v>
      </c>
      <c r="C43" t="s">
        <v>84</v>
      </c>
      <c r="D43">
        <v>-8</v>
      </c>
    </row>
    <row r="44" spans="1:4" x14ac:dyDescent="0.25">
      <c r="A44" t="s">
        <v>40</v>
      </c>
      <c r="B44" t="s">
        <v>483</v>
      </c>
      <c r="C44" t="s">
        <v>816</v>
      </c>
      <c r="D44">
        <v>-10</v>
      </c>
    </row>
    <row r="45" spans="1:4" x14ac:dyDescent="0.25">
      <c r="A45" t="s">
        <v>40</v>
      </c>
      <c r="B45" t="s">
        <v>793</v>
      </c>
      <c r="C45" t="s">
        <v>90</v>
      </c>
      <c r="D45">
        <v>-8</v>
      </c>
    </row>
    <row r="46" spans="1:4" x14ac:dyDescent="0.25">
      <c r="A46" t="s">
        <v>40</v>
      </c>
      <c r="B46" t="s">
        <v>817</v>
      </c>
      <c r="C46" t="s">
        <v>818</v>
      </c>
      <c r="D46">
        <v>-6</v>
      </c>
    </row>
    <row r="47" spans="1:4" x14ac:dyDescent="0.25">
      <c r="A47" t="s">
        <v>80</v>
      </c>
      <c r="B47" t="s">
        <v>819</v>
      </c>
      <c r="C47" t="s">
        <v>820</v>
      </c>
      <c r="D47">
        <v>-8</v>
      </c>
    </row>
    <row r="48" spans="1:4" x14ac:dyDescent="0.25">
      <c r="A48" t="s">
        <v>80</v>
      </c>
      <c r="B48" t="s">
        <v>128</v>
      </c>
      <c r="C48" t="s">
        <v>821</v>
      </c>
      <c r="D48">
        <v>-7</v>
      </c>
    </row>
    <row r="49" spans="1:4" x14ac:dyDescent="0.25">
      <c r="A49" t="s">
        <v>80</v>
      </c>
      <c r="B49" t="s">
        <v>128</v>
      </c>
      <c r="C49" t="s">
        <v>622</v>
      </c>
      <c r="D49">
        <v>-6</v>
      </c>
    </row>
    <row r="50" spans="1:4" x14ac:dyDescent="0.25">
      <c r="A50" t="s">
        <v>80</v>
      </c>
      <c r="B50" t="s">
        <v>128</v>
      </c>
      <c r="C50" t="s">
        <v>822</v>
      </c>
      <c r="D50">
        <v>-5</v>
      </c>
    </row>
    <row r="51" spans="1:4" x14ac:dyDescent="0.25">
      <c r="A51" t="s">
        <v>80</v>
      </c>
      <c r="B51" t="s">
        <v>823</v>
      </c>
      <c r="C51" t="s">
        <v>824</v>
      </c>
      <c r="D51">
        <v>-8</v>
      </c>
    </row>
    <row r="52" spans="1:4" x14ac:dyDescent="0.25">
      <c r="A52" t="s">
        <v>80</v>
      </c>
      <c r="B52" t="s">
        <v>721</v>
      </c>
      <c r="C52" t="s">
        <v>825</v>
      </c>
      <c r="D52">
        <v>-9</v>
      </c>
    </row>
    <row r="53" spans="1:4" x14ac:dyDescent="0.25">
      <c r="A53" t="s">
        <v>80</v>
      </c>
      <c r="B53" t="s">
        <v>721</v>
      </c>
      <c r="C53" t="s">
        <v>826</v>
      </c>
      <c r="D53">
        <v>-10</v>
      </c>
    </row>
    <row r="54" spans="1:4" x14ac:dyDescent="0.25">
      <c r="A54" t="s">
        <v>80</v>
      </c>
      <c r="B54" t="s">
        <v>827</v>
      </c>
      <c r="C54" t="s">
        <v>828</v>
      </c>
      <c r="D54">
        <v>-7</v>
      </c>
    </row>
    <row r="55" spans="1:4" x14ac:dyDescent="0.25">
      <c r="A55" t="s">
        <v>80</v>
      </c>
      <c r="B55" t="s">
        <v>250</v>
      </c>
      <c r="C55" t="s">
        <v>829</v>
      </c>
      <c r="D55">
        <v>-8</v>
      </c>
    </row>
    <row r="56" spans="1:4" x14ac:dyDescent="0.25">
      <c r="A56" t="s">
        <v>80</v>
      </c>
      <c r="B56" t="s">
        <v>250</v>
      </c>
      <c r="C56" t="s">
        <v>830</v>
      </c>
      <c r="D56">
        <v>-9</v>
      </c>
    </row>
    <row r="57" spans="1:4" x14ac:dyDescent="0.25">
      <c r="A57" t="s">
        <v>80</v>
      </c>
      <c r="B57" t="s">
        <v>570</v>
      </c>
      <c r="C57" t="s">
        <v>831</v>
      </c>
      <c r="D57">
        <v>-12</v>
      </c>
    </row>
    <row r="58" spans="1:4" x14ac:dyDescent="0.25">
      <c r="A58" t="s">
        <v>80</v>
      </c>
      <c r="B58" t="s">
        <v>832</v>
      </c>
      <c r="C58" t="s">
        <v>833</v>
      </c>
      <c r="D58">
        <v>-10</v>
      </c>
    </row>
    <row r="59" spans="1:4" x14ac:dyDescent="0.25">
      <c r="A59" t="s">
        <v>80</v>
      </c>
      <c r="B59" t="s">
        <v>834</v>
      </c>
      <c r="C59" t="s">
        <v>835</v>
      </c>
      <c r="D59">
        <v>-8</v>
      </c>
    </row>
    <row r="60" spans="1:4" x14ac:dyDescent="0.25">
      <c r="A60" t="s">
        <v>80</v>
      </c>
      <c r="B60" t="s">
        <v>836</v>
      </c>
      <c r="C60" t="s">
        <v>837</v>
      </c>
      <c r="D60">
        <v>-6</v>
      </c>
    </row>
    <row r="61" spans="1:4" x14ac:dyDescent="0.25">
      <c r="A61" t="s">
        <v>80</v>
      </c>
      <c r="B61" t="s">
        <v>184</v>
      </c>
      <c r="C61" t="s">
        <v>838</v>
      </c>
      <c r="D61">
        <v>-3</v>
      </c>
    </row>
    <row r="62" spans="1:4" x14ac:dyDescent="0.25">
      <c r="A62" t="s">
        <v>80</v>
      </c>
      <c r="B62" t="s">
        <v>596</v>
      </c>
      <c r="C62" t="s">
        <v>839</v>
      </c>
      <c r="D62">
        <v>-4</v>
      </c>
    </row>
    <row r="63" spans="1:4" x14ac:dyDescent="0.25">
      <c r="A63" t="s">
        <v>80</v>
      </c>
      <c r="B63" t="s">
        <v>313</v>
      </c>
      <c r="C63" t="s">
        <v>840</v>
      </c>
      <c r="D63">
        <v>-2</v>
      </c>
    </row>
    <row r="64" spans="1:4" x14ac:dyDescent="0.25">
      <c r="A64" t="s">
        <v>80</v>
      </c>
      <c r="B64" t="s">
        <v>600</v>
      </c>
      <c r="C64" t="s">
        <v>841</v>
      </c>
      <c r="D64">
        <v>0</v>
      </c>
    </row>
    <row r="65" spans="1:4" x14ac:dyDescent="0.25">
      <c r="A65" t="s">
        <v>80</v>
      </c>
      <c r="B65" t="s">
        <v>701</v>
      </c>
      <c r="C65" t="s">
        <v>755</v>
      </c>
      <c r="D65">
        <v>-1</v>
      </c>
    </row>
    <row r="66" spans="1:4" x14ac:dyDescent="0.25">
      <c r="A66" t="s">
        <v>80</v>
      </c>
      <c r="B66" t="s">
        <v>701</v>
      </c>
      <c r="C66" t="s">
        <v>756</v>
      </c>
      <c r="D66">
        <v>-2</v>
      </c>
    </row>
    <row r="67" spans="1:4" x14ac:dyDescent="0.25">
      <c r="A67" t="s">
        <v>80</v>
      </c>
      <c r="B67" t="s">
        <v>108</v>
      </c>
      <c r="C67" t="s">
        <v>842</v>
      </c>
      <c r="D67">
        <v>-1</v>
      </c>
    </row>
    <row r="68" spans="1:4" x14ac:dyDescent="0.25">
      <c r="A68" t="s">
        <v>80</v>
      </c>
      <c r="B68" t="s">
        <v>108</v>
      </c>
      <c r="C68" t="s">
        <v>843</v>
      </c>
      <c r="D68">
        <v>0</v>
      </c>
    </row>
    <row r="69" spans="1:4" x14ac:dyDescent="0.25">
      <c r="A69" t="s">
        <v>80</v>
      </c>
      <c r="B69" t="s">
        <v>110</v>
      </c>
      <c r="C69" t="s">
        <v>281</v>
      </c>
      <c r="D69">
        <v>-3</v>
      </c>
    </row>
    <row r="70" spans="1:4" x14ac:dyDescent="0.25">
      <c r="A70" t="s">
        <v>80</v>
      </c>
      <c r="B70" t="s">
        <v>442</v>
      </c>
      <c r="C70" t="s">
        <v>844</v>
      </c>
      <c r="D70">
        <v>-1</v>
      </c>
    </row>
    <row r="71" spans="1:4" x14ac:dyDescent="0.25">
      <c r="A71" t="s">
        <v>80</v>
      </c>
      <c r="B71" t="s">
        <v>845</v>
      </c>
      <c r="C71" t="s">
        <v>846</v>
      </c>
      <c r="D71">
        <v>-4</v>
      </c>
    </row>
    <row r="72" spans="1:4" x14ac:dyDescent="0.25">
      <c r="A72" t="s">
        <v>80</v>
      </c>
      <c r="B72" t="s">
        <v>146</v>
      </c>
      <c r="C72" t="s">
        <v>847</v>
      </c>
      <c r="D72">
        <v>-1</v>
      </c>
    </row>
    <row r="73" spans="1:4" x14ac:dyDescent="0.25">
      <c r="A73" t="s">
        <v>80</v>
      </c>
      <c r="B73" t="s">
        <v>529</v>
      </c>
      <c r="C73" t="s">
        <v>848</v>
      </c>
      <c r="D73">
        <v>-3</v>
      </c>
    </row>
    <row r="74" spans="1:4" x14ac:dyDescent="0.25">
      <c r="A74" t="s">
        <v>80</v>
      </c>
      <c r="B74" t="s">
        <v>581</v>
      </c>
      <c r="C74" t="s">
        <v>849</v>
      </c>
      <c r="D74">
        <v>-1</v>
      </c>
    </row>
    <row r="75" spans="1:4" x14ac:dyDescent="0.25">
      <c r="A75" t="s">
        <v>80</v>
      </c>
      <c r="B75" t="s">
        <v>72</v>
      </c>
      <c r="C75" t="s">
        <v>850</v>
      </c>
      <c r="D75">
        <v>-2</v>
      </c>
    </row>
    <row r="76" spans="1:4" x14ac:dyDescent="0.25">
      <c r="A76" t="s">
        <v>80</v>
      </c>
      <c r="B76" t="s">
        <v>72</v>
      </c>
      <c r="C76" t="s">
        <v>851</v>
      </c>
      <c r="D76">
        <v>-3</v>
      </c>
    </row>
    <row r="77" spans="1:4" x14ac:dyDescent="0.25">
      <c r="A77" t="s">
        <v>80</v>
      </c>
      <c r="B77" t="s">
        <v>74</v>
      </c>
      <c r="C77" t="s">
        <v>852</v>
      </c>
      <c r="D77">
        <v>-6</v>
      </c>
    </row>
    <row r="78" spans="1:4" x14ac:dyDescent="0.25">
      <c r="A78" t="s">
        <v>80</v>
      </c>
      <c r="B78" t="s">
        <v>301</v>
      </c>
      <c r="C78" t="s">
        <v>853</v>
      </c>
      <c r="D78">
        <v>-4</v>
      </c>
    </row>
    <row r="79" spans="1:4" x14ac:dyDescent="0.25">
      <c r="A79" t="s">
        <v>80</v>
      </c>
      <c r="B79" t="s">
        <v>584</v>
      </c>
      <c r="C79" t="s">
        <v>854</v>
      </c>
      <c r="D79">
        <v>-6</v>
      </c>
    </row>
    <row r="80" spans="1:4" x14ac:dyDescent="0.25">
      <c r="A80" t="s">
        <v>123</v>
      </c>
      <c r="B80" t="s">
        <v>855</v>
      </c>
      <c r="C80" t="s">
        <v>856</v>
      </c>
      <c r="D80">
        <v>-9</v>
      </c>
    </row>
    <row r="81" spans="1:4" x14ac:dyDescent="0.25">
      <c r="A81" t="s">
        <v>123</v>
      </c>
      <c r="B81" t="s">
        <v>857</v>
      </c>
      <c r="C81" t="s">
        <v>858</v>
      </c>
      <c r="D81">
        <v>-6</v>
      </c>
    </row>
    <row r="82" spans="1:4" x14ac:dyDescent="0.25">
      <c r="A82" t="s">
        <v>123</v>
      </c>
      <c r="B82" t="s">
        <v>859</v>
      </c>
      <c r="C82" t="s">
        <v>860</v>
      </c>
      <c r="D82">
        <v>-3</v>
      </c>
    </row>
    <row r="83" spans="1:4" x14ac:dyDescent="0.25">
      <c r="A83" t="s">
        <v>123</v>
      </c>
      <c r="B83" t="s">
        <v>49</v>
      </c>
      <c r="C83" t="s">
        <v>861</v>
      </c>
      <c r="D83">
        <v>-6</v>
      </c>
    </row>
    <row r="84" spans="1:4" x14ac:dyDescent="0.25">
      <c r="A84" t="s">
        <v>123</v>
      </c>
      <c r="B84" t="s">
        <v>862</v>
      </c>
      <c r="C84" t="s">
        <v>863</v>
      </c>
      <c r="D84">
        <v>-8</v>
      </c>
    </row>
    <row r="85" spans="1:4" x14ac:dyDescent="0.25">
      <c r="A85" t="s">
        <v>123</v>
      </c>
      <c r="B85" t="s">
        <v>359</v>
      </c>
      <c r="C85" t="s">
        <v>864</v>
      </c>
      <c r="D85">
        <v>-5</v>
      </c>
    </row>
    <row r="86" spans="1:4" x14ac:dyDescent="0.25">
      <c r="A86" t="s">
        <v>123</v>
      </c>
      <c r="B86" t="s">
        <v>865</v>
      </c>
      <c r="C86" t="s">
        <v>866</v>
      </c>
      <c r="D86">
        <v>-3</v>
      </c>
    </row>
    <row r="87" spans="1:4" x14ac:dyDescent="0.25">
      <c r="A87" t="s">
        <v>123</v>
      </c>
      <c r="B87" t="s">
        <v>177</v>
      </c>
      <c r="C87" t="s">
        <v>867</v>
      </c>
      <c r="D87">
        <v>-6</v>
      </c>
    </row>
    <row r="88" spans="1:4" x14ac:dyDescent="0.25">
      <c r="A88" t="s">
        <v>123</v>
      </c>
      <c r="B88" t="s">
        <v>868</v>
      </c>
      <c r="C88" t="s">
        <v>869</v>
      </c>
      <c r="D88">
        <v>-4</v>
      </c>
    </row>
    <row r="89" spans="1:4" x14ac:dyDescent="0.25">
      <c r="A89" t="s">
        <v>123</v>
      </c>
      <c r="B89" t="s">
        <v>802</v>
      </c>
      <c r="C89" t="s">
        <v>545</v>
      </c>
      <c r="D89">
        <v>-2</v>
      </c>
    </row>
    <row r="90" spans="1:4" x14ac:dyDescent="0.25">
      <c r="A90" t="s">
        <v>123</v>
      </c>
      <c r="B90" t="s">
        <v>870</v>
      </c>
      <c r="C90" t="s">
        <v>871</v>
      </c>
      <c r="D90">
        <v>0</v>
      </c>
    </row>
    <row r="91" spans="1:4" x14ac:dyDescent="0.25">
      <c r="A91" t="s">
        <v>123</v>
      </c>
      <c r="B91" t="s">
        <v>872</v>
      </c>
      <c r="C91" t="s">
        <v>873</v>
      </c>
      <c r="D91">
        <v>-3</v>
      </c>
    </row>
    <row r="92" spans="1:4" x14ac:dyDescent="0.25">
      <c r="A92" t="s">
        <v>123</v>
      </c>
      <c r="B92" t="s">
        <v>874</v>
      </c>
      <c r="C92" t="s">
        <v>875</v>
      </c>
      <c r="D92">
        <v>-1</v>
      </c>
    </row>
    <row r="93" spans="1:4" x14ac:dyDescent="0.25">
      <c r="A93" t="s">
        <v>123</v>
      </c>
      <c r="B93" t="s">
        <v>876</v>
      </c>
      <c r="C93" t="s">
        <v>553</v>
      </c>
      <c r="D93">
        <v>-2</v>
      </c>
    </row>
    <row r="94" spans="1:4" x14ac:dyDescent="0.25">
      <c r="A94" t="s">
        <v>123</v>
      </c>
      <c r="B94" t="s">
        <v>877</v>
      </c>
      <c r="C94" t="s">
        <v>878</v>
      </c>
      <c r="D94">
        <v>1</v>
      </c>
    </row>
    <row r="95" spans="1:4" x14ac:dyDescent="0.25">
      <c r="A95" t="s">
        <v>123</v>
      </c>
      <c r="B95" t="s">
        <v>673</v>
      </c>
      <c r="C95" t="s">
        <v>879</v>
      </c>
      <c r="D95">
        <v>3</v>
      </c>
    </row>
    <row r="96" spans="1:4" x14ac:dyDescent="0.25">
      <c r="A96" t="s">
        <v>123</v>
      </c>
      <c r="B96" t="s">
        <v>880</v>
      </c>
      <c r="C96" t="s">
        <v>881</v>
      </c>
      <c r="D96">
        <v>0</v>
      </c>
    </row>
    <row r="97" spans="1:4" x14ac:dyDescent="0.25">
      <c r="A97" t="s">
        <v>123</v>
      </c>
      <c r="B97" t="s">
        <v>681</v>
      </c>
      <c r="C97" t="s">
        <v>882</v>
      </c>
      <c r="D97">
        <v>2</v>
      </c>
    </row>
    <row r="98" spans="1:4" x14ac:dyDescent="0.25">
      <c r="A98" t="s">
        <v>123</v>
      </c>
      <c r="B98" t="s">
        <v>451</v>
      </c>
      <c r="C98" t="s">
        <v>883</v>
      </c>
      <c r="D98">
        <v>3</v>
      </c>
    </row>
    <row r="99" spans="1:4" x14ac:dyDescent="0.25">
      <c r="A99" t="s">
        <v>123</v>
      </c>
      <c r="B99" t="s">
        <v>38</v>
      </c>
      <c r="C99" t="s">
        <v>884</v>
      </c>
      <c r="D99">
        <v>2</v>
      </c>
    </row>
    <row r="100" spans="1:4" x14ac:dyDescent="0.25">
      <c r="A100" t="s">
        <v>123</v>
      </c>
      <c r="B100" t="s">
        <v>38</v>
      </c>
      <c r="C100" t="s">
        <v>885</v>
      </c>
      <c r="D100">
        <v>1</v>
      </c>
    </row>
    <row r="101" spans="1:4" x14ac:dyDescent="0.25">
      <c r="A101" t="s">
        <v>123</v>
      </c>
      <c r="B101" t="s">
        <v>38</v>
      </c>
      <c r="C101" t="s">
        <v>886</v>
      </c>
      <c r="D101">
        <v>0</v>
      </c>
    </row>
    <row r="102" spans="1:4" x14ac:dyDescent="0.25">
      <c r="A102" t="s">
        <v>4</v>
      </c>
      <c r="B102" t="s">
        <v>887</v>
      </c>
      <c r="C102" t="s">
        <v>888</v>
      </c>
      <c r="D102">
        <v>2</v>
      </c>
    </row>
    <row r="103" spans="1:4" x14ac:dyDescent="0.25">
      <c r="A103" t="s">
        <v>4</v>
      </c>
      <c r="B103" t="s">
        <v>887</v>
      </c>
      <c r="C103" t="s">
        <v>889</v>
      </c>
      <c r="D103">
        <v>3</v>
      </c>
    </row>
    <row r="104" spans="1:4" x14ac:dyDescent="0.25">
      <c r="A104" t="s">
        <v>4</v>
      </c>
      <c r="B104" t="s">
        <v>890</v>
      </c>
      <c r="C104" t="s">
        <v>891</v>
      </c>
      <c r="D104">
        <v>0</v>
      </c>
    </row>
    <row r="105" spans="1:4" x14ac:dyDescent="0.25">
      <c r="A105" t="s">
        <v>4</v>
      </c>
      <c r="B105" t="s">
        <v>749</v>
      </c>
      <c r="C105" t="s">
        <v>892</v>
      </c>
      <c r="D105">
        <v>1</v>
      </c>
    </row>
    <row r="106" spans="1:4" x14ac:dyDescent="0.25">
      <c r="A106" t="s">
        <v>4</v>
      </c>
      <c r="B106" t="s">
        <v>749</v>
      </c>
      <c r="C106" t="s">
        <v>893</v>
      </c>
      <c r="D106">
        <v>2</v>
      </c>
    </row>
    <row r="107" spans="1:4" x14ac:dyDescent="0.25">
      <c r="A107" t="s">
        <v>4</v>
      </c>
      <c r="B107" t="s">
        <v>894</v>
      </c>
      <c r="C107" t="s">
        <v>895</v>
      </c>
      <c r="D107">
        <v>3</v>
      </c>
    </row>
    <row r="108" spans="1:4" x14ac:dyDescent="0.25">
      <c r="A108" t="s">
        <v>4</v>
      </c>
      <c r="B108" t="s">
        <v>896</v>
      </c>
      <c r="C108" t="s">
        <v>897</v>
      </c>
      <c r="D108">
        <v>6</v>
      </c>
    </row>
    <row r="109" spans="1:4" x14ac:dyDescent="0.25">
      <c r="A109" t="s">
        <v>4</v>
      </c>
      <c r="B109" t="s">
        <v>898</v>
      </c>
      <c r="C109" t="s">
        <v>899</v>
      </c>
      <c r="D109">
        <v>7</v>
      </c>
    </row>
    <row r="110" spans="1:4" x14ac:dyDescent="0.25">
      <c r="A110" t="s">
        <v>4</v>
      </c>
      <c r="B110" t="s">
        <v>900</v>
      </c>
      <c r="C110" t="s">
        <v>901</v>
      </c>
      <c r="D110">
        <v>9</v>
      </c>
    </row>
    <row r="111" spans="1:4" x14ac:dyDescent="0.25">
      <c r="A111" t="s">
        <v>4</v>
      </c>
      <c r="B111" t="s">
        <v>902</v>
      </c>
      <c r="C111" t="s">
        <v>903</v>
      </c>
      <c r="D111">
        <v>7</v>
      </c>
    </row>
    <row r="112" spans="1:4" x14ac:dyDescent="0.25">
      <c r="A112" t="s">
        <v>4</v>
      </c>
      <c r="B112" t="s">
        <v>396</v>
      </c>
      <c r="C112" t="s">
        <v>904</v>
      </c>
      <c r="D112">
        <v>10</v>
      </c>
    </row>
    <row r="114" spans="1:4" x14ac:dyDescent="0.25">
      <c r="A114" s="2" t="s">
        <v>157</v>
      </c>
    </row>
    <row r="115" spans="1:4" x14ac:dyDescent="0.25">
      <c r="A115" t="s">
        <v>158</v>
      </c>
      <c r="D115">
        <f>AVERAGE(D2:D112)</f>
        <v>-1.9189189189189189</v>
      </c>
    </row>
    <row r="116" spans="1:4" x14ac:dyDescent="0.25">
      <c r="A116" t="s">
        <v>159</v>
      </c>
      <c r="D116">
        <f>MAX(D2:D112)</f>
        <v>10</v>
      </c>
    </row>
    <row r="117" spans="1:4" x14ac:dyDescent="0.25">
      <c r="A117" t="s">
        <v>160</v>
      </c>
      <c r="D117">
        <f>MIN(D2:D112)</f>
        <v>-12</v>
      </c>
    </row>
    <row r="118" spans="1:4" x14ac:dyDescent="0.25">
      <c r="A118" t="s">
        <v>161</v>
      </c>
      <c r="D118">
        <f>COUNTIF(D2:D112,"&gt;0")</f>
        <v>38</v>
      </c>
    </row>
    <row r="119" spans="1:4" x14ac:dyDescent="0.25">
      <c r="A119" t="s">
        <v>162</v>
      </c>
      <c r="D119">
        <f>COUNTIF(D2:D112,"=0")</f>
        <v>8</v>
      </c>
    </row>
    <row r="120" spans="1:4" x14ac:dyDescent="0.25">
      <c r="A120" t="s">
        <v>905</v>
      </c>
      <c r="D120">
        <f>COUNTIF(D2:D112,"&lt;0")</f>
        <v>65</v>
      </c>
    </row>
    <row r="122" spans="1:4" x14ac:dyDescent="0.25">
      <c r="A122" s="2" t="s">
        <v>164</v>
      </c>
    </row>
    <row r="123" spans="1:4" x14ac:dyDescent="0.25">
      <c r="A123" t="s">
        <v>165</v>
      </c>
      <c r="D123">
        <f>AVERAGE(D2,D3,D4,D5,D6,D7,D8,D9,D10,D11,D12,D13,D14,D15,D16,D17,D18,D19,D20,D21,D22,D23,D24,D25,D26,D102,D103,D104,D105,D106,D107,D108,D109,D110,D111,D112)</f>
        <v>4.3055555555555554</v>
      </c>
    </row>
    <row r="124" spans="1:4" x14ac:dyDescent="0.25">
      <c r="A124" t="s">
        <v>166</v>
      </c>
      <c r="D124">
        <f>AVERAGE(D27,D28,D29,D30,D31,D32,D33,D34,D35,D36,D37,D38,D39,D40,D41,D42,D43,D44,D45,D46)</f>
        <v>-8.1</v>
      </c>
    </row>
    <row r="125" spans="1:4" x14ac:dyDescent="0.25">
      <c r="A125" t="s">
        <v>167</v>
      </c>
      <c r="D125">
        <f>AVERAGE(D47,D48,D49,D50,D51,D52,D53,D54,D55,D56,D57,D58,D59,D60,D61,D62,D63,D64,D65,D66,D67,D68,D69,D70,D71,D72,D73,D74,D75,D76,D77,D78,D79)</f>
        <v>-4.8484848484848486</v>
      </c>
    </row>
    <row r="126" spans="1:4" x14ac:dyDescent="0.25">
      <c r="A126" t="s">
        <v>168</v>
      </c>
      <c r="D126">
        <f>AVERAGE(D80,D81,D82,D83,D84,D85,D86,D87,D88,D89,D90,D91,D92,D93,D94,D95,D96,D97,D98,D99,D100,D101)</f>
        <v>-2.0909090909090908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906</v>
      </c>
    </row>
    <row r="2" spans="1:4" x14ac:dyDescent="0.25">
      <c r="A2" t="s">
        <v>4</v>
      </c>
      <c r="B2" t="s">
        <v>907</v>
      </c>
      <c r="C2" t="s">
        <v>908</v>
      </c>
      <c r="D2">
        <v>-2</v>
      </c>
    </row>
    <row r="3" spans="1:4" x14ac:dyDescent="0.25">
      <c r="A3" t="s">
        <v>4</v>
      </c>
      <c r="B3" t="s">
        <v>170</v>
      </c>
      <c r="C3" t="s">
        <v>909</v>
      </c>
      <c r="D3">
        <v>-5</v>
      </c>
    </row>
    <row r="4" spans="1:4" x14ac:dyDescent="0.25">
      <c r="A4" t="s">
        <v>4</v>
      </c>
      <c r="B4" t="s">
        <v>83</v>
      </c>
      <c r="C4" t="s">
        <v>910</v>
      </c>
      <c r="D4">
        <v>-2</v>
      </c>
    </row>
    <row r="5" spans="1:4" x14ac:dyDescent="0.25">
      <c r="A5" t="s">
        <v>4</v>
      </c>
      <c r="B5" t="s">
        <v>355</v>
      </c>
      <c r="C5" t="s">
        <v>911</v>
      </c>
      <c r="D5">
        <v>-4</v>
      </c>
    </row>
    <row r="6" spans="1:4" x14ac:dyDescent="0.25">
      <c r="A6" t="s">
        <v>4</v>
      </c>
      <c r="B6" t="s">
        <v>912</v>
      </c>
      <c r="C6" t="s">
        <v>913</v>
      </c>
      <c r="D6">
        <v>-2</v>
      </c>
    </row>
    <row r="7" spans="1:4" x14ac:dyDescent="0.25">
      <c r="A7" t="s">
        <v>4</v>
      </c>
      <c r="B7" t="s">
        <v>494</v>
      </c>
      <c r="C7" t="s">
        <v>696</v>
      </c>
      <c r="D7">
        <v>1</v>
      </c>
    </row>
    <row r="8" spans="1:4" x14ac:dyDescent="0.25">
      <c r="A8" t="s">
        <v>4</v>
      </c>
      <c r="B8" t="s">
        <v>914</v>
      </c>
      <c r="C8" t="s">
        <v>915</v>
      </c>
      <c r="D8">
        <v>-2</v>
      </c>
    </row>
    <row r="9" spans="1:4" x14ac:dyDescent="0.25">
      <c r="A9" t="s">
        <v>4</v>
      </c>
      <c r="B9" t="s">
        <v>916</v>
      </c>
      <c r="C9" t="s">
        <v>439</v>
      </c>
      <c r="D9">
        <v>1</v>
      </c>
    </row>
    <row r="10" spans="1:4" x14ac:dyDescent="0.25">
      <c r="A10" t="s">
        <v>4</v>
      </c>
      <c r="B10" t="s">
        <v>408</v>
      </c>
      <c r="C10" t="s">
        <v>917</v>
      </c>
      <c r="D10">
        <v>2</v>
      </c>
    </row>
    <row r="11" spans="1:4" x14ac:dyDescent="0.25">
      <c r="A11" t="s">
        <v>4</v>
      </c>
      <c r="B11" t="s">
        <v>138</v>
      </c>
      <c r="C11" t="s">
        <v>918</v>
      </c>
      <c r="D11">
        <v>3</v>
      </c>
    </row>
    <row r="12" spans="1:4" x14ac:dyDescent="0.25">
      <c r="A12" t="s">
        <v>4</v>
      </c>
      <c r="B12" t="s">
        <v>594</v>
      </c>
      <c r="C12" t="s">
        <v>919</v>
      </c>
      <c r="D12">
        <v>1</v>
      </c>
    </row>
    <row r="13" spans="1:4" x14ac:dyDescent="0.25">
      <c r="A13" t="s">
        <v>4</v>
      </c>
      <c r="B13" t="s">
        <v>186</v>
      </c>
      <c r="C13" t="s">
        <v>920</v>
      </c>
      <c r="D13">
        <v>3</v>
      </c>
    </row>
    <row r="14" spans="1:4" x14ac:dyDescent="0.25">
      <c r="A14" t="s">
        <v>4</v>
      </c>
      <c r="B14" t="s">
        <v>370</v>
      </c>
      <c r="C14" t="s">
        <v>921</v>
      </c>
      <c r="D14">
        <v>1</v>
      </c>
    </row>
    <row r="15" spans="1:4" x14ac:dyDescent="0.25">
      <c r="A15" t="s">
        <v>4</v>
      </c>
      <c r="B15" t="s">
        <v>374</v>
      </c>
      <c r="C15" t="s">
        <v>705</v>
      </c>
      <c r="D15">
        <v>-1</v>
      </c>
    </row>
    <row r="16" spans="1:4" x14ac:dyDescent="0.25">
      <c r="A16" t="s">
        <v>4</v>
      </c>
      <c r="B16" t="s">
        <v>922</v>
      </c>
      <c r="C16" t="s">
        <v>789</v>
      </c>
      <c r="D16">
        <v>2</v>
      </c>
    </row>
    <row r="17" spans="1:4" x14ac:dyDescent="0.25">
      <c r="A17" t="s">
        <v>4</v>
      </c>
      <c r="B17" t="s">
        <v>23</v>
      </c>
      <c r="C17" t="s">
        <v>790</v>
      </c>
      <c r="D17">
        <v>4</v>
      </c>
    </row>
    <row r="18" spans="1:4" x14ac:dyDescent="0.25">
      <c r="A18" t="s">
        <v>4</v>
      </c>
      <c r="B18" t="s">
        <v>225</v>
      </c>
      <c r="C18" t="s">
        <v>923</v>
      </c>
      <c r="D18">
        <v>7</v>
      </c>
    </row>
    <row r="19" spans="1:4" x14ac:dyDescent="0.25">
      <c r="A19" t="s">
        <v>4</v>
      </c>
      <c r="B19" t="s">
        <v>924</v>
      </c>
      <c r="C19" t="s">
        <v>925</v>
      </c>
      <c r="D19">
        <v>4</v>
      </c>
    </row>
    <row r="20" spans="1:4" x14ac:dyDescent="0.25">
      <c r="A20" t="s">
        <v>4</v>
      </c>
      <c r="B20" t="s">
        <v>876</v>
      </c>
      <c r="C20" t="s">
        <v>209</v>
      </c>
      <c r="D20">
        <v>6</v>
      </c>
    </row>
    <row r="21" spans="1:4" x14ac:dyDescent="0.25">
      <c r="A21" t="s">
        <v>4</v>
      </c>
      <c r="B21" t="s">
        <v>448</v>
      </c>
      <c r="C21" t="s">
        <v>926</v>
      </c>
      <c r="D21">
        <v>3</v>
      </c>
    </row>
    <row r="22" spans="1:4" x14ac:dyDescent="0.25">
      <c r="A22" t="s">
        <v>4</v>
      </c>
      <c r="B22" t="s">
        <v>927</v>
      </c>
      <c r="C22" t="s">
        <v>928</v>
      </c>
      <c r="D22">
        <v>5</v>
      </c>
    </row>
    <row r="23" spans="1:4" x14ac:dyDescent="0.25">
      <c r="A23" t="s">
        <v>4</v>
      </c>
      <c r="B23" t="s">
        <v>394</v>
      </c>
      <c r="C23" t="s">
        <v>929</v>
      </c>
      <c r="D23">
        <v>3</v>
      </c>
    </row>
    <row r="24" spans="1:4" x14ac:dyDescent="0.25">
      <c r="A24" t="s">
        <v>4</v>
      </c>
      <c r="B24" t="s">
        <v>930</v>
      </c>
      <c r="C24" t="s">
        <v>931</v>
      </c>
      <c r="D24">
        <v>5</v>
      </c>
    </row>
    <row r="25" spans="1:4" x14ac:dyDescent="0.25">
      <c r="A25" t="s">
        <v>40</v>
      </c>
      <c r="B25" t="s">
        <v>932</v>
      </c>
      <c r="C25" t="s">
        <v>218</v>
      </c>
      <c r="D25">
        <v>3</v>
      </c>
    </row>
    <row r="26" spans="1:4" x14ac:dyDescent="0.25">
      <c r="A26" t="s">
        <v>40</v>
      </c>
      <c r="B26" t="s">
        <v>933</v>
      </c>
      <c r="C26" t="s">
        <v>934</v>
      </c>
      <c r="D26">
        <v>5</v>
      </c>
    </row>
    <row r="27" spans="1:4" x14ac:dyDescent="0.25">
      <c r="A27" t="s">
        <v>40</v>
      </c>
      <c r="B27" t="s">
        <v>935</v>
      </c>
      <c r="C27" t="s">
        <v>936</v>
      </c>
      <c r="D27">
        <v>2</v>
      </c>
    </row>
    <row r="28" spans="1:4" x14ac:dyDescent="0.25">
      <c r="A28" t="s">
        <v>40</v>
      </c>
      <c r="B28" t="s">
        <v>937</v>
      </c>
      <c r="C28" t="s">
        <v>938</v>
      </c>
      <c r="D28">
        <v>4</v>
      </c>
    </row>
    <row r="29" spans="1:4" x14ac:dyDescent="0.25">
      <c r="A29" t="s">
        <v>40</v>
      </c>
      <c r="B29" t="s">
        <v>916</v>
      </c>
      <c r="C29" t="s">
        <v>347</v>
      </c>
      <c r="D29">
        <v>2</v>
      </c>
    </row>
    <row r="30" spans="1:4" x14ac:dyDescent="0.25">
      <c r="A30" t="s">
        <v>40</v>
      </c>
      <c r="B30" t="s">
        <v>802</v>
      </c>
      <c r="C30" t="s">
        <v>727</v>
      </c>
      <c r="D30">
        <v>4</v>
      </c>
    </row>
    <row r="31" spans="1:4" x14ac:dyDescent="0.25">
      <c r="A31" t="s">
        <v>40</v>
      </c>
      <c r="B31" t="s">
        <v>499</v>
      </c>
      <c r="C31" t="s">
        <v>939</v>
      </c>
      <c r="D31">
        <v>5</v>
      </c>
    </row>
    <row r="32" spans="1:4" x14ac:dyDescent="0.25">
      <c r="A32" t="s">
        <v>40</v>
      </c>
      <c r="B32" t="s">
        <v>499</v>
      </c>
      <c r="C32" t="s">
        <v>940</v>
      </c>
      <c r="D32">
        <v>6</v>
      </c>
    </row>
    <row r="33" spans="1:4" x14ac:dyDescent="0.25">
      <c r="A33" t="s">
        <v>40</v>
      </c>
      <c r="B33" t="s">
        <v>941</v>
      </c>
      <c r="C33" t="s">
        <v>942</v>
      </c>
      <c r="D33">
        <v>8</v>
      </c>
    </row>
    <row r="34" spans="1:4" x14ac:dyDescent="0.25">
      <c r="A34" t="s">
        <v>40</v>
      </c>
      <c r="B34" t="s">
        <v>943</v>
      </c>
      <c r="C34" t="s">
        <v>944</v>
      </c>
      <c r="D34">
        <v>6</v>
      </c>
    </row>
    <row r="35" spans="1:4" x14ac:dyDescent="0.25">
      <c r="A35" t="s">
        <v>40</v>
      </c>
      <c r="B35" t="s">
        <v>223</v>
      </c>
      <c r="C35" t="s">
        <v>945</v>
      </c>
      <c r="D35">
        <v>8</v>
      </c>
    </row>
    <row r="36" spans="1:4" x14ac:dyDescent="0.25">
      <c r="A36" t="s">
        <v>40</v>
      </c>
      <c r="B36" t="s">
        <v>142</v>
      </c>
      <c r="C36" t="s">
        <v>946</v>
      </c>
      <c r="D36">
        <v>9</v>
      </c>
    </row>
    <row r="37" spans="1:4" x14ac:dyDescent="0.25">
      <c r="A37" t="s">
        <v>40</v>
      </c>
      <c r="B37" t="s">
        <v>142</v>
      </c>
      <c r="C37" t="s">
        <v>947</v>
      </c>
      <c r="D37">
        <v>10</v>
      </c>
    </row>
    <row r="38" spans="1:4" x14ac:dyDescent="0.25">
      <c r="A38" t="s">
        <v>40</v>
      </c>
      <c r="B38" t="s">
        <v>114</v>
      </c>
      <c r="C38" t="s">
        <v>948</v>
      </c>
      <c r="D38">
        <v>13</v>
      </c>
    </row>
    <row r="39" spans="1:4" x14ac:dyDescent="0.25">
      <c r="A39" t="s">
        <v>40</v>
      </c>
      <c r="B39" t="s">
        <v>472</v>
      </c>
      <c r="C39" t="s">
        <v>949</v>
      </c>
      <c r="D39">
        <v>11</v>
      </c>
    </row>
    <row r="40" spans="1:4" x14ac:dyDescent="0.25">
      <c r="A40" t="s">
        <v>40</v>
      </c>
      <c r="B40" t="s">
        <v>579</v>
      </c>
      <c r="C40" t="s">
        <v>950</v>
      </c>
      <c r="D40">
        <v>13</v>
      </c>
    </row>
    <row r="41" spans="1:4" x14ac:dyDescent="0.25">
      <c r="A41" t="s">
        <v>40</v>
      </c>
      <c r="B41" t="s">
        <v>417</v>
      </c>
      <c r="C41" t="s">
        <v>951</v>
      </c>
      <c r="D41">
        <v>14</v>
      </c>
    </row>
    <row r="42" spans="1:4" x14ac:dyDescent="0.25">
      <c r="A42" t="s">
        <v>40</v>
      </c>
      <c r="B42" t="s">
        <v>417</v>
      </c>
      <c r="C42" t="s">
        <v>952</v>
      </c>
      <c r="D42">
        <v>15</v>
      </c>
    </row>
    <row r="43" spans="1:4" x14ac:dyDescent="0.25">
      <c r="A43" t="s">
        <v>40</v>
      </c>
      <c r="B43" t="s">
        <v>550</v>
      </c>
      <c r="C43" t="s">
        <v>953</v>
      </c>
      <c r="D43">
        <v>17</v>
      </c>
    </row>
    <row r="44" spans="1:4" x14ac:dyDescent="0.25">
      <c r="A44" t="s">
        <v>80</v>
      </c>
      <c r="B44" t="s">
        <v>954</v>
      </c>
      <c r="C44" t="s">
        <v>955</v>
      </c>
      <c r="D44">
        <v>20</v>
      </c>
    </row>
    <row r="45" spans="1:4" x14ac:dyDescent="0.25">
      <c r="A45" t="s">
        <v>80</v>
      </c>
      <c r="B45" t="s">
        <v>250</v>
      </c>
      <c r="C45" t="s">
        <v>956</v>
      </c>
      <c r="D45">
        <v>22</v>
      </c>
    </row>
    <row r="46" spans="1:4" x14ac:dyDescent="0.25">
      <c r="A46" t="s">
        <v>80</v>
      </c>
      <c r="B46" t="s">
        <v>621</v>
      </c>
      <c r="C46" t="s">
        <v>957</v>
      </c>
      <c r="D46">
        <v>23</v>
      </c>
    </row>
    <row r="47" spans="1:4" x14ac:dyDescent="0.25">
      <c r="A47" t="s">
        <v>80</v>
      </c>
      <c r="B47" t="s">
        <v>256</v>
      </c>
      <c r="C47" t="s">
        <v>958</v>
      </c>
      <c r="D47">
        <v>20</v>
      </c>
    </row>
    <row r="48" spans="1:4" x14ac:dyDescent="0.25">
      <c r="A48" t="s">
        <v>80</v>
      </c>
      <c r="B48" t="s">
        <v>95</v>
      </c>
      <c r="C48" t="s">
        <v>959</v>
      </c>
      <c r="D48">
        <v>22</v>
      </c>
    </row>
    <row r="49" spans="1:4" x14ac:dyDescent="0.25">
      <c r="A49" t="s">
        <v>80</v>
      </c>
      <c r="B49" t="s">
        <v>217</v>
      </c>
      <c r="C49" t="s">
        <v>960</v>
      </c>
      <c r="D49">
        <v>20</v>
      </c>
    </row>
    <row r="50" spans="1:4" x14ac:dyDescent="0.25">
      <c r="A50" t="s">
        <v>80</v>
      </c>
      <c r="B50" t="s">
        <v>961</v>
      </c>
      <c r="C50" t="s">
        <v>962</v>
      </c>
      <c r="D50">
        <v>18</v>
      </c>
    </row>
    <row r="51" spans="1:4" x14ac:dyDescent="0.25">
      <c r="A51" t="s">
        <v>80</v>
      </c>
      <c r="B51" t="s">
        <v>661</v>
      </c>
      <c r="C51" t="s">
        <v>963</v>
      </c>
      <c r="D51">
        <v>20</v>
      </c>
    </row>
    <row r="52" spans="1:4" x14ac:dyDescent="0.25">
      <c r="A52" t="s">
        <v>80</v>
      </c>
      <c r="B52" t="s">
        <v>263</v>
      </c>
      <c r="C52" t="s">
        <v>964</v>
      </c>
      <c r="D52">
        <v>18</v>
      </c>
    </row>
    <row r="53" spans="1:4" x14ac:dyDescent="0.25">
      <c r="A53" t="s">
        <v>80</v>
      </c>
      <c r="B53" t="s">
        <v>922</v>
      </c>
      <c r="C53" t="s">
        <v>965</v>
      </c>
      <c r="D53">
        <v>17</v>
      </c>
    </row>
    <row r="54" spans="1:4" x14ac:dyDescent="0.25">
      <c r="A54" t="s">
        <v>80</v>
      </c>
      <c r="B54" t="s">
        <v>112</v>
      </c>
      <c r="C54" t="s">
        <v>966</v>
      </c>
      <c r="D54">
        <v>19</v>
      </c>
    </row>
    <row r="55" spans="1:4" x14ac:dyDescent="0.25">
      <c r="A55" t="s">
        <v>80</v>
      </c>
      <c r="B55" t="s">
        <v>667</v>
      </c>
      <c r="C55" t="s">
        <v>967</v>
      </c>
      <c r="D55">
        <v>18</v>
      </c>
    </row>
    <row r="56" spans="1:4" x14ac:dyDescent="0.25">
      <c r="A56" t="s">
        <v>80</v>
      </c>
      <c r="B56" t="s">
        <v>667</v>
      </c>
      <c r="C56" t="s">
        <v>968</v>
      </c>
      <c r="D56">
        <v>17</v>
      </c>
    </row>
    <row r="57" spans="1:4" x14ac:dyDescent="0.25">
      <c r="A57" t="s">
        <v>80</v>
      </c>
      <c r="B57" t="s">
        <v>732</v>
      </c>
      <c r="C57" t="s">
        <v>969</v>
      </c>
      <c r="D57">
        <v>19</v>
      </c>
    </row>
    <row r="58" spans="1:4" x14ac:dyDescent="0.25">
      <c r="A58" t="s">
        <v>80</v>
      </c>
      <c r="B58" t="s">
        <v>710</v>
      </c>
      <c r="C58" t="s">
        <v>970</v>
      </c>
      <c r="D58">
        <v>17</v>
      </c>
    </row>
    <row r="59" spans="1:4" x14ac:dyDescent="0.25">
      <c r="A59" t="s">
        <v>80</v>
      </c>
      <c r="B59" t="s">
        <v>346</v>
      </c>
      <c r="C59" t="s">
        <v>971</v>
      </c>
      <c r="D59">
        <v>19</v>
      </c>
    </row>
    <row r="60" spans="1:4" x14ac:dyDescent="0.25">
      <c r="A60" t="s">
        <v>80</v>
      </c>
      <c r="B60" t="s">
        <v>972</v>
      </c>
      <c r="C60" t="s">
        <v>973</v>
      </c>
      <c r="D60">
        <v>21</v>
      </c>
    </row>
    <row r="61" spans="1:4" x14ac:dyDescent="0.25">
      <c r="A61" t="s">
        <v>123</v>
      </c>
      <c r="B61" t="s">
        <v>325</v>
      </c>
      <c r="C61" t="s">
        <v>974</v>
      </c>
      <c r="D61">
        <v>19</v>
      </c>
    </row>
    <row r="62" spans="1:4" x14ac:dyDescent="0.25">
      <c r="A62" t="s">
        <v>123</v>
      </c>
      <c r="B62" t="s">
        <v>244</v>
      </c>
      <c r="C62" t="s">
        <v>975</v>
      </c>
      <c r="D62">
        <v>21</v>
      </c>
    </row>
    <row r="63" spans="1:4" x14ac:dyDescent="0.25">
      <c r="A63" t="s">
        <v>123</v>
      </c>
      <c r="B63" t="s">
        <v>759</v>
      </c>
      <c r="C63" t="s">
        <v>976</v>
      </c>
      <c r="D63">
        <v>19</v>
      </c>
    </row>
    <row r="64" spans="1:4" x14ac:dyDescent="0.25">
      <c r="A64" t="s">
        <v>123</v>
      </c>
      <c r="B64" t="s">
        <v>494</v>
      </c>
      <c r="C64" t="s">
        <v>977</v>
      </c>
      <c r="D64">
        <v>21</v>
      </c>
    </row>
    <row r="65" spans="1:4" x14ac:dyDescent="0.25">
      <c r="A65" t="s">
        <v>123</v>
      </c>
      <c r="B65" t="s">
        <v>363</v>
      </c>
      <c r="C65" t="s">
        <v>978</v>
      </c>
      <c r="D65">
        <v>18</v>
      </c>
    </row>
    <row r="66" spans="1:4" x14ac:dyDescent="0.25">
      <c r="A66" t="s">
        <v>123</v>
      </c>
      <c r="B66" t="s">
        <v>651</v>
      </c>
      <c r="C66" t="s">
        <v>979</v>
      </c>
      <c r="D66">
        <v>20</v>
      </c>
    </row>
    <row r="67" spans="1:4" x14ac:dyDescent="0.25">
      <c r="A67" t="s">
        <v>123</v>
      </c>
      <c r="B67" t="s">
        <v>184</v>
      </c>
      <c r="C67" t="s">
        <v>980</v>
      </c>
      <c r="D67">
        <v>18</v>
      </c>
    </row>
    <row r="68" spans="1:4" x14ac:dyDescent="0.25">
      <c r="A68" t="s">
        <v>123</v>
      </c>
      <c r="B68" t="s">
        <v>596</v>
      </c>
      <c r="C68" t="s">
        <v>981</v>
      </c>
      <c r="D68">
        <v>19</v>
      </c>
    </row>
    <row r="69" spans="1:4" x14ac:dyDescent="0.25">
      <c r="A69" t="s">
        <v>123</v>
      </c>
      <c r="B69" t="s">
        <v>628</v>
      </c>
      <c r="C69" t="s">
        <v>982</v>
      </c>
      <c r="D69">
        <v>21</v>
      </c>
    </row>
    <row r="70" spans="1:4" x14ac:dyDescent="0.25">
      <c r="A70" t="s">
        <v>123</v>
      </c>
      <c r="B70" t="s">
        <v>922</v>
      </c>
      <c r="C70" t="s">
        <v>983</v>
      </c>
      <c r="D70">
        <v>24</v>
      </c>
    </row>
    <row r="71" spans="1:4" x14ac:dyDescent="0.25">
      <c r="A71" t="s">
        <v>123</v>
      </c>
      <c r="B71" t="s">
        <v>984</v>
      </c>
      <c r="C71" t="s">
        <v>985</v>
      </c>
      <c r="D71">
        <v>21</v>
      </c>
    </row>
    <row r="72" spans="1:4" x14ac:dyDescent="0.25">
      <c r="A72" t="s">
        <v>123</v>
      </c>
      <c r="B72" t="s">
        <v>890</v>
      </c>
      <c r="C72" t="s">
        <v>986</v>
      </c>
      <c r="D72">
        <v>19</v>
      </c>
    </row>
    <row r="73" spans="1:4" x14ac:dyDescent="0.25">
      <c r="A73" t="s">
        <v>123</v>
      </c>
      <c r="B73" t="s">
        <v>987</v>
      </c>
      <c r="C73" t="s">
        <v>988</v>
      </c>
      <c r="D73">
        <v>17</v>
      </c>
    </row>
    <row r="74" spans="1:4" x14ac:dyDescent="0.25">
      <c r="A74" t="s">
        <v>123</v>
      </c>
      <c r="B74" t="s">
        <v>70</v>
      </c>
      <c r="C74" t="s">
        <v>989</v>
      </c>
      <c r="D74">
        <v>14</v>
      </c>
    </row>
    <row r="75" spans="1:4" x14ac:dyDescent="0.25">
      <c r="A75" t="s">
        <v>123</v>
      </c>
      <c r="B75" t="s">
        <v>990</v>
      </c>
      <c r="C75" t="s">
        <v>991</v>
      </c>
      <c r="D75">
        <v>13</v>
      </c>
    </row>
    <row r="76" spans="1:4" x14ac:dyDescent="0.25">
      <c r="A76" t="s">
        <v>123</v>
      </c>
      <c r="B76" t="s">
        <v>990</v>
      </c>
      <c r="C76" t="s">
        <v>992</v>
      </c>
      <c r="D76">
        <v>12</v>
      </c>
    </row>
    <row r="77" spans="1:4" x14ac:dyDescent="0.25">
      <c r="A77" t="s">
        <v>123</v>
      </c>
      <c r="B77" t="s">
        <v>896</v>
      </c>
      <c r="C77" t="s">
        <v>993</v>
      </c>
      <c r="D77">
        <v>13</v>
      </c>
    </row>
    <row r="78" spans="1:4" x14ac:dyDescent="0.25">
      <c r="A78" t="s">
        <v>123</v>
      </c>
      <c r="B78" t="s">
        <v>896</v>
      </c>
      <c r="C78" t="s">
        <v>994</v>
      </c>
      <c r="D78">
        <v>14</v>
      </c>
    </row>
    <row r="79" spans="1:4" x14ac:dyDescent="0.25">
      <c r="A79" t="s">
        <v>123</v>
      </c>
      <c r="B79" t="s">
        <v>448</v>
      </c>
      <c r="C79" t="s">
        <v>995</v>
      </c>
      <c r="D79">
        <v>11</v>
      </c>
    </row>
    <row r="80" spans="1:4" x14ac:dyDescent="0.25">
      <c r="A80" t="s">
        <v>123</v>
      </c>
      <c r="B80" t="s">
        <v>996</v>
      </c>
      <c r="C80" t="s">
        <v>997</v>
      </c>
      <c r="D80">
        <v>13</v>
      </c>
    </row>
    <row r="81" spans="1:4" x14ac:dyDescent="0.25">
      <c r="A81" t="s">
        <v>123</v>
      </c>
      <c r="B81" t="s">
        <v>996</v>
      </c>
      <c r="C81" t="s">
        <v>998</v>
      </c>
      <c r="D81">
        <v>14</v>
      </c>
    </row>
    <row r="82" spans="1:4" x14ac:dyDescent="0.25">
      <c r="A82" t="s">
        <v>123</v>
      </c>
      <c r="B82" t="s">
        <v>999</v>
      </c>
      <c r="C82" t="s">
        <v>1000</v>
      </c>
      <c r="D82">
        <v>17</v>
      </c>
    </row>
    <row r="83" spans="1:4" x14ac:dyDescent="0.25">
      <c r="A83" t="s">
        <v>123</v>
      </c>
      <c r="B83" t="s">
        <v>348</v>
      </c>
      <c r="C83" t="s">
        <v>1001</v>
      </c>
      <c r="D83">
        <v>19</v>
      </c>
    </row>
    <row r="84" spans="1:4" x14ac:dyDescent="0.25">
      <c r="A84" t="s">
        <v>123</v>
      </c>
      <c r="B84" t="s">
        <v>1002</v>
      </c>
      <c r="C84" t="s">
        <v>1003</v>
      </c>
      <c r="D84">
        <v>18</v>
      </c>
    </row>
    <row r="85" spans="1:4" x14ac:dyDescent="0.25">
      <c r="A85" t="s">
        <v>123</v>
      </c>
      <c r="B85" t="s">
        <v>559</v>
      </c>
      <c r="C85" t="s">
        <v>1004</v>
      </c>
      <c r="D85">
        <v>20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11.345238095238095</v>
      </c>
    </row>
    <row r="89" spans="1:4" x14ac:dyDescent="0.25">
      <c r="A89" t="s">
        <v>159</v>
      </c>
      <c r="D89">
        <f>MAX(D2:D85)</f>
        <v>24</v>
      </c>
    </row>
    <row r="90" spans="1:4" x14ac:dyDescent="0.25">
      <c r="A90" t="s">
        <v>160</v>
      </c>
      <c r="D90">
        <f>MIN(D2:D85)</f>
        <v>-5</v>
      </c>
    </row>
    <row r="91" spans="1:4" x14ac:dyDescent="0.25">
      <c r="A91" t="s">
        <v>161</v>
      </c>
      <c r="D91">
        <f>COUNTIF(D2:D85,"&gt;0")</f>
        <v>77</v>
      </c>
    </row>
    <row r="92" spans="1:4" x14ac:dyDescent="0.25">
      <c r="A92" t="s">
        <v>162</v>
      </c>
      <c r="D92">
        <f>COUNTIF(D2:D85,"=0")</f>
        <v>0</v>
      </c>
    </row>
    <row r="93" spans="1:4" x14ac:dyDescent="0.25">
      <c r="A93" t="s">
        <v>1005</v>
      </c>
      <c r="D93">
        <f>COUNTIF(D2:D85,"&lt;0")</f>
        <v>7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AVERAGE(D2,D3,D4,D5,D6,D7,D8,D9,D10,D11,D12,D13,D14,D15,D16,D17,D18,D19,D20,D21,D22,D23,D24)</f>
        <v>1.4347826086956521</v>
      </c>
    </row>
    <row r="97" spans="1:4" x14ac:dyDescent="0.25">
      <c r="A97" t="s">
        <v>166</v>
      </c>
      <c r="D97">
        <f>AVERAGE(D25,D26,D27,D28,D29,D30,D31,D32,D33,D34,D35,D36,D37,D38,D39,D40,D41,D42,D43)</f>
        <v>8.1578947368421044</v>
      </c>
    </row>
    <row r="98" spans="1:4" x14ac:dyDescent="0.25">
      <c r="A98" t="s">
        <v>167</v>
      </c>
      <c r="D98">
        <f>AVERAGE(D44,D45,D46,D47,D48,D49,D50,D51,D52,D53,D54,D55,D56,D57,D58,D59,D60)</f>
        <v>19.411764705882351</v>
      </c>
    </row>
    <row r="99" spans="1:4" x14ac:dyDescent="0.25">
      <c r="A99" t="s">
        <v>168</v>
      </c>
      <c r="D99">
        <f>AVERAGE(D61,D62,D63,D64,D65,D66,D67,D68,D69,D70,D71,D72,D73,D74,D75,D76,D77,D78,D79,D80,D81,D82,D83,D84,D85)</f>
        <v>17.399999999999999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1006</v>
      </c>
    </row>
    <row r="2" spans="1:4" x14ac:dyDescent="0.25">
      <c r="A2" t="s">
        <v>4</v>
      </c>
      <c r="B2" t="s">
        <v>1007</v>
      </c>
      <c r="C2" t="s">
        <v>1008</v>
      </c>
      <c r="D2">
        <v>-3</v>
      </c>
    </row>
    <row r="3" spans="1:4" x14ac:dyDescent="0.25">
      <c r="A3" t="s">
        <v>4</v>
      </c>
      <c r="B3" t="s">
        <v>1009</v>
      </c>
      <c r="C3" t="s">
        <v>306</v>
      </c>
      <c r="D3">
        <v>-1</v>
      </c>
    </row>
    <row r="4" spans="1:4" x14ac:dyDescent="0.25">
      <c r="A4" t="s">
        <v>4</v>
      </c>
      <c r="B4" t="s">
        <v>859</v>
      </c>
      <c r="C4" t="s">
        <v>429</v>
      </c>
      <c r="D4">
        <v>2</v>
      </c>
    </row>
    <row r="5" spans="1:4" x14ac:dyDescent="0.25">
      <c r="A5" t="s">
        <v>4</v>
      </c>
      <c r="B5" t="s">
        <v>1010</v>
      </c>
      <c r="C5" t="s">
        <v>430</v>
      </c>
      <c r="D5">
        <v>4</v>
      </c>
    </row>
    <row r="6" spans="1:4" x14ac:dyDescent="0.25">
      <c r="A6" t="s">
        <v>4</v>
      </c>
      <c r="B6" t="s">
        <v>566</v>
      </c>
      <c r="C6" t="s">
        <v>432</v>
      </c>
      <c r="D6">
        <v>2</v>
      </c>
    </row>
    <row r="7" spans="1:4" x14ac:dyDescent="0.25">
      <c r="A7" t="s">
        <v>4</v>
      </c>
      <c r="B7" t="s">
        <v>1011</v>
      </c>
      <c r="C7" t="s">
        <v>1012</v>
      </c>
      <c r="D7">
        <v>4</v>
      </c>
    </row>
    <row r="8" spans="1:4" x14ac:dyDescent="0.25">
      <c r="A8" t="s">
        <v>4</v>
      </c>
      <c r="B8" t="s">
        <v>1013</v>
      </c>
      <c r="C8" t="s">
        <v>783</v>
      </c>
      <c r="D8">
        <v>7</v>
      </c>
    </row>
    <row r="9" spans="1:4" x14ac:dyDescent="0.25">
      <c r="A9" t="s">
        <v>4</v>
      </c>
      <c r="B9" t="s">
        <v>433</v>
      </c>
      <c r="C9" t="s">
        <v>784</v>
      </c>
      <c r="D9">
        <v>5</v>
      </c>
    </row>
    <row r="10" spans="1:4" x14ac:dyDescent="0.25">
      <c r="A10" t="s">
        <v>4</v>
      </c>
      <c r="B10" t="s">
        <v>368</v>
      </c>
      <c r="C10" t="s">
        <v>1014</v>
      </c>
      <c r="D10">
        <v>8</v>
      </c>
    </row>
    <row r="11" spans="1:4" x14ac:dyDescent="0.25">
      <c r="A11" t="s">
        <v>4</v>
      </c>
      <c r="B11" t="s">
        <v>186</v>
      </c>
      <c r="C11" t="s">
        <v>786</v>
      </c>
      <c r="D11">
        <v>7</v>
      </c>
    </row>
    <row r="12" spans="1:4" x14ac:dyDescent="0.25">
      <c r="A12" t="s">
        <v>4</v>
      </c>
      <c r="B12" t="s">
        <v>435</v>
      </c>
      <c r="C12" t="s">
        <v>1015</v>
      </c>
      <c r="D12">
        <v>9</v>
      </c>
    </row>
    <row r="13" spans="1:4" x14ac:dyDescent="0.25">
      <c r="A13" t="s">
        <v>4</v>
      </c>
      <c r="B13" t="s">
        <v>764</v>
      </c>
      <c r="C13" t="s">
        <v>193</v>
      </c>
      <c r="D13">
        <v>10</v>
      </c>
    </row>
    <row r="14" spans="1:4" x14ac:dyDescent="0.25">
      <c r="A14" t="s">
        <v>4</v>
      </c>
      <c r="B14" t="s">
        <v>1016</v>
      </c>
      <c r="C14" t="s">
        <v>1017</v>
      </c>
      <c r="D14">
        <v>12</v>
      </c>
    </row>
    <row r="15" spans="1:4" x14ac:dyDescent="0.25">
      <c r="A15" t="s">
        <v>4</v>
      </c>
      <c r="B15" t="s">
        <v>924</v>
      </c>
      <c r="C15" t="s">
        <v>1018</v>
      </c>
      <c r="D15">
        <v>10</v>
      </c>
    </row>
    <row r="16" spans="1:4" x14ac:dyDescent="0.25">
      <c r="A16" t="s">
        <v>4</v>
      </c>
      <c r="B16" t="s">
        <v>417</v>
      </c>
      <c r="C16" t="s">
        <v>326</v>
      </c>
      <c r="D16">
        <v>8</v>
      </c>
    </row>
    <row r="17" spans="1:4" x14ac:dyDescent="0.25">
      <c r="A17" t="s">
        <v>4</v>
      </c>
      <c r="B17" t="s">
        <v>1019</v>
      </c>
      <c r="C17" t="s">
        <v>1020</v>
      </c>
      <c r="D17">
        <v>10</v>
      </c>
    </row>
    <row r="18" spans="1:4" x14ac:dyDescent="0.25">
      <c r="A18" t="s">
        <v>4</v>
      </c>
      <c r="B18" t="s">
        <v>537</v>
      </c>
      <c r="C18" t="s">
        <v>1021</v>
      </c>
      <c r="D18">
        <v>12</v>
      </c>
    </row>
    <row r="19" spans="1:4" x14ac:dyDescent="0.25">
      <c r="A19" t="s">
        <v>4</v>
      </c>
      <c r="B19" t="s">
        <v>38</v>
      </c>
      <c r="C19" t="s">
        <v>203</v>
      </c>
      <c r="D19">
        <v>9</v>
      </c>
    </row>
    <row r="20" spans="1:4" x14ac:dyDescent="0.25">
      <c r="A20" t="s">
        <v>40</v>
      </c>
      <c r="B20" t="s">
        <v>1022</v>
      </c>
      <c r="C20" t="s">
        <v>1023</v>
      </c>
      <c r="D20">
        <v>11</v>
      </c>
    </row>
    <row r="21" spans="1:4" x14ac:dyDescent="0.25">
      <c r="A21" t="s">
        <v>40</v>
      </c>
      <c r="B21" t="s">
        <v>1024</v>
      </c>
      <c r="C21" t="s">
        <v>1025</v>
      </c>
      <c r="D21">
        <v>8</v>
      </c>
    </row>
    <row r="22" spans="1:4" x14ac:dyDescent="0.25">
      <c r="A22" t="s">
        <v>40</v>
      </c>
      <c r="B22" t="s">
        <v>427</v>
      </c>
      <c r="C22" t="s">
        <v>1026</v>
      </c>
      <c r="D22">
        <v>10</v>
      </c>
    </row>
    <row r="23" spans="1:4" x14ac:dyDescent="0.25">
      <c r="A23" t="s">
        <v>40</v>
      </c>
      <c r="B23" t="s">
        <v>1027</v>
      </c>
      <c r="C23" t="s">
        <v>1028</v>
      </c>
      <c r="D23">
        <v>12</v>
      </c>
    </row>
    <row r="24" spans="1:4" x14ac:dyDescent="0.25">
      <c r="A24" t="s">
        <v>40</v>
      </c>
      <c r="B24" t="s">
        <v>1029</v>
      </c>
      <c r="C24" t="s">
        <v>1030</v>
      </c>
      <c r="D24">
        <v>15</v>
      </c>
    </row>
    <row r="25" spans="1:4" x14ac:dyDescent="0.25">
      <c r="A25" t="s">
        <v>40</v>
      </c>
      <c r="B25" t="s">
        <v>460</v>
      </c>
      <c r="C25" t="s">
        <v>1031</v>
      </c>
      <c r="D25">
        <v>13</v>
      </c>
    </row>
    <row r="26" spans="1:4" x14ac:dyDescent="0.25">
      <c r="A26" t="s">
        <v>40</v>
      </c>
      <c r="B26" t="s">
        <v>497</v>
      </c>
      <c r="C26" t="s">
        <v>1032</v>
      </c>
      <c r="D26">
        <v>15</v>
      </c>
    </row>
    <row r="27" spans="1:4" x14ac:dyDescent="0.25">
      <c r="A27" t="s">
        <v>40</v>
      </c>
      <c r="B27" t="s">
        <v>1033</v>
      </c>
      <c r="C27" t="s">
        <v>1034</v>
      </c>
      <c r="D27">
        <v>13</v>
      </c>
    </row>
    <row r="28" spans="1:4" x14ac:dyDescent="0.25">
      <c r="A28" t="s">
        <v>40</v>
      </c>
      <c r="B28" t="s">
        <v>93</v>
      </c>
      <c r="C28" t="s">
        <v>1035</v>
      </c>
      <c r="D28">
        <v>14</v>
      </c>
    </row>
    <row r="29" spans="1:4" x14ac:dyDescent="0.25">
      <c r="A29" t="s">
        <v>40</v>
      </c>
      <c r="B29" t="s">
        <v>313</v>
      </c>
      <c r="C29" t="s">
        <v>1036</v>
      </c>
      <c r="D29">
        <v>17</v>
      </c>
    </row>
    <row r="30" spans="1:4" x14ac:dyDescent="0.25">
      <c r="A30" t="s">
        <v>40</v>
      </c>
      <c r="B30" t="s">
        <v>263</v>
      </c>
      <c r="C30" t="s">
        <v>1037</v>
      </c>
      <c r="D30">
        <v>20</v>
      </c>
    </row>
    <row r="31" spans="1:4" x14ac:dyDescent="0.25">
      <c r="A31" t="s">
        <v>40</v>
      </c>
      <c r="B31" t="s">
        <v>1038</v>
      </c>
      <c r="C31" t="s">
        <v>1039</v>
      </c>
      <c r="D31">
        <v>22</v>
      </c>
    </row>
    <row r="32" spans="1:4" x14ac:dyDescent="0.25">
      <c r="A32" t="s">
        <v>40</v>
      </c>
      <c r="B32" t="s">
        <v>1040</v>
      </c>
      <c r="C32" t="s">
        <v>1041</v>
      </c>
      <c r="D32">
        <v>24</v>
      </c>
    </row>
    <row r="33" spans="1:4" x14ac:dyDescent="0.25">
      <c r="A33" t="s">
        <v>40</v>
      </c>
      <c r="B33" t="s">
        <v>288</v>
      </c>
      <c r="C33" t="s">
        <v>1042</v>
      </c>
      <c r="D33">
        <v>22</v>
      </c>
    </row>
    <row r="34" spans="1:4" x14ac:dyDescent="0.25">
      <c r="A34" t="s">
        <v>40</v>
      </c>
      <c r="B34" t="s">
        <v>1043</v>
      </c>
      <c r="C34" t="s">
        <v>1044</v>
      </c>
      <c r="D34">
        <v>24</v>
      </c>
    </row>
    <row r="35" spans="1:4" x14ac:dyDescent="0.25">
      <c r="A35" t="s">
        <v>40</v>
      </c>
      <c r="B35" t="s">
        <v>1045</v>
      </c>
      <c r="C35" t="s">
        <v>1046</v>
      </c>
      <c r="D35">
        <v>23</v>
      </c>
    </row>
    <row r="36" spans="1:4" x14ac:dyDescent="0.25">
      <c r="A36" t="s">
        <v>40</v>
      </c>
      <c r="B36" t="s">
        <v>1045</v>
      </c>
      <c r="C36" t="s">
        <v>1047</v>
      </c>
      <c r="D36">
        <v>22</v>
      </c>
    </row>
    <row r="37" spans="1:4" x14ac:dyDescent="0.25">
      <c r="A37" t="s">
        <v>40</v>
      </c>
      <c r="B37" t="s">
        <v>1048</v>
      </c>
      <c r="C37" t="s">
        <v>1049</v>
      </c>
      <c r="D37">
        <v>24</v>
      </c>
    </row>
    <row r="38" spans="1:4" x14ac:dyDescent="0.25">
      <c r="A38" t="s">
        <v>40</v>
      </c>
      <c r="B38" t="s">
        <v>1050</v>
      </c>
      <c r="C38" t="s">
        <v>1051</v>
      </c>
      <c r="D38">
        <v>26</v>
      </c>
    </row>
    <row r="39" spans="1:4" x14ac:dyDescent="0.25">
      <c r="A39" t="s">
        <v>40</v>
      </c>
      <c r="B39" t="s">
        <v>322</v>
      </c>
      <c r="C39" t="s">
        <v>1052</v>
      </c>
      <c r="D39">
        <v>24</v>
      </c>
    </row>
    <row r="40" spans="1:4" x14ac:dyDescent="0.25">
      <c r="A40" t="s">
        <v>40</v>
      </c>
      <c r="B40" t="s">
        <v>154</v>
      </c>
      <c r="C40" t="s">
        <v>1053</v>
      </c>
      <c r="D40">
        <v>26</v>
      </c>
    </row>
    <row r="41" spans="1:4" x14ac:dyDescent="0.25">
      <c r="A41" t="s">
        <v>40</v>
      </c>
      <c r="B41" t="s">
        <v>235</v>
      </c>
      <c r="C41" t="s">
        <v>1054</v>
      </c>
      <c r="D41">
        <v>28</v>
      </c>
    </row>
    <row r="42" spans="1:4" x14ac:dyDescent="0.25">
      <c r="A42" t="s">
        <v>80</v>
      </c>
      <c r="B42" t="s">
        <v>1055</v>
      </c>
      <c r="C42" t="s">
        <v>1056</v>
      </c>
      <c r="D42">
        <v>26</v>
      </c>
    </row>
    <row r="43" spans="1:4" x14ac:dyDescent="0.25">
      <c r="A43" t="s">
        <v>80</v>
      </c>
      <c r="B43" t="s">
        <v>1057</v>
      </c>
      <c r="C43" t="s">
        <v>1058</v>
      </c>
      <c r="D43">
        <v>29</v>
      </c>
    </row>
    <row r="44" spans="1:4" x14ac:dyDescent="0.25">
      <c r="A44" t="s">
        <v>80</v>
      </c>
      <c r="B44" t="s">
        <v>47</v>
      </c>
      <c r="C44" t="s">
        <v>1059</v>
      </c>
      <c r="D44">
        <v>28</v>
      </c>
    </row>
    <row r="45" spans="1:4" x14ac:dyDescent="0.25">
      <c r="A45" t="s">
        <v>80</v>
      </c>
      <c r="B45" t="s">
        <v>47</v>
      </c>
      <c r="C45" t="s">
        <v>1060</v>
      </c>
      <c r="D45">
        <v>27</v>
      </c>
    </row>
    <row r="46" spans="1:4" x14ac:dyDescent="0.25">
      <c r="A46" t="s">
        <v>80</v>
      </c>
      <c r="B46" t="s">
        <v>398</v>
      </c>
      <c r="C46" t="s">
        <v>1061</v>
      </c>
      <c r="D46">
        <v>30</v>
      </c>
    </row>
    <row r="47" spans="1:4" x14ac:dyDescent="0.25">
      <c r="A47" t="s">
        <v>80</v>
      </c>
      <c r="B47" t="s">
        <v>723</v>
      </c>
      <c r="C47" t="s">
        <v>1062</v>
      </c>
      <c r="D47">
        <v>31</v>
      </c>
    </row>
    <row r="48" spans="1:4" x14ac:dyDescent="0.25">
      <c r="A48" t="s">
        <v>80</v>
      </c>
      <c r="B48" t="s">
        <v>723</v>
      </c>
      <c r="C48" t="s">
        <v>1063</v>
      </c>
      <c r="D48">
        <v>32</v>
      </c>
    </row>
    <row r="49" spans="1:4" x14ac:dyDescent="0.25">
      <c r="A49" t="s">
        <v>80</v>
      </c>
      <c r="B49" t="s">
        <v>175</v>
      </c>
      <c r="C49" t="s">
        <v>1064</v>
      </c>
      <c r="D49">
        <v>35</v>
      </c>
    </row>
    <row r="50" spans="1:4" x14ac:dyDescent="0.25">
      <c r="A50" t="s">
        <v>80</v>
      </c>
      <c r="B50" t="s">
        <v>1065</v>
      </c>
      <c r="C50" t="s">
        <v>1066</v>
      </c>
      <c r="D50">
        <v>36</v>
      </c>
    </row>
    <row r="51" spans="1:4" x14ac:dyDescent="0.25">
      <c r="A51" t="s">
        <v>80</v>
      </c>
      <c r="B51" t="s">
        <v>1065</v>
      </c>
      <c r="C51" t="s">
        <v>1067</v>
      </c>
      <c r="D51">
        <v>37</v>
      </c>
    </row>
    <row r="52" spans="1:4" x14ac:dyDescent="0.25">
      <c r="A52" t="s">
        <v>80</v>
      </c>
      <c r="B52" t="s">
        <v>181</v>
      </c>
      <c r="C52" t="s">
        <v>1068</v>
      </c>
      <c r="D52">
        <v>39</v>
      </c>
    </row>
    <row r="53" spans="1:4" x14ac:dyDescent="0.25">
      <c r="A53" t="s">
        <v>80</v>
      </c>
      <c r="B53" t="s">
        <v>1069</v>
      </c>
      <c r="C53" t="s">
        <v>1070</v>
      </c>
      <c r="D53">
        <v>41</v>
      </c>
    </row>
    <row r="54" spans="1:4" x14ac:dyDescent="0.25">
      <c r="A54" t="s">
        <v>80</v>
      </c>
      <c r="B54" t="s">
        <v>872</v>
      </c>
      <c r="C54" t="s">
        <v>1071</v>
      </c>
      <c r="D54">
        <v>44</v>
      </c>
    </row>
    <row r="55" spans="1:4" x14ac:dyDescent="0.25">
      <c r="A55" t="s">
        <v>80</v>
      </c>
      <c r="B55" t="s">
        <v>766</v>
      </c>
      <c r="C55" t="s">
        <v>1072</v>
      </c>
      <c r="D55">
        <v>46</v>
      </c>
    </row>
    <row r="56" spans="1:4" x14ac:dyDescent="0.25">
      <c r="A56" t="s">
        <v>80</v>
      </c>
      <c r="B56" t="s">
        <v>1073</v>
      </c>
      <c r="C56" t="s">
        <v>1074</v>
      </c>
      <c r="D56">
        <v>43</v>
      </c>
    </row>
    <row r="57" spans="1:4" x14ac:dyDescent="0.25">
      <c r="A57" t="s">
        <v>80</v>
      </c>
      <c r="B57" t="s">
        <v>877</v>
      </c>
      <c r="C57" t="s">
        <v>1075</v>
      </c>
      <c r="D57">
        <v>44</v>
      </c>
    </row>
    <row r="58" spans="1:4" x14ac:dyDescent="0.25">
      <c r="A58" t="s">
        <v>80</v>
      </c>
      <c r="B58" t="s">
        <v>1076</v>
      </c>
      <c r="C58" t="s">
        <v>1077</v>
      </c>
      <c r="D58">
        <v>46</v>
      </c>
    </row>
    <row r="59" spans="1:4" x14ac:dyDescent="0.25">
      <c r="A59" t="s">
        <v>80</v>
      </c>
      <c r="B59" t="s">
        <v>389</v>
      </c>
      <c r="C59" t="s">
        <v>1078</v>
      </c>
      <c r="D59">
        <v>45</v>
      </c>
    </row>
    <row r="60" spans="1:4" x14ac:dyDescent="0.25">
      <c r="A60" t="s">
        <v>80</v>
      </c>
      <c r="B60" t="s">
        <v>294</v>
      </c>
      <c r="C60" t="s">
        <v>1079</v>
      </c>
      <c r="D60">
        <v>48</v>
      </c>
    </row>
    <row r="61" spans="1:4" x14ac:dyDescent="0.25">
      <c r="A61" t="s">
        <v>80</v>
      </c>
      <c r="B61" t="s">
        <v>582</v>
      </c>
      <c r="C61" t="s">
        <v>1080</v>
      </c>
      <c r="D61">
        <v>50</v>
      </c>
    </row>
    <row r="62" spans="1:4" x14ac:dyDescent="0.25">
      <c r="A62" t="s">
        <v>123</v>
      </c>
      <c r="B62" t="s">
        <v>1007</v>
      </c>
      <c r="C62" t="s">
        <v>1081</v>
      </c>
      <c r="D62">
        <v>48</v>
      </c>
    </row>
    <row r="63" spans="1:4" x14ac:dyDescent="0.25">
      <c r="A63" t="s">
        <v>123</v>
      </c>
      <c r="B63" t="s">
        <v>7</v>
      </c>
      <c r="C63" t="s">
        <v>1082</v>
      </c>
      <c r="D63">
        <v>50</v>
      </c>
    </row>
    <row r="64" spans="1:4" x14ac:dyDescent="0.25">
      <c r="A64" t="s">
        <v>123</v>
      </c>
      <c r="B64" t="s">
        <v>1083</v>
      </c>
      <c r="C64" t="s">
        <v>1084</v>
      </c>
      <c r="D64">
        <v>48</v>
      </c>
    </row>
    <row r="65" spans="1:4" x14ac:dyDescent="0.25">
      <c r="A65" t="s">
        <v>123</v>
      </c>
      <c r="B65" t="s">
        <v>89</v>
      </c>
      <c r="C65" t="s">
        <v>1085</v>
      </c>
      <c r="D65">
        <v>51</v>
      </c>
    </row>
    <row r="66" spans="1:4" x14ac:dyDescent="0.25">
      <c r="A66" t="s">
        <v>123</v>
      </c>
      <c r="B66" t="s">
        <v>1086</v>
      </c>
      <c r="C66" t="s">
        <v>1087</v>
      </c>
      <c r="D66">
        <v>54</v>
      </c>
    </row>
    <row r="67" spans="1:4" x14ac:dyDescent="0.25">
      <c r="A67" t="s">
        <v>123</v>
      </c>
      <c r="B67" t="s">
        <v>1033</v>
      </c>
      <c r="C67" t="s">
        <v>1088</v>
      </c>
      <c r="D67">
        <v>57</v>
      </c>
    </row>
    <row r="68" spans="1:4" x14ac:dyDescent="0.25">
      <c r="A68" t="s">
        <v>123</v>
      </c>
      <c r="B68" t="s">
        <v>140</v>
      </c>
      <c r="C68" t="s">
        <v>1089</v>
      </c>
      <c r="D68">
        <v>55</v>
      </c>
    </row>
    <row r="69" spans="1:4" x14ac:dyDescent="0.25">
      <c r="A69" t="s">
        <v>123</v>
      </c>
      <c r="B69" t="s">
        <v>1090</v>
      </c>
      <c r="C69" t="s">
        <v>1091</v>
      </c>
      <c r="D69">
        <v>57</v>
      </c>
    </row>
    <row r="70" spans="1:4" x14ac:dyDescent="0.25">
      <c r="A70" t="s">
        <v>123</v>
      </c>
      <c r="B70" t="s">
        <v>1092</v>
      </c>
      <c r="C70" t="s">
        <v>1093</v>
      </c>
      <c r="D70">
        <v>58</v>
      </c>
    </row>
    <row r="71" spans="1:4" x14ac:dyDescent="0.25">
      <c r="A71" t="s">
        <v>123</v>
      </c>
      <c r="B71" t="s">
        <v>376</v>
      </c>
      <c r="C71" t="s">
        <v>1094</v>
      </c>
      <c r="D71">
        <v>56</v>
      </c>
    </row>
    <row r="72" spans="1:4" x14ac:dyDescent="0.25">
      <c r="A72" t="s">
        <v>123</v>
      </c>
      <c r="B72" t="s">
        <v>376</v>
      </c>
      <c r="C72" t="s">
        <v>1095</v>
      </c>
      <c r="D72">
        <v>55</v>
      </c>
    </row>
    <row r="73" spans="1:4" x14ac:dyDescent="0.25">
      <c r="A73" t="s">
        <v>123</v>
      </c>
      <c r="B73" t="s">
        <v>984</v>
      </c>
      <c r="C73" t="s">
        <v>1096</v>
      </c>
      <c r="D73">
        <v>53</v>
      </c>
    </row>
    <row r="74" spans="1:4" x14ac:dyDescent="0.25">
      <c r="A74" t="s">
        <v>123</v>
      </c>
      <c r="B74" t="s">
        <v>671</v>
      </c>
      <c r="C74" t="s">
        <v>1097</v>
      </c>
      <c r="D74">
        <v>51</v>
      </c>
    </row>
    <row r="75" spans="1:4" x14ac:dyDescent="0.25">
      <c r="A75" t="s">
        <v>123</v>
      </c>
      <c r="B75" t="s">
        <v>710</v>
      </c>
      <c r="C75" t="s">
        <v>1098</v>
      </c>
      <c r="D75">
        <v>49</v>
      </c>
    </row>
    <row r="76" spans="1:4" x14ac:dyDescent="0.25">
      <c r="A76" t="s">
        <v>123</v>
      </c>
      <c r="B76" t="s">
        <v>634</v>
      </c>
      <c r="C76" t="s">
        <v>1099</v>
      </c>
      <c r="D76">
        <v>50</v>
      </c>
    </row>
    <row r="77" spans="1:4" x14ac:dyDescent="0.25">
      <c r="A77" t="s">
        <v>123</v>
      </c>
      <c r="B77" t="s">
        <v>634</v>
      </c>
      <c r="C77" t="s">
        <v>1100</v>
      </c>
      <c r="D77">
        <v>51</v>
      </c>
    </row>
    <row r="78" spans="1:4" x14ac:dyDescent="0.25">
      <c r="A78" t="s">
        <v>123</v>
      </c>
      <c r="B78" t="s">
        <v>681</v>
      </c>
      <c r="C78" t="s">
        <v>1101</v>
      </c>
      <c r="D78">
        <v>53</v>
      </c>
    </row>
    <row r="79" spans="1:4" x14ac:dyDescent="0.25">
      <c r="A79" t="s">
        <v>123</v>
      </c>
      <c r="B79" t="s">
        <v>301</v>
      </c>
      <c r="C79" t="s">
        <v>1102</v>
      </c>
      <c r="D79">
        <v>51</v>
      </c>
    </row>
    <row r="81" spans="1:4" x14ac:dyDescent="0.25">
      <c r="A81" s="2" t="s">
        <v>157</v>
      </c>
    </row>
    <row r="82" spans="1:4" x14ac:dyDescent="0.25">
      <c r="A82" t="s">
        <v>158</v>
      </c>
      <c r="D82">
        <f>AVERAGE(D2:D79)</f>
        <v>28.615384615384617</v>
      </c>
    </row>
    <row r="83" spans="1:4" x14ac:dyDescent="0.25">
      <c r="A83" t="s">
        <v>159</v>
      </c>
      <c r="D83">
        <f>MAX(D2:D79)</f>
        <v>58</v>
      </c>
    </row>
    <row r="84" spans="1:4" x14ac:dyDescent="0.25">
      <c r="A84" t="s">
        <v>160</v>
      </c>
      <c r="D84">
        <f>MIN(D2:D79)</f>
        <v>-3</v>
      </c>
    </row>
    <row r="85" spans="1:4" x14ac:dyDescent="0.25">
      <c r="A85" t="s">
        <v>161</v>
      </c>
      <c r="D85">
        <f>COUNTIF(D2:D79,"&gt;0")</f>
        <v>76</v>
      </c>
    </row>
    <row r="86" spans="1:4" x14ac:dyDescent="0.25">
      <c r="A86" t="s">
        <v>162</v>
      </c>
      <c r="D86">
        <f>COUNTIF(D2:D79,"=0")</f>
        <v>0</v>
      </c>
    </row>
    <row r="87" spans="1:4" x14ac:dyDescent="0.25">
      <c r="A87" t="s">
        <v>1103</v>
      </c>
      <c r="D87">
        <f>COUNTIF(D2:D79,"&lt;0")</f>
        <v>2</v>
      </c>
    </row>
    <row r="89" spans="1:4" x14ac:dyDescent="0.25">
      <c r="A89" s="2" t="s">
        <v>164</v>
      </c>
    </row>
    <row r="90" spans="1:4" x14ac:dyDescent="0.25">
      <c r="A90" t="s">
        <v>165</v>
      </c>
      <c r="D90">
        <f>AVERAGE(D2,D3,D4,D5,D6,D7,D8,D9,D10,D11,D12,D13,D14,D15,D16,D17,D18,D19)</f>
        <v>6.3888888888888893</v>
      </c>
    </row>
    <row r="91" spans="1:4" x14ac:dyDescent="0.25">
      <c r="A91" t="s">
        <v>166</v>
      </c>
      <c r="D91">
        <f>AVERAGE(D20,D21,D22,D23,D24,D25,D26,D27,D28,D29,D30,D31,D32,D33,D34,D35,D36,D37,D38,D39,D40,D41)</f>
        <v>18.772727272727273</v>
      </c>
    </row>
    <row r="92" spans="1:4" x14ac:dyDescent="0.25">
      <c r="A92" t="s">
        <v>167</v>
      </c>
      <c r="D92">
        <f>AVERAGE(D42,D43,D44,D45,D46,D47,D48,D49,D50,D51,D52,D53,D54,D55,D56,D57,D58,D59,D60,D61)</f>
        <v>37.85</v>
      </c>
    </row>
    <row r="93" spans="1:4" x14ac:dyDescent="0.25">
      <c r="A93" t="s">
        <v>168</v>
      </c>
      <c r="D93">
        <f>AVERAGE(D62,D63,D64,D65,D66,D67,D68,D69,D70,D71,D72,D73,D74,D75,D76,D77,D78,D79)</f>
        <v>52.611111111111114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716</v>
      </c>
      <c r="C2" t="s">
        <v>6</v>
      </c>
      <c r="D2">
        <v>2</v>
      </c>
    </row>
    <row r="3" spans="1:4" x14ac:dyDescent="0.25">
      <c r="A3" t="s">
        <v>4</v>
      </c>
      <c r="B3" t="s">
        <v>935</v>
      </c>
      <c r="C3" t="s">
        <v>8</v>
      </c>
      <c r="D3">
        <v>0</v>
      </c>
    </row>
    <row r="4" spans="1:4" x14ac:dyDescent="0.25">
      <c r="A4" t="s">
        <v>4</v>
      </c>
      <c r="B4" t="s">
        <v>1086</v>
      </c>
      <c r="C4" t="s">
        <v>10</v>
      </c>
      <c r="D4">
        <v>-2</v>
      </c>
    </row>
    <row r="5" spans="1:4" x14ac:dyDescent="0.25">
      <c r="A5" t="s">
        <v>4</v>
      </c>
      <c r="B5" t="s">
        <v>737</v>
      </c>
      <c r="C5" t="s">
        <v>12</v>
      </c>
      <c r="D5">
        <v>0</v>
      </c>
    </row>
    <row r="6" spans="1:4" x14ac:dyDescent="0.25">
      <c r="A6" t="s">
        <v>4</v>
      </c>
      <c r="B6" t="s">
        <v>1105</v>
      </c>
      <c r="C6" t="s">
        <v>1106</v>
      </c>
      <c r="D6">
        <v>1</v>
      </c>
    </row>
    <row r="7" spans="1:4" x14ac:dyDescent="0.25">
      <c r="A7" t="s">
        <v>4</v>
      </c>
      <c r="B7" t="s">
        <v>499</v>
      </c>
      <c r="C7" t="s">
        <v>1107</v>
      </c>
      <c r="D7">
        <v>-1</v>
      </c>
    </row>
    <row r="8" spans="1:4" x14ac:dyDescent="0.25">
      <c r="A8" t="s">
        <v>4</v>
      </c>
      <c r="B8" t="s">
        <v>1108</v>
      </c>
      <c r="C8" t="s">
        <v>1109</v>
      </c>
      <c r="D8">
        <v>-3</v>
      </c>
    </row>
    <row r="9" spans="1:4" x14ac:dyDescent="0.25">
      <c r="A9" t="s">
        <v>4</v>
      </c>
      <c r="B9" t="s">
        <v>223</v>
      </c>
      <c r="C9" t="s">
        <v>434</v>
      </c>
      <c r="D9">
        <v>-1</v>
      </c>
    </row>
    <row r="10" spans="1:4" x14ac:dyDescent="0.25">
      <c r="A10" t="s">
        <v>4</v>
      </c>
      <c r="B10" t="s">
        <v>67</v>
      </c>
      <c r="C10" t="s">
        <v>22</v>
      </c>
      <c r="D10">
        <v>2</v>
      </c>
    </row>
    <row r="11" spans="1:4" x14ac:dyDescent="0.25">
      <c r="A11" t="s">
        <v>4</v>
      </c>
      <c r="B11" t="s">
        <v>114</v>
      </c>
      <c r="C11" t="s">
        <v>1110</v>
      </c>
      <c r="D11">
        <v>0</v>
      </c>
    </row>
    <row r="12" spans="1:4" x14ac:dyDescent="0.25">
      <c r="A12" t="s">
        <v>4</v>
      </c>
      <c r="B12" t="s">
        <v>146</v>
      </c>
      <c r="C12" t="s">
        <v>917</v>
      </c>
      <c r="D12">
        <v>2</v>
      </c>
    </row>
    <row r="13" spans="1:4" x14ac:dyDescent="0.25">
      <c r="A13" t="s">
        <v>4</v>
      </c>
      <c r="B13" t="s">
        <v>671</v>
      </c>
      <c r="C13" t="s">
        <v>1111</v>
      </c>
      <c r="D13">
        <v>5</v>
      </c>
    </row>
    <row r="14" spans="1:4" x14ac:dyDescent="0.25">
      <c r="A14" t="s">
        <v>4</v>
      </c>
      <c r="B14" t="s">
        <v>1112</v>
      </c>
      <c r="C14" t="s">
        <v>920</v>
      </c>
      <c r="D14">
        <v>3</v>
      </c>
    </row>
    <row r="15" spans="1:4" x14ac:dyDescent="0.25">
      <c r="A15" t="s">
        <v>4</v>
      </c>
      <c r="B15" t="s">
        <v>1113</v>
      </c>
      <c r="C15" t="s">
        <v>1114</v>
      </c>
      <c r="D15">
        <v>2</v>
      </c>
    </row>
    <row r="16" spans="1:4" x14ac:dyDescent="0.25">
      <c r="A16" t="s">
        <v>4</v>
      </c>
      <c r="B16" t="s">
        <v>1115</v>
      </c>
      <c r="C16" t="s">
        <v>705</v>
      </c>
      <c r="D16">
        <v>-1</v>
      </c>
    </row>
    <row r="17" spans="1:4" x14ac:dyDescent="0.25">
      <c r="A17" t="s">
        <v>40</v>
      </c>
      <c r="B17" t="s">
        <v>1116</v>
      </c>
      <c r="C17" t="s">
        <v>707</v>
      </c>
      <c r="D17">
        <v>1</v>
      </c>
    </row>
    <row r="18" spans="1:4" x14ac:dyDescent="0.25">
      <c r="A18" t="s">
        <v>40</v>
      </c>
      <c r="B18" t="s">
        <v>1117</v>
      </c>
      <c r="C18" t="s">
        <v>790</v>
      </c>
      <c r="D18">
        <v>4</v>
      </c>
    </row>
    <row r="19" spans="1:4" x14ac:dyDescent="0.25">
      <c r="A19" t="s">
        <v>40</v>
      </c>
      <c r="B19" t="s">
        <v>1118</v>
      </c>
      <c r="C19" t="s">
        <v>791</v>
      </c>
      <c r="D19">
        <v>2</v>
      </c>
    </row>
    <row r="20" spans="1:4" x14ac:dyDescent="0.25">
      <c r="A20" t="s">
        <v>40</v>
      </c>
      <c r="B20" t="s">
        <v>1119</v>
      </c>
      <c r="C20" t="s">
        <v>331</v>
      </c>
      <c r="D20">
        <v>3</v>
      </c>
    </row>
    <row r="21" spans="1:4" x14ac:dyDescent="0.25">
      <c r="A21" t="s">
        <v>40</v>
      </c>
      <c r="B21" t="s">
        <v>1119</v>
      </c>
      <c r="C21" t="s">
        <v>1120</v>
      </c>
      <c r="D21">
        <v>4</v>
      </c>
    </row>
    <row r="22" spans="1:4" x14ac:dyDescent="0.25">
      <c r="A22" t="s">
        <v>40</v>
      </c>
      <c r="B22" t="s">
        <v>431</v>
      </c>
      <c r="C22" t="s">
        <v>1121</v>
      </c>
      <c r="D22">
        <v>2</v>
      </c>
    </row>
    <row r="23" spans="1:4" x14ac:dyDescent="0.25">
      <c r="A23" t="s">
        <v>40</v>
      </c>
      <c r="B23" t="s">
        <v>1086</v>
      </c>
      <c r="C23" t="s">
        <v>1122</v>
      </c>
      <c r="D23">
        <v>4</v>
      </c>
    </row>
    <row r="24" spans="1:4" x14ac:dyDescent="0.25">
      <c r="A24" t="s">
        <v>40</v>
      </c>
      <c r="B24" t="s">
        <v>1086</v>
      </c>
      <c r="C24" t="s">
        <v>713</v>
      </c>
      <c r="D24">
        <v>5</v>
      </c>
    </row>
    <row r="25" spans="1:4" x14ac:dyDescent="0.25">
      <c r="A25" t="s">
        <v>40</v>
      </c>
      <c r="B25" t="s">
        <v>497</v>
      </c>
      <c r="C25" t="s">
        <v>1123</v>
      </c>
      <c r="D25">
        <v>6</v>
      </c>
    </row>
    <row r="26" spans="1:4" x14ac:dyDescent="0.25">
      <c r="A26" t="s">
        <v>40</v>
      </c>
      <c r="B26" t="s">
        <v>497</v>
      </c>
      <c r="C26" t="s">
        <v>715</v>
      </c>
      <c r="D26">
        <v>7</v>
      </c>
    </row>
    <row r="27" spans="1:4" x14ac:dyDescent="0.25">
      <c r="A27" t="s">
        <v>40</v>
      </c>
      <c r="B27" t="s">
        <v>256</v>
      </c>
      <c r="C27" t="s">
        <v>717</v>
      </c>
      <c r="D27">
        <v>4</v>
      </c>
    </row>
    <row r="28" spans="1:4" x14ac:dyDescent="0.25">
      <c r="A28" t="s">
        <v>40</v>
      </c>
      <c r="B28" t="s">
        <v>1069</v>
      </c>
      <c r="C28" t="s">
        <v>929</v>
      </c>
      <c r="D28">
        <v>3</v>
      </c>
    </row>
    <row r="29" spans="1:4" x14ac:dyDescent="0.25">
      <c r="A29" t="s">
        <v>40</v>
      </c>
      <c r="B29" t="s">
        <v>1069</v>
      </c>
      <c r="C29" t="s">
        <v>1124</v>
      </c>
      <c r="D29">
        <v>2</v>
      </c>
    </row>
    <row r="30" spans="1:4" x14ac:dyDescent="0.25">
      <c r="A30" t="s">
        <v>40</v>
      </c>
      <c r="B30" t="s">
        <v>941</v>
      </c>
      <c r="C30" t="s">
        <v>340</v>
      </c>
      <c r="D30">
        <v>3</v>
      </c>
    </row>
    <row r="31" spans="1:4" x14ac:dyDescent="0.25">
      <c r="A31" t="s">
        <v>40</v>
      </c>
      <c r="B31" t="s">
        <v>805</v>
      </c>
      <c r="C31" t="s">
        <v>1125</v>
      </c>
      <c r="D31">
        <v>6</v>
      </c>
    </row>
    <row r="32" spans="1:4" x14ac:dyDescent="0.25">
      <c r="A32" t="s">
        <v>40</v>
      </c>
      <c r="B32" t="s">
        <v>764</v>
      </c>
      <c r="C32" t="s">
        <v>1126</v>
      </c>
      <c r="D32">
        <v>3</v>
      </c>
    </row>
    <row r="33" spans="1:4" x14ac:dyDescent="0.25">
      <c r="A33" t="s">
        <v>40</v>
      </c>
      <c r="B33" t="s">
        <v>1127</v>
      </c>
      <c r="C33" t="s">
        <v>1128</v>
      </c>
      <c r="D33">
        <v>1</v>
      </c>
    </row>
    <row r="34" spans="1:4" x14ac:dyDescent="0.25">
      <c r="A34" t="s">
        <v>40</v>
      </c>
      <c r="B34" t="s">
        <v>1129</v>
      </c>
      <c r="C34" t="s">
        <v>1130</v>
      </c>
      <c r="D34">
        <v>2</v>
      </c>
    </row>
    <row r="35" spans="1:4" x14ac:dyDescent="0.25">
      <c r="A35" t="s">
        <v>40</v>
      </c>
      <c r="B35" t="s">
        <v>1129</v>
      </c>
      <c r="C35" t="s">
        <v>1131</v>
      </c>
      <c r="D35">
        <v>3</v>
      </c>
    </row>
    <row r="36" spans="1:4" x14ac:dyDescent="0.25">
      <c r="A36" t="s">
        <v>40</v>
      </c>
      <c r="B36" t="s">
        <v>1132</v>
      </c>
      <c r="C36" t="s">
        <v>1133</v>
      </c>
      <c r="D36">
        <v>1</v>
      </c>
    </row>
    <row r="37" spans="1:4" x14ac:dyDescent="0.25">
      <c r="A37" t="s">
        <v>40</v>
      </c>
      <c r="B37" t="s">
        <v>552</v>
      </c>
      <c r="C37" t="s">
        <v>1134</v>
      </c>
      <c r="D37">
        <v>-1</v>
      </c>
    </row>
    <row r="38" spans="1:4" x14ac:dyDescent="0.25">
      <c r="A38" t="s">
        <v>40</v>
      </c>
      <c r="B38" t="s">
        <v>1135</v>
      </c>
      <c r="C38" t="s">
        <v>230</v>
      </c>
      <c r="D38">
        <v>2</v>
      </c>
    </row>
    <row r="39" spans="1:4" x14ac:dyDescent="0.25">
      <c r="A39" t="s">
        <v>80</v>
      </c>
      <c r="B39" t="s">
        <v>1136</v>
      </c>
      <c r="C39" t="s">
        <v>1137</v>
      </c>
      <c r="D39">
        <v>5</v>
      </c>
    </row>
    <row r="40" spans="1:4" x14ac:dyDescent="0.25">
      <c r="A40" t="s">
        <v>80</v>
      </c>
      <c r="B40" t="s">
        <v>1138</v>
      </c>
      <c r="C40" t="s">
        <v>1139</v>
      </c>
      <c r="D40">
        <v>8</v>
      </c>
    </row>
    <row r="41" spans="1:4" x14ac:dyDescent="0.25">
      <c r="A41" t="s">
        <v>80</v>
      </c>
      <c r="B41" t="s">
        <v>83</v>
      </c>
      <c r="C41" t="s">
        <v>1140</v>
      </c>
      <c r="D41">
        <v>9</v>
      </c>
    </row>
    <row r="42" spans="1:4" x14ac:dyDescent="0.25">
      <c r="A42" t="s">
        <v>80</v>
      </c>
      <c r="B42" t="s">
        <v>935</v>
      </c>
      <c r="C42" t="s">
        <v>1141</v>
      </c>
      <c r="D42">
        <v>10</v>
      </c>
    </row>
    <row r="43" spans="1:4" x14ac:dyDescent="0.25">
      <c r="A43" t="s">
        <v>80</v>
      </c>
      <c r="B43" t="s">
        <v>1010</v>
      </c>
      <c r="C43" t="s">
        <v>1142</v>
      </c>
      <c r="D43">
        <v>8</v>
      </c>
    </row>
    <row r="44" spans="1:4" x14ac:dyDescent="0.25">
      <c r="A44" t="s">
        <v>80</v>
      </c>
      <c r="B44" t="s">
        <v>1143</v>
      </c>
      <c r="C44" t="s">
        <v>1144</v>
      </c>
      <c r="D44">
        <v>6</v>
      </c>
    </row>
    <row r="45" spans="1:4" x14ac:dyDescent="0.25">
      <c r="A45" t="s">
        <v>80</v>
      </c>
      <c r="B45" t="s">
        <v>641</v>
      </c>
      <c r="C45" t="s">
        <v>1145</v>
      </c>
      <c r="D45">
        <v>9</v>
      </c>
    </row>
    <row r="46" spans="1:4" x14ac:dyDescent="0.25">
      <c r="A46" t="s">
        <v>80</v>
      </c>
      <c r="B46" t="s">
        <v>1146</v>
      </c>
      <c r="C46" t="s">
        <v>1147</v>
      </c>
      <c r="D46">
        <v>7</v>
      </c>
    </row>
    <row r="47" spans="1:4" x14ac:dyDescent="0.25">
      <c r="A47" t="s">
        <v>80</v>
      </c>
      <c r="B47" t="s">
        <v>937</v>
      </c>
      <c r="C47" t="s">
        <v>1148</v>
      </c>
      <c r="D47">
        <v>9</v>
      </c>
    </row>
    <row r="48" spans="1:4" x14ac:dyDescent="0.25">
      <c r="A48" t="s">
        <v>80</v>
      </c>
      <c r="B48" t="s">
        <v>15</v>
      </c>
      <c r="C48" t="s">
        <v>1149</v>
      </c>
      <c r="D48">
        <v>11</v>
      </c>
    </row>
    <row r="49" spans="1:4" x14ac:dyDescent="0.25">
      <c r="A49" t="s">
        <v>80</v>
      </c>
      <c r="B49" t="s">
        <v>654</v>
      </c>
      <c r="C49" t="s">
        <v>1150</v>
      </c>
      <c r="D49">
        <v>14</v>
      </c>
    </row>
    <row r="50" spans="1:4" x14ac:dyDescent="0.25">
      <c r="A50" t="s">
        <v>80</v>
      </c>
      <c r="B50" t="s">
        <v>1151</v>
      </c>
      <c r="C50" t="s">
        <v>1152</v>
      </c>
      <c r="D50">
        <v>12</v>
      </c>
    </row>
    <row r="51" spans="1:4" x14ac:dyDescent="0.25">
      <c r="A51" t="s">
        <v>80</v>
      </c>
      <c r="B51" t="s">
        <v>1153</v>
      </c>
      <c r="C51" t="s">
        <v>1154</v>
      </c>
      <c r="D51">
        <v>9</v>
      </c>
    </row>
    <row r="52" spans="1:4" x14ac:dyDescent="0.25">
      <c r="A52" t="s">
        <v>80</v>
      </c>
      <c r="B52" t="s">
        <v>286</v>
      </c>
      <c r="C52" t="s">
        <v>1155</v>
      </c>
      <c r="D52">
        <v>8</v>
      </c>
    </row>
    <row r="53" spans="1:4" x14ac:dyDescent="0.25">
      <c r="A53" t="s">
        <v>80</v>
      </c>
      <c r="B53" t="s">
        <v>290</v>
      </c>
      <c r="C53" t="s">
        <v>1156</v>
      </c>
      <c r="D53">
        <v>10</v>
      </c>
    </row>
    <row r="54" spans="1:4" x14ac:dyDescent="0.25">
      <c r="A54" t="s">
        <v>80</v>
      </c>
      <c r="B54" t="s">
        <v>611</v>
      </c>
      <c r="C54" t="s">
        <v>1157</v>
      </c>
      <c r="D54">
        <v>12</v>
      </c>
    </row>
    <row r="55" spans="1:4" x14ac:dyDescent="0.25">
      <c r="A55" t="s">
        <v>80</v>
      </c>
      <c r="B55" t="s">
        <v>31</v>
      </c>
      <c r="C55" t="s">
        <v>1158</v>
      </c>
      <c r="D55">
        <v>10</v>
      </c>
    </row>
    <row r="56" spans="1:4" x14ac:dyDescent="0.25">
      <c r="A56" t="s">
        <v>80</v>
      </c>
      <c r="B56" t="s">
        <v>531</v>
      </c>
      <c r="C56" t="s">
        <v>1159</v>
      </c>
      <c r="D56">
        <v>8</v>
      </c>
    </row>
    <row r="57" spans="1:4" x14ac:dyDescent="0.25">
      <c r="A57" t="s">
        <v>80</v>
      </c>
      <c r="B57" t="s">
        <v>33</v>
      </c>
      <c r="C57" t="s">
        <v>1160</v>
      </c>
      <c r="D57">
        <v>9</v>
      </c>
    </row>
    <row r="58" spans="1:4" x14ac:dyDescent="0.25">
      <c r="A58" t="s">
        <v>80</v>
      </c>
      <c r="B58" t="s">
        <v>33</v>
      </c>
      <c r="C58" t="s">
        <v>1161</v>
      </c>
      <c r="D58">
        <v>10</v>
      </c>
    </row>
    <row r="59" spans="1:4" x14ac:dyDescent="0.25">
      <c r="A59" t="s">
        <v>80</v>
      </c>
      <c r="B59" t="s">
        <v>1162</v>
      </c>
      <c r="C59" t="s">
        <v>1163</v>
      </c>
      <c r="D59">
        <v>8</v>
      </c>
    </row>
    <row r="60" spans="1:4" x14ac:dyDescent="0.25">
      <c r="A60" t="s">
        <v>123</v>
      </c>
      <c r="B60" t="s">
        <v>453</v>
      </c>
      <c r="C60" t="s">
        <v>1164</v>
      </c>
      <c r="D60">
        <v>6</v>
      </c>
    </row>
    <row r="61" spans="1:4" x14ac:dyDescent="0.25">
      <c r="A61" t="s">
        <v>123</v>
      </c>
      <c r="B61" t="s">
        <v>716</v>
      </c>
      <c r="C61" t="s">
        <v>1165</v>
      </c>
      <c r="D61">
        <v>8</v>
      </c>
    </row>
    <row r="62" spans="1:4" x14ac:dyDescent="0.25">
      <c r="A62" t="s">
        <v>123</v>
      </c>
      <c r="B62" t="s">
        <v>757</v>
      </c>
      <c r="C62" t="s">
        <v>1166</v>
      </c>
      <c r="D62">
        <v>7</v>
      </c>
    </row>
    <row r="63" spans="1:4" x14ac:dyDescent="0.25">
      <c r="A63" t="s">
        <v>123</v>
      </c>
      <c r="B63" t="s">
        <v>721</v>
      </c>
      <c r="C63" t="s">
        <v>1167</v>
      </c>
      <c r="D63">
        <v>5</v>
      </c>
    </row>
    <row r="64" spans="1:4" x14ac:dyDescent="0.25">
      <c r="A64" t="s">
        <v>123</v>
      </c>
      <c r="B64" t="s">
        <v>357</v>
      </c>
      <c r="C64" t="s">
        <v>1168</v>
      </c>
      <c r="D64">
        <v>7</v>
      </c>
    </row>
    <row r="65" spans="1:4" x14ac:dyDescent="0.25">
      <c r="A65" t="s">
        <v>123</v>
      </c>
      <c r="B65" t="s">
        <v>1169</v>
      </c>
      <c r="C65" t="s">
        <v>640</v>
      </c>
      <c r="D65">
        <v>4</v>
      </c>
    </row>
    <row r="66" spans="1:4" x14ac:dyDescent="0.25">
      <c r="A66" t="s">
        <v>123</v>
      </c>
      <c r="B66" t="s">
        <v>1170</v>
      </c>
      <c r="C66" t="s">
        <v>1171</v>
      </c>
      <c r="D66">
        <v>5</v>
      </c>
    </row>
    <row r="67" spans="1:4" x14ac:dyDescent="0.25">
      <c r="A67" t="s">
        <v>123</v>
      </c>
      <c r="B67" t="s">
        <v>101</v>
      </c>
      <c r="C67" t="s">
        <v>1172</v>
      </c>
      <c r="D67">
        <v>3</v>
      </c>
    </row>
    <row r="68" spans="1:4" x14ac:dyDescent="0.25">
      <c r="A68" t="s">
        <v>123</v>
      </c>
      <c r="B68" t="s">
        <v>746</v>
      </c>
      <c r="C68" t="s">
        <v>1173</v>
      </c>
      <c r="D68">
        <v>5</v>
      </c>
    </row>
    <row r="69" spans="1:4" x14ac:dyDescent="0.25">
      <c r="A69" t="s">
        <v>123</v>
      </c>
      <c r="B69" t="s">
        <v>467</v>
      </c>
      <c r="C69" t="s">
        <v>1174</v>
      </c>
      <c r="D69">
        <v>3</v>
      </c>
    </row>
    <row r="70" spans="1:4" x14ac:dyDescent="0.25">
      <c r="A70" t="s">
        <v>123</v>
      </c>
      <c r="B70" t="s">
        <v>144</v>
      </c>
      <c r="C70" t="s">
        <v>1175</v>
      </c>
      <c r="D70">
        <v>1</v>
      </c>
    </row>
    <row r="71" spans="1:4" x14ac:dyDescent="0.25">
      <c r="A71" t="s">
        <v>123</v>
      </c>
      <c r="B71" t="s">
        <v>473</v>
      </c>
      <c r="C71" t="s">
        <v>1176</v>
      </c>
      <c r="D71">
        <v>3</v>
      </c>
    </row>
    <row r="72" spans="1:4" x14ac:dyDescent="0.25">
      <c r="A72" t="s">
        <v>123</v>
      </c>
      <c r="B72" t="s">
        <v>1177</v>
      </c>
      <c r="C72" t="s">
        <v>1178</v>
      </c>
      <c r="D72">
        <v>4</v>
      </c>
    </row>
    <row r="73" spans="1:4" x14ac:dyDescent="0.25">
      <c r="A73" t="s">
        <v>123</v>
      </c>
      <c r="B73" t="s">
        <v>1177</v>
      </c>
      <c r="C73" t="s">
        <v>763</v>
      </c>
      <c r="D73">
        <v>5</v>
      </c>
    </row>
    <row r="74" spans="1:4" x14ac:dyDescent="0.25">
      <c r="A74" t="s">
        <v>123</v>
      </c>
      <c r="B74" t="s">
        <v>554</v>
      </c>
      <c r="C74" t="s">
        <v>1179</v>
      </c>
      <c r="D74">
        <v>6</v>
      </c>
    </row>
    <row r="75" spans="1:4" x14ac:dyDescent="0.25">
      <c r="A75" t="s">
        <v>123</v>
      </c>
      <c r="B75" t="s">
        <v>554</v>
      </c>
      <c r="C75" t="s">
        <v>765</v>
      </c>
      <c r="D75">
        <v>7</v>
      </c>
    </row>
    <row r="76" spans="1:4" x14ac:dyDescent="0.25">
      <c r="A76" t="s">
        <v>123</v>
      </c>
      <c r="B76" t="s">
        <v>1180</v>
      </c>
      <c r="C76" t="s">
        <v>767</v>
      </c>
      <c r="D76">
        <v>9</v>
      </c>
    </row>
    <row r="77" spans="1:4" x14ac:dyDescent="0.25">
      <c r="A77" t="s">
        <v>123</v>
      </c>
      <c r="B77" t="s">
        <v>681</v>
      </c>
      <c r="C77" t="s">
        <v>1181</v>
      </c>
      <c r="D77">
        <v>7</v>
      </c>
    </row>
    <row r="78" spans="1:4" x14ac:dyDescent="0.25">
      <c r="A78" t="s">
        <v>123</v>
      </c>
      <c r="B78" t="s">
        <v>681</v>
      </c>
      <c r="C78" t="s">
        <v>768</v>
      </c>
      <c r="D78">
        <v>6</v>
      </c>
    </row>
    <row r="79" spans="1:4" x14ac:dyDescent="0.25">
      <c r="A79" t="s">
        <v>123</v>
      </c>
      <c r="B79" t="s">
        <v>1135</v>
      </c>
      <c r="C79" t="s">
        <v>1182</v>
      </c>
      <c r="D79">
        <v>7</v>
      </c>
    </row>
    <row r="80" spans="1:4" x14ac:dyDescent="0.25">
      <c r="A80" t="s">
        <v>123</v>
      </c>
      <c r="B80" t="s">
        <v>1135</v>
      </c>
      <c r="C80" t="s">
        <v>418</v>
      </c>
      <c r="D80">
        <v>8</v>
      </c>
    </row>
    <row r="81" spans="1:4" x14ac:dyDescent="0.25">
      <c r="A81" t="s">
        <v>123</v>
      </c>
      <c r="B81" t="s">
        <v>930</v>
      </c>
      <c r="C81" t="s">
        <v>1183</v>
      </c>
      <c r="D81">
        <v>6</v>
      </c>
    </row>
    <row r="82" spans="1:4" x14ac:dyDescent="0.25">
      <c r="A82" t="s">
        <v>123</v>
      </c>
      <c r="B82" t="s">
        <v>350</v>
      </c>
      <c r="C82" t="s">
        <v>1184</v>
      </c>
      <c r="D82">
        <v>7</v>
      </c>
    </row>
    <row r="83" spans="1:4" x14ac:dyDescent="0.25">
      <c r="A83" t="s">
        <v>123</v>
      </c>
      <c r="B83" t="s">
        <v>350</v>
      </c>
      <c r="C83" t="s">
        <v>1185</v>
      </c>
      <c r="D83">
        <v>8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4.9390243902439028</v>
      </c>
    </row>
    <row r="87" spans="1:4" x14ac:dyDescent="0.25">
      <c r="A87" t="s">
        <v>159</v>
      </c>
      <c r="D87">
        <f>MAX(D2:D83)</f>
        <v>14</v>
      </c>
    </row>
    <row r="88" spans="1:4" x14ac:dyDescent="0.25">
      <c r="A88" t="s">
        <v>160</v>
      </c>
      <c r="D88">
        <f>MIN(D2:D83)</f>
        <v>-3</v>
      </c>
    </row>
    <row r="89" spans="1:4" x14ac:dyDescent="0.25">
      <c r="A89" t="s">
        <v>161</v>
      </c>
      <c r="D89">
        <f>COUNTIF(D2:D83,"&gt;0")</f>
        <v>73</v>
      </c>
    </row>
    <row r="90" spans="1:4" x14ac:dyDescent="0.25">
      <c r="A90" t="s">
        <v>162</v>
      </c>
      <c r="D90">
        <f>COUNTIF(D2:D83,"=0")</f>
        <v>3</v>
      </c>
    </row>
    <row r="91" spans="1:4" x14ac:dyDescent="0.25">
      <c r="A91" t="s">
        <v>1186</v>
      </c>
      <c r="D91">
        <f>COUNTIF(D2:D83,"&lt;0")</f>
        <v>6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AVERAGE(D2,D3,D4,D5,D6,D7,D8,D9,D10,D11,D12,D13,D14,D15,D16)</f>
        <v>0.6</v>
      </c>
    </row>
    <row r="95" spans="1:4" x14ac:dyDescent="0.25">
      <c r="A95" t="s">
        <v>166</v>
      </c>
      <c r="D95">
        <f>AVERAGE(D17,D18,D19,D20,D21,D22,D23,D24,D25,D26,D27,D28,D29,D30,D31,D32,D33,D34,D35,D36,D37,D38)</f>
        <v>3.0454545454545454</v>
      </c>
    </row>
    <row r="96" spans="1:4" x14ac:dyDescent="0.25">
      <c r="A96" t="s">
        <v>167</v>
      </c>
      <c r="D96">
        <f>AVERAGE(D39,D40,D41,D42,D43,D44,D45,D46,D47,D48,D49,D50,D51,D52,D53,D54,D55,D56,D57,D58,D59)</f>
        <v>9.1428571428571423</v>
      </c>
    </row>
    <row r="97" spans="1:4" x14ac:dyDescent="0.25">
      <c r="A97" t="s">
        <v>168</v>
      </c>
      <c r="D97">
        <f>AVERAGE(D60,D61,D62,D63,D64,D65,D66,D67,D68,D69,D70,D71,D72,D73,D74,D75,D76,D77,D78,D79,D80,D81,D82,D83)</f>
        <v>5.708333333333333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126</v>
      </c>
      <c r="C2" t="s">
        <v>908</v>
      </c>
      <c r="D2">
        <v>-2</v>
      </c>
    </row>
    <row r="3" spans="1:4" x14ac:dyDescent="0.25">
      <c r="A3" t="s">
        <v>4</v>
      </c>
      <c r="B3" t="s">
        <v>242</v>
      </c>
      <c r="C3" t="s">
        <v>1188</v>
      </c>
      <c r="D3">
        <v>-1</v>
      </c>
    </row>
    <row r="4" spans="1:4" x14ac:dyDescent="0.25">
      <c r="A4" t="s">
        <v>4</v>
      </c>
      <c r="B4" t="s">
        <v>47</v>
      </c>
      <c r="C4" t="s">
        <v>1189</v>
      </c>
      <c r="D4">
        <v>-2</v>
      </c>
    </row>
    <row r="5" spans="1:4" x14ac:dyDescent="0.25">
      <c r="A5" t="s">
        <v>4</v>
      </c>
      <c r="B5" t="s">
        <v>1190</v>
      </c>
      <c r="C5" t="s">
        <v>1191</v>
      </c>
      <c r="D5">
        <v>0</v>
      </c>
    </row>
    <row r="6" spans="1:4" x14ac:dyDescent="0.25">
      <c r="A6" t="s">
        <v>4</v>
      </c>
      <c r="B6" t="s">
        <v>1192</v>
      </c>
      <c r="C6" t="s">
        <v>308</v>
      </c>
      <c r="D6">
        <v>1</v>
      </c>
    </row>
    <row r="7" spans="1:4" x14ac:dyDescent="0.25">
      <c r="A7" t="s">
        <v>4</v>
      </c>
      <c r="B7" t="s">
        <v>778</v>
      </c>
      <c r="C7" t="s">
        <v>309</v>
      </c>
      <c r="D7">
        <v>-1</v>
      </c>
    </row>
    <row r="8" spans="1:4" x14ac:dyDescent="0.25">
      <c r="A8" t="s">
        <v>4</v>
      </c>
      <c r="B8" t="s">
        <v>51</v>
      </c>
      <c r="C8" t="s">
        <v>1193</v>
      </c>
      <c r="D8">
        <v>1</v>
      </c>
    </row>
    <row r="9" spans="1:4" x14ac:dyDescent="0.25">
      <c r="A9" t="s">
        <v>4</v>
      </c>
      <c r="B9" t="s">
        <v>1194</v>
      </c>
      <c r="C9" t="s">
        <v>1012</v>
      </c>
      <c r="D9">
        <v>4</v>
      </c>
    </row>
    <row r="10" spans="1:4" x14ac:dyDescent="0.25">
      <c r="A10" t="s">
        <v>4</v>
      </c>
      <c r="B10" t="s">
        <v>254</v>
      </c>
      <c r="C10" t="s">
        <v>783</v>
      </c>
      <c r="D10">
        <v>7</v>
      </c>
    </row>
    <row r="11" spans="1:4" x14ac:dyDescent="0.25">
      <c r="A11" t="s">
        <v>4</v>
      </c>
      <c r="B11" t="s">
        <v>181</v>
      </c>
      <c r="C11" t="s">
        <v>1195</v>
      </c>
      <c r="D11">
        <v>9</v>
      </c>
    </row>
    <row r="12" spans="1:4" x14ac:dyDescent="0.25">
      <c r="A12" t="s">
        <v>4</v>
      </c>
      <c r="B12" t="s">
        <v>97</v>
      </c>
      <c r="C12" t="s">
        <v>1196</v>
      </c>
      <c r="D12">
        <v>7</v>
      </c>
    </row>
    <row r="13" spans="1:4" x14ac:dyDescent="0.25">
      <c r="A13" t="s">
        <v>4</v>
      </c>
      <c r="B13" t="s">
        <v>370</v>
      </c>
      <c r="C13" t="s">
        <v>1197</v>
      </c>
      <c r="D13">
        <v>9</v>
      </c>
    </row>
    <row r="14" spans="1:4" x14ac:dyDescent="0.25">
      <c r="A14" t="s">
        <v>4</v>
      </c>
      <c r="B14" t="s">
        <v>1108</v>
      </c>
      <c r="C14" t="s">
        <v>321</v>
      </c>
      <c r="D14">
        <v>6</v>
      </c>
    </row>
    <row r="15" spans="1:4" x14ac:dyDescent="0.25">
      <c r="A15" t="s">
        <v>4</v>
      </c>
      <c r="B15" t="s">
        <v>1198</v>
      </c>
      <c r="C15" t="s">
        <v>195</v>
      </c>
      <c r="D15">
        <v>8</v>
      </c>
    </row>
    <row r="16" spans="1:4" x14ac:dyDescent="0.25">
      <c r="A16" t="s">
        <v>4</v>
      </c>
      <c r="B16" t="s">
        <v>1153</v>
      </c>
      <c r="C16" t="s">
        <v>1199</v>
      </c>
      <c r="D16">
        <v>6</v>
      </c>
    </row>
    <row r="17" spans="1:4" x14ac:dyDescent="0.25">
      <c r="A17" t="s">
        <v>4</v>
      </c>
      <c r="B17" t="s">
        <v>1200</v>
      </c>
      <c r="C17" t="s">
        <v>324</v>
      </c>
      <c r="D17">
        <v>7</v>
      </c>
    </row>
    <row r="18" spans="1:4" x14ac:dyDescent="0.25">
      <c r="A18" t="s">
        <v>4</v>
      </c>
      <c r="B18" t="s">
        <v>1043</v>
      </c>
      <c r="C18" t="s">
        <v>1201</v>
      </c>
      <c r="D18">
        <v>4</v>
      </c>
    </row>
    <row r="19" spans="1:4" x14ac:dyDescent="0.25">
      <c r="A19" t="s">
        <v>4</v>
      </c>
      <c r="B19" t="s">
        <v>1202</v>
      </c>
      <c r="C19" t="s">
        <v>1203</v>
      </c>
      <c r="D19">
        <v>6</v>
      </c>
    </row>
    <row r="20" spans="1:4" x14ac:dyDescent="0.25">
      <c r="A20" t="s">
        <v>4</v>
      </c>
      <c r="B20" t="s">
        <v>1204</v>
      </c>
      <c r="C20" t="s">
        <v>1205</v>
      </c>
      <c r="D20">
        <v>8</v>
      </c>
    </row>
    <row r="21" spans="1:4" x14ac:dyDescent="0.25">
      <c r="A21" t="s">
        <v>4</v>
      </c>
      <c r="B21" t="s">
        <v>1206</v>
      </c>
      <c r="C21" t="s">
        <v>1207</v>
      </c>
      <c r="D21">
        <v>5</v>
      </c>
    </row>
    <row r="22" spans="1:4" x14ac:dyDescent="0.25">
      <c r="A22" t="s">
        <v>4</v>
      </c>
      <c r="B22" t="s">
        <v>1002</v>
      </c>
      <c r="C22" t="s">
        <v>1025</v>
      </c>
      <c r="D22">
        <v>8</v>
      </c>
    </row>
    <row r="23" spans="1:4" x14ac:dyDescent="0.25">
      <c r="A23" t="s">
        <v>4</v>
      </c>
      <c r="B23" t="s">
        <v>451</v>
      </c>
      <c r="C23" t="s">
        <v>210</v>
      </c>
      <c r="D23">
        <v>7</v>
      </c>
    </row>
    <row r="24" spans="1:4" x14ac:dyDescent="0.25">
      <c r="A24" t="s">
        <v>40</v>
      </c>
      <c r="B24" t="s">
        <v>1208</v>
      </c>
      <c r="C24" t="s">
        <v>212</v>
      </c>
      <c r="D24">
        <v>5</v>
      </c>
    </row>
    <row r="25" spans="1:4" x14ac:dyDescent="0.25">
      <c r="A25" t="s">
        <v>40</v>
      </c>
      <c r="B25" t="s">
        <v>716</v>
      </c>
      <c r="C25" t="s">
        <v>1209</v>
      </c>
      <c r="D25">
        <v>7</v>
      </c>
    </row>
    <row r="26" spans="1:4" x14ac:dyDescent="0.25">
      <c r="A26" t="s">
        <v>40</v>
      </c>
      <c r="B26" t="s">
        <v>43</v>
      </c>
      <c r="C26" t="s">
        <v>338</v>
      </c>
      <c r="D26">
        <v>4</v>
      </c>
    </row>
    <row r="27" spans="1:4" x14ac:dyDescent="0.25">
      <c r="A27" t="s">
        <v>40</v>
      </c>
      <c r="B27" t="s">
        <v>1210</v>
      </c>
      <c r="C27" t="s">
        <v>1211</v>
      </c>
      <c r="D27">
        <v>6</v>
      </c>
    </row>
    <row r="28" spans="1:4" x14ac:dyDescent="0.25">
      <c r="A28" t="s">
        <v>40</v>
      </c>
      <c r="B28" t="s">
        <v>1010</v>
      </c>
      <c r="C28" t="s">
        <v>722</v>
      </c>
      <c r="D28">
        <v>3</v>
      </c>
    </row>
    <row r="29" spans="1:4" x14ac:dyDescent="0.25">
      <c r="A29" t="s">
        <v>40</v>
      </c>
      <c r="B29" t="s">
        <v>250</v>
      </c>
      <c r="C29" t="s">
        <v>1212</v>
      </c>
      <c r="D29">
        <v>1</v>
      </c>
    </row>
    <row r="30" spans="1:4" x14ac:dyDescent="0.25">
      <c r="A30" t="s">
        <v>40</v>
      </c>
      <c r="B30" t="s">
        <v>645</v>
      </c>
      <c r="C30" t="s">
        <v>1213</v>
      </c>
      <c r="D30">
        <v>3</v>
      </c>
    </row>
    <row r="31" spans="1:4" x14ac:dyDescent="0.25">
      <c r="A31" t="s">
        <v>40</v>
      </c>
      <c r="B31" t="s">
        <v>363</v>
      </c>
      <c r="C31" t="s">
        <v>1214</v>
      </c>
      <c r="D31">
        <v>5</v>
      </c>
    </row>
    <row r="32" spans="1:4" x14ac:dyDescent="0.25">
      <c r="A32" t="s">
        <v>40</v>
      </c>
      <c r="B32" t="s">
        <v>184</v>
      </c>
      <c r="C32" t="s">
        <v>1215</v>
      </c>
      <c r="D32">
        <v>8</v>
      </c>
    </row>
    <row r="33" spans="1:4" x14ac:dyDescent="0.25">
      <c r="A33" t="s">
        <v>40</v>
      </c>
      <c r="B33" t="s">
        <v>922</v>
      </c>
      <c r="C33" t="s">
        <v>940</v>
      </c>
      <c r="D33">
        <v>6</v>
      </c>
    </row>
    <row r="34" spans="1:4" x14ac:dyDescent="0.25">
      <c r="A34" t="s">
        <v>40</v>
      </c>
      <c r="B34" t="s">
        <v>341</v>
      </c>
      <c r="C34" t="s">
        <v>1216</v>
      </c>
      <c r="D34">
        <v>4</v>
      </c>
    </row>
    <row r="35" spans="1:4" x14ac:dyDescent="0.25">
      <c r="A35" t="s">
        <v>40</v>
      </c>
      <c r="B35" t="s">
        <v>1217</v>
      </c>
      <c r="C35" t="s">
        <v>1218</v>
      </c>
      <c r="D35">
        <v>2</v>
      </c>
    </row>
    <row r="36" spans="1:4" x14ac:dyDescent="0.25">
      <c r="A36" t="s">
        <v>40</v>
      </c>
      <c r="B36" t="s">
        <v>444</v>
      </c>
      <c r="C36" t="s">
        <v>1219</v>
      </c>
      <c r="D36">
        <v>4</v>
      </c>
    </row>
    <row r="37" spans="1:4" x14ac:dyDescent="0.25">
      <c r="A37" t="s">
        <v>40</v>
      </c>
      <c r="B37" t="s">
        <v>292</v>
      </c>
      <c r="C37" t="s">
        <v>356</v>
      </c>
      <c r="D37">
        <v>3</v>
      </c>
    </row>
    <row r="38" spans="1:4" x14ac:dyDescent="0.25">
      <c r="A38" t="s">
        <v>40</v>
      </c>
      <c r="B38" t="s">
        <v>292</v>
      </c>
      <c r="C38" t="s">
        <v>1220</v>
      </c>
      <c r="D38">
        <v>2</v>
      </c>
    </row>
    <row r="39" spans="1:4" x14ac:dyDescent="0.25">
      <c r="A39" t="s">
        <v>40</v>
      </c>
      <c r="B39" t="s">
        <v>1177</v>
      </c>
      <c r="C39" t="s">
        <v>1221</v>
      </c>
      <c r="D39">
        <v>0</v>
      </c>
    </row>
    <row r="40" spans="1:4" x14ac:dyDescent="0.25">
      <c r="A40" t="s">
        <v>40</v>
      </c>
      <c r="B40" t="s">
        <v>1222</v>
      </c>
      <c r="C40" t="s">
        <v>1223</v>
      </c>
      <c r="D40">
        <v>3</v>
      </c>
    </row>
    <row r="41" spans="1:4" x14ac:dyDescent="0.25">
      <c r="A41" t="s">
        <v>40</v>
      </c>
      <c r="B41" t="s">
        <v>927</v>
      </c>
      <c r="C41" t="s">
        <v>1224</v>
      </c>
      <c r="D41">
        <v>1</v>
      </c>
    </row>
    <row r="42" spans="1:4" x14ac:dyDescent="0.25">
      <c r="A42" t="s">
        <v>80</v>
      </c>
      <c r="B42" t="s">
        <v>1136</v>
      </c>
      <c r="C42" t="s">
        <v>247</v>
      </c>
      <c r="D42">
        <v>-1</v>
      </c>
    </row>
    <row r="43" spans="1:4" x14ac:dyDescent="0.25">
      <c r="A43" t="s">
        <v>80</v>
      </c>
      <c r="B43" t="s">
        <v>487</v>
      </c>
      <c r="C43" t="s">
        <v>1225</v>
      </c>
      <c r="D43">
        <v>0</v>
      </c>
    </row>
    <row r="44" spans="1:4" x14ac:dyDescent="0.25">
      <c r="A44" t="s">
        <v>80</v>
      </c>
      <c r="B44" t="s">
        <v>487</v>
      </c>
      <c r="C44" t="s">
        <v>1226</v>
      </c>
      <c r="D44">
        <v>1</v>
      </c>
    </row>
    <row r="45" spans="1:4" x14ac:dyDescent="0.25">
      <c r="A45" t="s">
        <v>80</v>
      </c>
      <c r="B45" t="s">
        <v>719</v>
      </c>
      <c r="C45" t="s">
        <v>252</v>
      </c>
      <c r="D45">
        <v>-1</v>
      </c>
    </row>
    <row r="46" spans="1:4" x14ac:dyDescent="0.25">
      <c r="A46" t="s">
        <v>80</v>
      </c>
      <c r="B46" t="s">
        <v>588</v>
      </c>
      <c r="C46" t="s">
        <v>624</v>
      </c>
      <c r="D46">
        <v>-4</v>
      </c>
    </row>
    <row r="47" spans="1:4" x14ac:dyDescent="0.25">
      <c r="A47" t="s">
        <v>80</v>
      </c>
      <c r="B47" t="s">
        <v>307</v>
      </c>
      <c r="C47" t="s">
        <v>100</v>
      </c>
      <c r="D47">
        <v>-6</v>
      </c>
    </row>
    <row r="48" spans="1:4" x14ac:dyDescent="0.25">
      <c r="A48" t="s">
        <v>80</v>
      </c>
      <c r="B48" t="s">
        <v>364</v>
      </c>
      <c r="C48" t="s">
        <v>102</v>
      </c>
      <c r="D48">
        <v>-7</v>
      </c>
    </row>
    <row r="49" spans="1:4" x14ac:dyDescent="0.25">
      <c r="A49" t="s">
        <v>80</v>
      </c>
      <c r="B49" t="s">
        <v>1227</v>
      </c>
      <c r="C49" t="s">
        <v>627</v>
      </c>
      <c r="D49">
        <v>-5</v>
      </c>
    </row>
    <row r="50" spans="1:4" x14ac:dyDescent="0.25">
      <c r="A50" t="s">
        <v>80</v>
      </c>
      <c r="B50" t="s">
        <v>499</v>
      </c>
      <c r="C50" t="s">
        <v>377</v>
      </c>
      <c r="D50">
        <v>-2</v>
      </c>
    </row>
    <row r="51" spans="1:4" x14ac:dyDescent="0.25">
      <c r="A51" t="s">
        <v>80</v>
      </c>
      <c r="B51" t="s">
        <v>1228</v>
      </c>
      <c r="C51" t="s">
        <v>1229</v>
      </c>
      <c r="D51">
        <v>-4</v>
      </c>
    </row>
    <row r="52" spans="1:4" x14ac:dyDescent="0.25">
      <c r="A52" t="s">
        <v>80</v>
      </c>
      <c r="B52" t="s">
        <v>1230</v>
      </c>
      <c r="C52" t="s">
        <v>265</v>
      </c>
      <c r="D52">
        <v>-6</v>
      </c>
    </row>
    <row r="53" spans="1:4" x14ac:dyDescent="0.25">
      <c r="A53" t="s">
        <v>80</v>
      </c>
      <c r="B53" t="s">
        <v>1231</v>
      </c>
      <c r="C53" t="s">
        <v>1232</v>
      </c>
      <c r="D53">
        <v>-4</v>
      </c>
    </row>
    <row r="54" spans="1:4" x14ac:dyDescent="0.25">
      <c r="A54" t="s">
        <v>80</v>
      </c>
      <c r="B54" t="s">
        <v>1231</v>
      </c>
      <c r="C54" t="s">
        <v>750</v>
      </c>
      <c r="D54">
        <v>-3</v>
      </c>
    </row>
    <row r="55" spans="1:4" x14ac:dyDescent="0.25">
      <c r="A55" t="s">
        <v>80</v>
      </c>
      <c r="B55" t="s">
        <v>339</v>
      </c>
      <c r="C55" t="s">
        <v>268</v>
      </c>
      <c r="D55">
        <v>-5</v>
      </c>
    </row>
    <row r="56" spans="1:4" x14ac:dyDescent="0.25">
      <c r="A56" t="s">
        <v>80</v>
      </c>
      <c r="B56" t="s">
        <v>440</v>
      </c>
      <c r="C56" t="s">
        <v>1233</v>
      </c>
      <c r="D56">
        <v>-7</v>
      </c>
    </row>
    <row r="57" spans="1:4" x14ac:dyDescent="0.25">
      <c r="A57" t="s">
        <v>80</v>
      </c>
      <c r="B57" t="s">
        <v>1129</v>
      </c>
      <c r="C57" t="s">
        <v>1234</v>
      </c>
      <c r="D57">
        <v>-5</v>
      </c>
    </row>
    <row r="58" spans="1:4" x14ac:dyDescent="0.25">
      <c r="A58" t="s">
        <v>80</v>
      </c>
      <c r="B58" t="s">
        <v>1129</v>
      </c>
      <c r="C58" t="s">
        <v>839</v>
      </c>
      <c r="D58">
        <v>-4</v>
      </c>
    </row>
    <row r="59" spans="1:4" x14ac:dyDescent="0.25">
      <c r="A59" t="s">
        <v>80</v>
      </c>
      <c r="B59" t="s">
        <v>1048</v>
      </c>
      <c r="C59" t="s">
        <v>1235</v>
      </c>
      <c r="D59">
        <v>-6</v>
      </c>
    </row>
    <row r="60" spans="1:4" x14ac:dyDescent="0.25">
      <c r="A60" t="s">
        <v>80</v>
      </c>
      <c r="B60" t="s">
        <v>612</v>
      </c>
      <c r="C60" t="s">
        <v>1236</v>
      </c>
      <c r="D60">
        <v>-3</v>
      </c>
    </row>
    <row r="61" spans="1:4" x14ac:dyDescent="0.25">
      <c r="A61" t="s">
        <v>80</v>
      </c>
      <c r="B61" t="s">
        <v>1237</v>
      </c>
      <c r="C61" t="s">
        <v>1238</v>
      </c>
      <c r="D61">
        <v>-5</v>
      </c>
    </row>
    <row r="62" spans="1:4" x14ac:dyDescent="0.25">
      <c r="A62" t="s">
        <v>80</v>
      </c>
      <c r="B62" t="s">
        <v>301</v>
      </c>
      <c r="C62" t="s">
        <v>1239</v>
      </c>
      <c r="D62">
        <v>-8</v>
      </c>
    </row>
    <row r="63" spans="1:4" x14ac:dyDescent="0.25">
      <c r="A63" t="s">
        <v>80</v>
      </c>
      <c r="B63" t="s">
        <v>78</v>
      </c>
      <c r="C63" t="s">
        <v>1240</v>
      </c>
      <c r="D63">
        <v>-11</v>
      </c>
    </row>
    <row r="64" spans="1:4" x14ac:dyDescent="0.25">
      <c r="A64" t="s">
        <v>123</v>
      </c>
      <c r="B64" t="s">
        <v>1024</v>
      </c>
      <c r="C64" t="s">
        <v>1241</v>
      </c>
      <c r="D64">
        <v>-9</v>
      </c>
    </row>
    <row r="65" spans="1:4" x14ac:dyDescent="0.25">
      <c r="A65" t="s">
        <v>123</v>
      </c>
      <c r="B65" t="s">
        <v>1083</v>
      </c>
      <c r="C65" t="s">
        <v>1242</v>
      </c>
      <c r="D65">
        <v>-12</v>
      </c>
    </row>
    <row r="66" spans="1:4" x14ac:dyDescent="0.25">
      <c r="A66" t="s">
        <v>123</v>
      </c>
      <c r="B66" t="s">
        <v>1057</v>
      </c>
      <c r="C66" t="s">
        <v>1243</v>
      </c>
      <c r="D66">
        <v>-10</v>
      </c>
    </row>
    <row r="67" spans="1:4" x14ac:dyDescent="0.25">
      <c r="A67" t="s">
        <v>123</v>
      </c>
      <c r="B67" t="s">
        <v>1244</v>
      </c>
      <c r="C67" t="s">
        <v>1245</v>
      </c>
      <c r="D67">
        <v>-12</v>
      </c>
    </row>
    <row r="68" spans="1:4" x14ac:dyDescent="0.25">
      <c r="A68" t="s">
        <v>123</v>
      </c>
      <c r="B68" t="s">
        <v>1246</v>
      </c>
      <c r="C68" t="s">
        <v>1247</v>
      </c>
      <c r="D68">
        <v>-14</v>
      </c>
    </row>
    <row r="69" spans="1:4" x14ac:dyDescent="0.25">
      <c r="A69" t="s">
        <v>123</v>
      </c>
      <c r="B69" t="s">
        <v>1248</v>
      </c>
      <c r="C69" t="s">
        <v>1249</v>
      </c>
      <c r="D69">
        <v>-16</v>
      </c>
    </row>
    <row r="70" spans="1:4" x14ac:dyDescent="0.25">
      <c r="A70" t="s">
        <v>123</v>
      </c>
      <c r="B70" t="s">
        <v>1033</v>
      </c>
      <c r="C70" t="s">
        <v>1250</v>
      </c>
      <c r="D70">
        <v>-19</v>
      </c>
    </row>
    <row r="71" spans="1:4" x14ac:dyDescent="0.25">
      <c r="A71" t="s">
        <v>123</v>
      </c>
      <c r="B71" t="s">
        <v>804</v>
      </c>
      <c r="C71" t="s">
        <v>1251</v>
      </c>
      <c r="D71">
        <v>-17</v>
      </c>
    </row>
    <row r="72" spans="1:4" x14ac:dyDescent="0.25">
      <c r="A72" t="s">
        <v>123</v>
      </c>
      <c r="B72" t="s">
        <v>95</v>
      </c>
      <c r="C72" t="s">
        <v>1252</v>
      </c>
      <c r="D72">
        <v>-20</v>
      </c>
    </row>
    <row r="73" spans="1:4" x14ac:dyDescent="0.25">
      <c r="A73" t="s">
        <v>123</v>
      </c>
      <c r="B73" t="s">
        <v>743</v>
      </c>
      <c r="C73" t="s">
        <v>1253</v>
      </c>
      <c r="D73">
        <v>-22</v>
      </c>
    </row>
    <row r="74" spans="1:4" x14ac:dyDescent="0.25">
      <c r="A74" t="s">
        <v>123</v>
      </c>
      <c r="B74" t="s">
        <v>1153</v>
      </c>
      <c r="C74" t="s">
        <v>1254</v>
      </c>
      <c r="D74">
        <v>-24</v>
      </c>
    </row>
    <row r="75" spans="1:4" x14ac:dyDescent="0.25">
      <c r="A75" t="s">
        <v>123</v>
      </c>
      <c r="B75" t="s">
        <v>471</v>
      </c>
      <c r="C75" t="s">
        <v>1255</v>
      </c>
      <c r="D75">
        <v>-22</v>
      </c>
    </row>
    <row r="76" spans="1:4" x14ac:dyDescent="0.25">
      <c r="A76" t="s">
        <v>123</v>
      </c>
      <c r="B76" t="s">
        <v>1112</v>
      </c>
      <c r="C76" t="s">
        <v>1256</v>
      </c>
      <c r="D76">
        <v>-21</v>
      </c>
    </row>
    <row r="77" spans="1:4" x14ac:dyDescent="0.25">
      <c r="A77" t="s">
        <v>123</v>
      </c>
      <c r="B77" t="s">
        <v>1112</v>
      </c>
      <c r="C77" t="s">
        <v>1257</v>
      </c>
      <c r="D77">
        <v>-20</v>
      </c>
    </row>
    <row r="78" spans="1:4" x14ac:dyDescent="0.25">
      <c r="A78" t="s">
        <v>123</v>
      </c>
      <c r="B78" t="s">
        <v>1019</v>
      </c>
      <c r="C78" t="s">
        <v>1258</v>
      </c>
      <c r="D78">
        <v>-19</v>
      </c>
    </row>
    <row r="79" spans="1:4" x14ac:dyDescent="0.25">
      <c r="A79" t="s">
        <v>123</v>
      </c>
      <c r="B79" t="s">
        <v>1019</v>
      </c>
      <c r="C79" t="s">
        <v>1259</v>
      </c>
      <c r="D79">
        <v>-18</v>
      </c>
    </row>
    <row r="80" spans="1:4" x14ac:dyDescent="0.25">
      <c r="A80" t="s">
        <v>123</v>
      </c>
      <c r="B80" t="s">
        <v>880</v>
      </c>
      <c r="C80" t="s">
        <v>1260</v>
      </c>
      <c r="D80">
        <v>-17</v>
      </c>
    </row>
    <row r="81" spans="1:4" x14ac:dyDescent="0.25">
      <c r="A81" t="s">
        <v>123</v>
      </c>
      <c r="B81" t="s">
        <v>1261</v>
      </c>
      <c r="C81" t="s">
        <v>1262</v>
      </c>
      <c r="D81">
        <v>-19</v>
      </c>
    </row>
    <row r="82" spans="1:4" x14ac:dyDescent="0.25">
      <c r="A82" t="s">
        <v>123</v>
      </c>
      <c r="B82" t="s">
        <v>396</v>
      </c>
      <c r="C82" t="s">
        <v>1263</v>
      </c>
      <c r="D82">
        <v>-17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-3.2098765432098766</v>
      </c>
    </row>
    <row r="86" spans="1:4" x14ac:dyDescent="0.25">
      <c r="A86" t="s">
        <v>159</v>
      </c>
      <c r="D86">
        <f>MAX(D2:D82)</f>
        <v>9</v>
      </c>
    </row>
    <row r="87" spans="1:4" x14ac:dyDescent="0.25">
      <c r="A87" t="s">
        <v>160</v>
      </c>
      <c r="D87">
        <f>MIN(D2:D82)</f>
        <v>-24</v>
      </c>
    </row>
    <row r="88" spans="1:4" x14ac:dyDescent="0.25">
      <c r="A88" t="s">
        <v>161</v>
      </c>
      <c r="D88">
        <f>COUNTIF(D2:D82,"&gt;0")</f>
        <v>35</v>
      </c>
    </row>
    <row r="89" spans="1:4" x14ac:dyDescent="0.25">
      <c r="A89" t="s">
        <v>162</v>
      </c>
      <c r="D89">
        <f>COUNTIF(D2:D82,"=0")</f>
        <v>3</v>
      </c>
    </row>
    <row r="90" spans="1:4" x14ac:dyDescent="0.25">
      <c r="A90" t="s">
        <v>1264</v>
      </c>
      <c r="D90">
        <f>COUNTIF(D2:D82,"&lt;0")</f>
        <v>43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AVERAGE(D2,D3,D4,D5,D6,D7,D8,D9,D10,D11,D12,D13,D14,D15,D16,D17,D18,D19,D20,D21,D22,D23)</f>
        <v>4.4090909090909092</v>
      </c>
    </row>
    <row r="94" spans="1:4" x14ac:dyDescent="0.25">
      <c r="A94" t="s">
        <v>166</v>
      </c>
      <c r="D94">
        <f>AVERAGE(D24,D25,D26,D27,D28,D29,D30,D31,D32,D33,D34,D35,D36,D37,D38,D39,D40,D41)</f>
        <v>3.7222222222222223</v>
      </c>
    </row>
    <row r="95" spans="1:4" x14ac:dyDescent="0.25">
      <c r="A95" t="s">
        <v>167</v>
      </c>
      <c r="D95">
        <f>AVERAGE(D42,D43,D44,D45,D46,D47,D48,D49,D50,D51,D52,D53,D54,D55,D56,D57,D58,D59,D60,D61,D62,D63)</f>
        <v>-4.3636363636363633</v>
      </c>
    </row>
    <row r="96" spans="1:4" x14ac:dyDescent="0.25">
      <c r="A96" t="s">
        <v>168</v>
      </c>
      <c r="D96">
        <f>AVERAGE(D64,D65,D66,D67,D68,D69,D70,D71,D72,D73,D74,D75,D76,D77,D78,D79,D80,D81,D82)</f>
        <v>-17.263157894736842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1265</v>
      </c>
    </row>
    <row r="2" spans="1:4" x14ac:dyDescent="0.25">
      <c r="A2" t="s">
        <v>4</v>
      </c>
      <c r="B2" t="s">
        <v>1266</v>
      </c>
      <c r="C2" t="s">
        <v>171</v>
      </c>
      <c r="D2">
        <v>3</v>
      </c>
    </row>
    <row r="3" spans="1:4" x14ac:dyDescent="0.25">
      <c r="A3" t="s">
        <v>4</v>
      </c>
      <c r="B3" t="s">
        <v>1267</v>
      </c>
      <c r="C3" t="s">
        <v>690</v>
      </c>
      <c r="D3">
        <v>6</v>
      </c>
    </row>
    <row r="4" spans="1:4" x14ac:dyDescent="0.25">
      <c r="A4" t="s">
        <v>4</v>
      </c>
      <c r="B4" t="s">
        <v>357</v>
      </c>
      <c r="C4" t="s">
        <v>1268</v>
      </c>
      <c r="D4">
        <v>8</v>
      </c>
    </row>
    <row r="5" spans="1:4" x14ac:dyDescent="0.25">
      <c r="A5" t="s">
        <v>4</v>
      </c>
      <c r="B5" t="s">
        <v>135</v>
      </c>
      <c r="C5" t="s">
        <v>1269</v>
      </c>
      <c r="D5">
        <v>10</v>
      </c>
    </row>
    <row r="6" spans="1:4" x14ac:dyDescent="0.25">
      <c r="A6" t="s">
        <v>4</v>
      </c>
      <c r="B6" t="s">
        <v>1069</v>
      </c>
      <c r="C6" t="s">
        <v>781</v>
      </c>
      <c r="D6">
        <v>7</v>
      </c>
    </row>
    <row r="7" spans="1:4" x14ac:dyDescent="0.25">
      <c r="A7" t="s">
        <v>4</v>
      </c>
      <c r="B7" t="s">
        <v>284</v>
      </c>
      <c r="C7" t="s">
        <v>1270</v>
      </c>
      <c r="D7">
        <v>10</v>
      </c>
    </row>
    <row r="8" spans="1:4" x14ac:dyDescent="0.25">
      <c r="A8" t="s">
        <v>4</v>
      </c>
      <c r="B8" t="s">
        <v>987</v>
      </c>
      <c r="C8" t="s">
        <v>1271</v>
      </c>
      <c r="D8">
        <v>8</v>
      </c>
    </row>
    <row r="9" spans="1:4" x14ac:dyDescent="0.25">
      <c r="A9" t="s">
        <v>4</v>
      </c>
      <c r="B9" t="s">
        <v>442</v>
      </c>
      <c r="C9" t="s">
        <v>1272</v>
      </c>
      <c r="D9">
        <v>10</v>
      </c>
    </row>
    <row r="10" spans="1:4" x14ac:dyDescent="0.25">
      <c r="A10" t="s">
        <v>4</v>
      </c>
      <c r="B10" t="s">
        <v>876</v>
      </c>
      <c r="C10" t="s">
        <v>1014</v>
      </c>
      <c r="D10">
        <v>8</v>
      </c>
    </row>
    <row r="11" spans="1:4" x14ac:dyDescent="0.25">
      <c r="A11" t="s">
        <v>4</v>
      </c>
      <c r="B11" t="s">
        <v>1177</v>
      </c>
      <c r="C11" t="s">
        <v>1273</v>
      </c>
      <c r="D11">
        <v>10</v>
      </c>
    </row>
    <row r="12" spans="1:4" x14ac:dyDescent="0.25">
      <c r="A12" t="s">
        <v>4</v>
      </c>
      <c r="B12" t="s">
        <v>31</v>
      </c>
      <c r="C12" t="s">
        <v>1274</v>
      </c>
      <c r="D12">
        <v>8</v>
      </c>
    </row>
    <row r="13" spans="1:4" x14ac:dyDescent="0.25">
      <c r="A13" t="s">
        <v>4</v>
      </c>
      <c r="B13" t="s">
        <v>322</v>
      </c>
      <c r="C13" t="s">
        <v>1275</v>
      </c>
      <c r="D13">
        <v>10</v>
      </c>
    </row>
    <row r="14" spans="1:4" x14ac:dyDescent="0.25">
      <c r="A14" t="s">
        <v>4</v>
      </c>
      <c r="B14" t="s">
        <v>1276</v>
      </c>
      <c r="C14" t="s">
        <v>1277</v>
      </c>
      <c r="D14">
        <v>12</v>
      </c>
    </row>
    <row r="15" spans="1:4" x14ac:dyDescent="0.25">
      <c r="A15" t="s">
        <v>40</v>
      </c>
      <c r="B15" t="s">
        <v>795</v>
      </c>
      <c r="C15" t="s">
        <v>1278</v>
      </c>
      <c r="D15">
        <v>15</v>
      </c>
    </row>
    <row r="16" spans="1:4" x14ac:dyDescent="0.25">
      <c r="A16" t="s">
        <v>40</v>
      </c>
      <c r="B16" t="s">
        <v>305</v>
      </c>
      <c r="C16" t="s">
        <v>1279</v>
      </c>
      <c r="D16">
        <v>17</v>
      </c>
    </row>
    <row r="17" spans="1:4" x14ac:dyDescent="0.25">
      <c r="A17" t="s">
        <v>40</v>
      </c>
      <c r="B17" t="s">
        <v>1280</v>
      </c>
      <c r="C17" t="s">
        <v>1281</v>
      </c>
      <c r="D17">
        <v>15</v>
      </c>
    </row>
    <row r="18" spans="1:4" x14ac:dyDescent="0.25">
      <c r="A18" t="s">
        <v>40</v>
      </c>
      <c r="B18" t="s">
        <v>1119</v>
      </c>
      <c r="C18" t="s">
        <v>1282</v>
      </c>
      <c r="D18">
        <v>17</v>
      </c>
    </row>
    <row r="19" spans="1:4" x14ac:dyDescent="0.25">
      <c r="A19" t="s">
        <v>40</v>
      </c>
      <c r="B19" t="s">
        <v>1194</v>
      </c>
      <c r="C19" t="s">
        <v>1283</v>
      </c>
      <c r="D19">
        <v>19</v>
      </c>
    </row>
    <row r="20" spans="1:4" x14ac:dyDescent="0.25">
      <c r="A20" t="s">
        <v>40</v>
      </c>
      <c r="B20" t="s">
        <v>1284</v>
      </c>
      <c r="C20" t="s">
        <v>1285</v>
      </c>
      <c r="D20">
        <v>21</v>
      </c>
    </row>
    <row r="21" spans="1:4" x14ac:dyDescent="0.25">
      <c r="A21" t="s">
        <v>40</v>
      </c>
      <c r="B21" t="s">
        <v>1284</v>
      </c>
      <c r="C21" t="s">
        <v>1286</v>
      </c>
      <c r="D21">
        <v>22</v>
      </c>
    </row>
    <row r="22" spans="1:4" x14ac:dyDescent="0.25">
      <c r="A22" t="s">
        <v>40</v>
      </c>
      <c r="B22" t="s">
        <v>138</v>
      </c>
      <c r="C22" t="s">
        <v>1287</v>
      </c>
      <c r="D22">
        <v>20</v>
      </c>
    </row>
    <row r="23" spans="1:4" x14ac:dyDescent="0.25">
      <c r="A23" t="s">
        <v>40</v>
      </c>
      <c r="B23" t="s">
        <v>1288</v>
      </c>
      <c r="C23" t="s">
        <v>1289</v>
      </c>
      <c r="D23">
        <v>17</v>
      </c>
    </row>
    <row r="24" spans="1:4" x14ac:dyDescent="0.25">
      <c r="A24" t="s">
        <v>40</v>
      </c>
      <c r="B24" t="s">
        <v>108</v>
      </c>
      <c r="C24" t="s">
        <v>1290</v>
      </c>
      <c r="D24">
        <v>19</v>
      </c>
    </row>
    <row r="25" spans="1:4" x14ac:dyDescent="0.25">
      <c r="A25" t="s">
        <v>40</v>
      </c>
      <c r="B25" t="s">
        <v>317</v>
      </c>
      <c r="C25" t="s">
        <v>1291</v>
      </c>
      <c r="D25">
        <v>20</v>
      </c>
    </row>
    <row r="26" spans="1:4" x14ac:dyDescent="0.25">
      <c r="A26" t="s">
        <v>40</v>
      </c>
      <c r="B26" t="s">
        <v>524</v>
      </c>
      <c r="C26" t="s">
        <v>1292</v>
      </c>
      <c r="D26">
        <v>17</v>
      </c>
    </row>
    <row r="27" spans="1:4" x14ac:dyDescent="0.25">
      <c r="A27" t="s">
        <v>40</v>
      </c>
      <c r="B27" t="s">
        <v>114</v>
      </c>
      <c r="C27" t="s">
        <v>1293</v>
      </c>
      <c r="D27">
        <v>18</v>
      </c>
    </row>
    <row r="28" spans="1:4" x14ac:dyDescent="0.25">
      <c r="A28" t="s">
        <v>40</v>
      </c>
      <c r="B28" t="s">
        <v>114</v>
      </c>
      <c r="C28" t="s">
        <v>1294</v>
      </c>
      <c r="D28">
        <v>19</v>
      </c>
    </row>
    <row r="29" spans="1:4" x14ac:dyDescent="0.25">
      <c r="A29" t="s">
        <v>40</v>
      </c>
      <c r="B29" t="s">
        <v>475</v>
      </c>
      <c r="C29" t="s">
        <v>1295</v>
      </c>
      <c r="D29">
        <v>18</v>
      </c>
    </row>
    <row r="30" spans="1:4" x14ac:dyDescent="0.25">
      <c r="A30" t="s">
        <v>40</v>
      </c>
      <c r="B30" t="s">
        <v>475</v>
      </c>
      <c r="C30" t="s">
        <v>1296</v>
      </c>
      <c r="D30">
        <v>17</v>
      </c>
    </row>
    <row r="31" spans="1:4" x14ac:dyDescent="0.25">
      <c r="A31" t="s">
        <v>40</v>
      </c>
      <c r="B31" t="s">
        <v>1132</v>
      </c>
      <c r="C31" t="s">
        <v>1297</v>
      </c>
      <c r="D31">
        <v>19</v>
      </c>
    </row>
    <row r="32" spans="1:4" x14ac:dyDescent="0.25">
      <c r="A32" t="s">
        <v>40</v>
      </c>
      <c r="B32" t="s">
        <v>898</v>
      </c>
      <c r="C32" t="s">
        <v>1298</v>
      </c>
      <c r="D32">
        <v>16</v>
      </c>
    </row>
    <row r="33" spans="1:4" x14ac:dyDescent="0.25">
      <c r="A33" t="s">
        <v>40</v>
      </c>
      <c r="B33" t="s">
        <v>298</v>
      </c>
      <c r="C33" t="s">
        <v>1299</v>
      </c>
      <c r="D33">
        <v>18</v>
      </c>
    </row>
    <row r="34" spans="1:4" x14ac:dyDescent="0.25">
      <c r="A34" t="s">
        <v>40</v>
      </c>
      <c r="B34" t="s">
        <v>930</v>
      </c>
      <c r="C34" t="s">
        <v>1300</v>
      </c>
      <c r="D34">
        <v>20</v>
      </c>
    </row>
    <row r="35" spans="1:4" x14ac:dyDescent="0.25">
      <c r="A35" t="s">
        <v>80</v>
      </c>
      <c r="B35" t="s">
        <v>269</v>
      </c>
      <c r="C35" t="s">
        <v>1042</v>
      </c>
      <c r="D35">
        <v>22</v>
      </c>
    </row>
    <row r="36" spans="1:4" x14ac:dyDescent="0.25">
      <c r="A36" t="s">
        <v>80</v>
      </c>
      <c r="B36" t="s">
        <v>954</v>
      </c>
      <c r="C36" t="s">
        <v>1044</v>
      </c>
      <c r="D36">
        <v>24</v>
      </c>
    </row>
    <row r="37" spans="1:4" x14ac:dyDescent="0.25">
      <c r="A37" t="s">
        <v>80</v>
      </c>
      <c r="B37" t="s">
        <v>1280</v>
      </c>
      <c r="C37" t="s">
        <v>1301</v>
      </c>
      <c r="D37">
        <v>27</v>
      </c>
    </row>
    <row r="38" spans="1:4" x14ac:dyDescent="0.25">
      <c r="A38" t="s">
        <v>80</v>
      </c>
      <c r="B38" t="s">
        <v>132</v>
      </c>
      <c r="C38" t="s">
        <v>1302</v>
      </c>
      <c r="D38">
        <v>25</v>
      </c>
    </row>
    <row r="39" spans="1:4" x14ac:dyDescent="0.25">
      <c r="A39" t="s">
        <v>80</v>
      </c>
      <c r="B39" t="s">
        <v>364</v>
      </c>
      <c r="C39" t="s">
        <v>1051</v>
      </c>
      <c r="D39">
        <v>26</v>
      </c>
    </row>
    <row r="40" spans="1:4" x14ac:dyDescent="0.25">
      <c r="A40" t="s">
        <v>80</v>
      </c>
      <c r="B40" t="s">
        <v>364</v>
      </c>
      <c r="C40" t="s">
        <v>1303</v>
      </c>
      <c r="D40">
        <v>27</v>
      </c>
    </row>
    <row r="41" spans="1:4" x14ac:dyDescent="0.25">
      <c r="A41" t="s">
        <v>80</v>
      </c>
      <c r="B41" t="s">
        <v>433</v>
      </c>
      <c r="C41" t="s">
        <v>1304</v>
      </c>
      <c r="D41">
        <v>30</v>
      </c>
    </row>
    <row r="42" spans="1:4" x14ac:dyDescent="0.25">
      <c r="A42" t="s">
        <v>80</v>
      </c>
      <c r="B42" t="s">
        <v>368</v>
      </c>
      <c r="C42" t="s">
        <v>1305</v>
      </c>
      <c r="D42">
        <v>27</v>
      </c>
    </row>
    <row r="43" spans="1:4" x14ac:dyDescent="0.25">
      <c r="A43" t="s">
        <v>80</v>
      </c>
      <c r="B43" t="s">
        <v>219</v>
      </c>
      <c r="C43" t="s">
        <v>1306</v>
      </c>
      <c r="D43">
        <v>29</v>
      </c>
    </row>
    <row r="44" spans="1:4" x14ac:dyDescent="0.25">
      <c r="A44" t="s">
        <v>80</v>
      </c>
      <c r="B44" t="s">
        <v>541</v>
      </c>
      <c r="C44" t="s">
        <v>1307</v>
      </c>
      <c r="D44">
        <v>32</v>
      </c>
    </row>
    <row r="45" spans="1:4" x14ac:dyDescent="0.25">
      <c r="A45" t="s">
        <v>80</v>
      </c>
      <c r="B45" t="s">
        <v>1016</v>
      </c>
      <c r="C45" t="s">
        <v>1308</v>
      </c>
      <c r="D45">
        <v>30</v>
      </c>
    </row>
    <row r="46" spans="1:4" x14ac:dyDescent="0.25">
      <c r="A46" t="s">
        <v>80</v>
      </c>
      <c r="B46" t="s">
        <v>469</v>
      </c>
      <c r="C46" t="s">
        <v>1309</v>
      </c>
      <c r="D46">
        <v>29</v>
      </c>
    </row>
    <row r="47" spans="1:4" x14ac:dyDescent="0.25">
      <c r="A47" t="s">
        <v>80</v>
      </c>
      <c r="B47" t="s">
        <v>469</v>
      </c>
      <c r="C47" t="s">
        <v>1310</v>
      </c>
      <c r="D47">
        <v>28</v>
      </c>
    </row>
    <row r="48" spans="1:4" x14ac:dyDescent="0.25">
      <c r="A48" t="s">
        <v>80</v>
      </c>
      <c r="B48" t="s">
        <v>546</v>
      </c>
      <c r="C48" t="s">
        <v>1311</v>
      </c>
      <c r="D48">
        <v>30</v>
      </c>
    </row>
    <row r="49" spans="1:4" x14ac:dyDescent="0.25">
      <c r="A49" t="s">
        <v>80</v>
      </c>
      <c r="B49" t="s">
        <v>1312</v>
      </c>
      <c r="C49" t="s">
        <v>1313</v>
      </c>
      <c r="D49">
        <v>28</v>
      </c>
    </row>
    <row r="50" spans="1:4" x14ac:dyDescent="0.25">
      <c r="A50" t="s">
        <v>80</v>
      </c>
      <c r="B50" t="s">
        <v>1132</v>
      </c>
      <c r="C50" t="s">
        <v>1314</v>
      </c>
      <c r="D50">
        <v>31</v>
      </c>
    </row>
    <row r="51" spans="1:4" x14ac:dyDescent="0.25">
      <c r="A51" t="s">
        <v>80</v>
      </c>
      <c r="B51" t="s">
        <v>1019</v>
      </c>
      <c r="C51" t="s">
        <v>1315</v>
      </c>
      <c r="D51">
        <v>34</v>
      </c>
    </row>
    <row r="52" spans="1:4" x14ac:dyDescent="0.25">
      <c r="A52" t="s">
        <v>80</v>
      </c>
      <c r="B52" t="s">
        <v>294</v>
      </c>
      <c r="C52" t="s">
        <v>1316</v>
      </c>
      <c r="D52">
        <v>31</v>
      </c>
    </row>
    <row r="53" spans="1:4" x14ac:dyDescent="0.25">
      <c r="A53" t="s">
        <v>123</v>
      </c>
      <c r="B53" t="s">
        <v>352</v>
      </c>
      <c r="C53" t="s">
        <v>1317</v>
      </c>
      <c r="D53">
        <v>33</v>
      </c>
    </row>
    <row r="54" spans="1:4" x14ac:dyDescent="0.25">
      <c r="A54" t="s">
        <v>123</v>
      </c>
      <c r="B54" t="s">
        <v>757</v>
      </c>
      <c r="C54" t="s">
        <v>1318</v>
      </c>
      <c r="D54">
        <v>35</v>
      </c>
    </row>
    <row r="55" spans="1:4" x14ac:dyDescent="0.25">
      <c r="A55" t="s">
        <v>123</v>
      </c>
      <c r="B55" t="s">
        <v>1266</v>
      </c>
      <c r="C55" t="s">
        <v>1319</v>
      </c>
      <c r="D55">
        <v>34</v>
      </c>
    </row>
    <row r="56" spans="1:4" x14ac:dyDescent="0.25">
      <c r="A56" t="s">
        <v>123</v>
      </c>
      <c r="B56" t="s">
        <v>273</v>
      </c>
      <c r="C56" t="s">
        <v>1320</v>
      </c>
      <c r="D56">
        <v>36</v>
      </c>
    </row>
    <row r="57" spans="1:4" x14ac:dyDescent="0.25">
      <c r="A57" t="s">
        <v>123</v>
      </c>
      <c r="B57" t="s">
        <v>1321</v>
      </c>
      <c r="C57" t="s">
        <v>1322</v>
      </c>
      <c r="D57">
        <v>39</v>
      </c>
    </row>
    <row r="58" spans="1:4" x14ac:dyDescent="0.25">
      <c r="A58" t="s">
        <v>123</v>
      </c>
      <c r="B58" t="s">
        <v>618</v>
      </c>
      <c r="C58" t="s">
        <v>1323</v>
      </c>
      <c r="D58">
        <v>37</v>
      </c>
    </row>
    <row r="59" spans="1:4" x14ac:dyDescent="0.25">
      <c r="A59" t="s">
        <v>123</v>
      </c>
      <c r="B59" t="s">
        <v>89</v>
      </c>
      <c r="C59" t="s">
        <v>1324</v>
      </c>
      <c r="D59">
        <v>34</v>
      </c>
    </row>
    <row r="60" spans="1:4" x14ac:dyDescent="0.25">
      <c r="A60" t="s">
        <v>123</v>
      </c>
      <c r="B60" t="s">
        <v>1325</v>
      </c>
      <c r="C60" t="s">
        <v>1326</v>
      </c>
      <c r="D60">
        <v>36</v>
      </c>
    </row>
    <row r="61" spans="1:4" x14ac:dyDescent="0.25">
      <c r="A61" t="s">
        <v>123</v>
      </c>
      <c r="B61" t="s">
        <v>623</v>
      </c>
      <c r="C61" t="s">
        <v>1327</v>
      </c>
      <c r="D61">
        <v>34</v>
      </c>
    </row>
    <row r="62" spans="1:4" x14ac:dyDescent="0.25">
      <c r="A62" t="s">
        <v>123</v>
      </c>
      <c r="B62" t="s">
        <v>366</v>
      </c>
      <c r="C62" t="s">
        <v>1328</v>
      </c>
      <c r="D62">
        <v>36</v>
      </c>
    </row>
    <row r="63" spans="1:4" x14ac:dyDescent="0.25">
      <c r="A63" t="s">
        <v>123</v>
      </c>
      <c r="B63" t="s">
        <v>870</v>
      </c>
      <c r="C63" t="s">
        <v>1329</v>
      </c>
      <c r="D63">
        <v>33</v>
      </c>
    </row>
    <row r="64" spans="1:4" x14ac:dyDescent="0.25">
      <c r="A64" t="s">
        <v>123</v>
      </c>
      <c r="B64" t="s">
        <v>186</v>
      </c>
      <c r="C64" t="s">
        <v>1330</v>
      </c>
      <c r="D64">
        <v>34</v>
      </c>
    </row>
    <row r="65" spans="1:4" x14ac:dyDescent="0.25">
      <c r="A65" t="s">
        <v>123</v>
      </c>
      <c r="B65" t="s">
        <v>539</v>
      </c>
      <c r="C65" t="s">
        <v>1331</v>
      </c>
      <c r="D65">
        <v>32</v>
      </c>
    </row>
    <row r="66" spans="1:4" x14ac:dyDescent="0.25">
      <c r="A66" t="s">
        <v>123</v>
      </c>
      <c r="B66" t="s">
        <v>225</v>
      </c>
      <c r="C66" t="s">
        <v>1332</v>
      </c>
      <c r="D66">
        <v>34</v>
      </c>
    </row>
    <row r="67" spans="1:4" x14ac:dyDescent="0.25">
      <c r="A67" t="s">
        <v>123</v>
      </c>
      <c r="B67" t="s">
        <v>524</v>
      </c>
      <c r="C67" t="s">
        <v>1333</v>
      </c>
      <c r="D67">
        <v>33</v>
      </c>
    </row>
    <row r="68" spans="1:4" x14ac:dyDescent="0.25">
      <c r="A68" t="s">
        <v>123</v>
      </c>
      <c r="B68" t="s">
        <v>524</v>
      </c>
      <c r="C68" t="s">
        <v>1334</v>
      </c>
      <c r="D68">
        <v>32</v>
      </c>
    </row>
    <row r="69" spans="1:4" x14ac:dyDescent="0.25">
      <c r="A69" t="s">
        <v>123</v>
      </c>
      <c r="B69" t="s">
        <v>1335</v>
      </c>
      <c r="C69" t="s">
        <v>1336</v>
      </c>
      <c r="D69">
        <v>31</v>
      </c>
    </row>
    <row r="70" spans="1:4" x14ac:dyDescent="0.25">
      <c r="A70" t="s">
        <v>123</v>
      </c>
      <c r="B70" t="s">
        <v>417</v>
      </c>
      <c r="C70" t="s">
        <v>1337</v>
      </c>
      <c r="D70">
        <v>29</v>
      </c>
    </row>
    <row r="71" spans="1:4" x14ac:dyDescent="0.25">
      <c r="A71" t="s">
        <v>123</v>
      </c>
      <c r="B71" t="s">
        <v>709</v>
      </c>
      <c r="C71" t="s">
        <v>1338</v>
      </c>
      <c r="D71">
        <v>28</v>
      </c>
    </row>
    <row r="72" spans="1:4" x14ac:dyDescent="0.25">
      <c r="A72" t="s">
        <v>123</v>
      </c>
      <c r="B72" t="s">
        <v>1339</v>
      </c>
      <c r="C72" t="s">
        <v>1340</v>
      </c>
      <c r="D72">
        <v>31</v>
      </c>
    </row>
    <row r="73" spans="1:4" x14ac:dyDescent="0.25">
      <c r="A73" t="s">
        <v>123</v>
      </c>
      <c r="B73" t="s">
        <v>1019</v>
      </c>
      <c r="C73" t="s">
        <v>1341</v>
      </c>
      <c r="D73">
        <v>29</v>
      </c>
    </row>
    <row r="74" spans="1:4" x14ac:dyDescent="0.25">
      <c r="A74" t="s">
        <v>123</v>
      </c>
      <c r="B74" t="s">
        <v>1206</v>
      </c>
      <c r="C74" t="s">
        <v>1342</v>
      </c>
      <c r="D74">
        <v>31</v>
      </c>
    </row>
    <row r="75" spans="1:4" x14ac:dyDescent="0.25">
      <c r="A75" t="s">
        <v>123</v>
      </c>
      <c r="B75" t="s">
        <v>348</v>
      </c>
      <c r="C75" t="s">
        <v>1343</v>
      </c>
      <c r="D75">
        <v>29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23.567567567567568</v>
      </c>
    </row>
    <row r="79" spans="1:4" x14ac:dyDescent="0.25">
      <c r="A79" t="s">
        <v>159</v>
      </c>
      <c r="D79">
        <f>MAX(D2:D75)</f>
        <v>39</v>
      </c>
    </row>
    <row r="80" spans="1:4" x14ac:dyDescent="0.25">
      <c r="A80" t="s">
        <v>160</v>
      </c>
      <c r="D80">
        <f>MIN(D2:D75)</f>
        <v>3</v>
      </c>
    </row>
    <row r="81" spans="1:4" x14ac:dyDescent="0.25">
      <c r="A81" t="s">
        <v>161</v>
      </c>
      <c r="D81">
        <f>COUNTIF(D2:D75,"&gt;0")</f>
        <v>74</v>
      </c>
    </row>
    <row r="82" spans="1:4" x14ac:dyDescent="0.25">
      <c r="A82" t="s">
        <v>162</v>
      </c>
      <c r="D82">
        <f>COUNTIF(D2:D75,"=0")</f>
        <v>0</v>
      </c>
    </row>
    <row r="83" spans="1:4" x14ac:dyDescent="0.25">
      <c r="A83" t="s">
        <v>1344</v>
      </c>
      <c r="D83">
        <f>COUNTIF(D2:D75,"&lt;0")</f>
        <v>0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AVERAGE(D2,D3,D4,D5,D6,D7,D8,D9,D10,D11,D12,D13,D14)</f>
        <v>8.4615384615384617</v>
      </c>
    </row>
    <row r="87" spans="1:4" x14ac:dyDescent="0.25">
      <c r="A87" t="s">
        <v>166</v>
      </c>
      <c r="D87">
        <f>AVERAGE(D15,D16,D17,D18,D19,D20,D21,D22,D23,D24,D25,D26,D27,D28,D29,D30,D31,D32,D33,D34)</f>
        <v>18.2</v>
      </c>
    </row>
    <row r="88" spans="1:4" x14ac:dyDescent="0.25">
      <c r="A88" t="s">
        <v>167</v>
      </c>
      <c r="D88">
        <f>AVERAGE(D35,D36,D37,D38,D39,D40,D41,D42,D43,D44,D45,D46,D47,D48,D49,D50,D51,D52)</f>
        <v>28.333333333333332</v>
      </c>
    </row>
    <row r="89" spans="1:4" x14ac:dyDescent="0.25">
      <c r="A89" t="s">
        <v>168</v>
      </c>
      <c r="D89">
        <f>AVERAGE(D53,D54,D55,D56,D57,D58,D59,D60,D61,D62,D63,D64,D65,D66,D67,D68,D69,D70,D71,D72,D73,D74,D75)</f>
        <v>33.043478260869563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1136</v>
      </c>
      <c r="C2" t="s">
        <v>908</v>
      </c>
      <c r="D2">
        <v>-2</v>
      </c>
    </row>
    <row r="3" spans="1:4" x14ac:dyDescent="0.25">
      <c r="A3" t="s">
        <v>4</v>
      </c>
      <c r="B3" t="s">
        <v>1346</v>
      </c>
      <c r="C3" t="s">
        <v>174</v>
      </c>
      <c r="D3">
        <v>1</v>
      </c>
    </row>
    <row r="4" spans="1:4" x14ac:dyDescent="0.25">
      <c r="A4" t="s">
        <v>4</v>
      </c>
      <c r="B4" t="s">
        <v>1117</v>
      </c>
      <c r="C4" t="s">
        <v>1347</v>
      </c>
      <c r="D4">
        <v>3</v>
      </c>
    </row>
    <row r="5" spans="1:4" x14ac:dyDescent="0.25">
      <c r="A5" t="s">
        <v>4</v>
      </c>
      <c r="B5" t="s">
        <v>208</v>
      </c>
      <c r="C5" t="s">
        <v>1106</v>
      </c>
      <c r="D5">
        <v>1</v>
      </c>
    </row>
    <row r="6" spans="1:4" x14ac:dyDescent="0.25">
      <c r="A6" t="s">
        <v>4</v>
      </c>
      <c r="B6" t="s">
        <v>332</v>
      </c>
      <c r="C6" t="s">
        <v>1348</v>
      </c>
      <c r="D6">
        <v>3</v>
      </c>
    </row>
    <row r="7" spans="1:4" x14ac:dyDescent="0.25">
      <c r="A7" t="s">
        <v>4</v>
      </c>
      <c r="B7" t="s">
        <v>259</v>
      </c>
      <c r="C7" t="s">
        <v>182</v>
      </c>
      <c r="D7">
        <v>5</v>
      </c>
    </row>
    <row r="8" spans="1:4" x14ac:dyDescent="0.25">
      <c r="A8" t="s">
        <v>4</v>
      </c>
      <c r="B8" t="s">
        <v>1349</v>
      </c>
      <c r="C8" t="s">
        <v>569</v>
      </c>
      <c r="D8">
        <v>2</v>
      </c>
    </row>
    <row r="9" spans="1:4" x14ac:dyDescent="0.25">
      <c r="A9" t="s">
        <v>4</v>
      </c>
      <c r="B9" t="s">
        <v>1350</v>
      </c>
      <c r="C9" t="s">
        <v>1351</v>
      </c>
      <c r="D9">
        <v>3</v>
      </c>
    </row>
    <row r="10" spans="1:4" x14ac:dyDescent="0.25">
      <c r="A10" t="s">
        <v>4</v>
      </c>
      <c r="B10" t="s">
        <v>1350</v>
      </c>
      <c r="C10" t="s">
        <v>1352</v>
      </c>
      <c r="D10">
        <v>4</v>
      </c>
    </row>
    <row r="11" spans="1:4" x14ac:dyDescent="0.25">
      <c r="A11" t="s">
        <v>4</v>
      </c>
      <c r="B11" t="s">
        <v>263</v>
      </c>
      <c r="C11" t="s">
        <v>1353</v>
      </c>
      <c r="D11">
        <v>3</v>
      </c>
    </row>
    <row r="12" spans="1:4" x14ac:dyDescent="0.25">
      <c r="A12" t="s">
        <v>4</v>
      </c>
      <c r="B12" t="s">
        <v>263</v>
      </c>
      <c r="C12" t="s">
        <v>573</v>
      </c>
      <c r="D12">
        <v>2</v>
      </c>
    </row>
    <row r="13" spans="1:4" x14ac:dyDescent="0.25">
      <c r="A13" t="s">
        <v>4</v>
      </c>
      <c r="B13" t="s">
        <v>440</v>
      </c>
      <c r="C13" t="s">
        <v>1354</v>
      </c>
      <c r="D13">
        <v>4</v>
      </c>
    </row>
    <row r="14" spans="1:4" x14ac:dyDescent="0.25">
      <c r="A14" t="s">
        <v>4</v>
      </c>
      <c r="B14" t="s">
        <v>629</v>
      </c>
      <c r="C14" t="s">
        <v>1355</v>
      </c>
      <c r="D14">
        <v>6</v>
      </c>
    </row>
    <row r="15" spans="1:4" x14ac:dyDescent="0.25">
      <c r="A15" t="s">
        <v>4</v>
      </c>
      <c r="B15" t="s">
        <v>1339</v>
      </c>
      <c r="C15" t="s">
        <v>194</v>
      </c>
      <c r="D15">
        <v>9</v>
      </c>
    </row>
    <row r="16" spans="1:4" x14ac:dyDescent="0.25">
      <c r="A16" t="s">
        <v>4</v>
      </c>
      <c r="B16" t="s">
        <v>550</v>
      </c>
      <c r="C16" t="s">
        <v>787</v>
      </c>
      <c r="D16">
        <v>7</v>
      </c>
    </row>
    <row r="17" spans="1:4" x14ac:dyDescent="0.25">
      <c r="A17" t="s">
        <v>4</v>
      </c>
      <c r="B17" t="s">
        <v>1356</v>
      </c>
      <c r="C17" t="s">
        <v>1357</v>
      </c>
      <c r="D17">
        <v>9</v>
      </c>
    </row>
    <row r="18" spans="1:4" x14ac:dyDescent="0.25">
      <c r="A18" t="s">
        <v>4</v>
      </c>
      <c r="B18" t="s">
        <v>1356</v>
      </c>
      <c r="C18" t="s">
        <v>1358</v>
      </c>
      <c r="D18">
        <v>10</v>
      </c>
    </row>
    <row r="19" spans="1:4" x14ac:dyDescent="0.25">
      <c r="A19" t="s">
        <v>4</v>
      </c>
      <c r="B19" t="s">
        <v>233</v>
      </c>
      <c r="C19" t="s">
        <v>1359</v>
      </c>
      <c r="D19">
        <v>12</v>
      </c>
    </row>
    <row r="20" spans="1:4" x14ac:dyDescent="0.25">
      <c r="A20" t="s">
        <v>40</v>
      </c>
      <c r="B20" t="s">
        <v>325</v>
      </c>
      <c r="C20" t="s">
        <v>1360</v>
      </c>
      <c r="D20">
        <v>9</v>
      </c>
    </row>
    <row r="21" spans="1:4" x14ac:dyDescent="0.25">
      <c r="A21" t="s">
        <v>40</v>
      </c>
      <c r="B21" t="s">
        <v>1116</v>
      </c>
      <c r="C21" t="s">
        <v>1361</v>
      </c>
      <c r="D21">
        <v>11</v>
      </c>
    </row>
    <row r="22" spans="1:4" x14ac:dyDescent="0.25">
      <c r="A22" t="s">
        <v>40</v>
      </c>
      <c r="B22" t="s">
        <v>1116</v>
      </c>
      <c r="C22" t="s">
        <v>1362</v>
      </c>
      <c r="D22">
        <v>12</v>
      </c>
    </row>
    <row r="23" spans="1:4" x14ac:dyDescent="0.25">
      <c r="A23" t="s">
        <v>40</v>
      </c>
      <c r="B23" t="s">
        <v>9</v>
      </c>
      <c r="C23" t="s">
        <v>1363</v>
      </c>
      <c r="D23">
        <v>14</v>
      </c>
    </row>
    <row r="24" spans="1:4" x14ac:dyDescent="0.25">
      <c r="A24" t="s">
        <v>40</v>
      </c>
      <c r="B24" t="s">
        <v>494</v>
      </c>
      <c r="C24" t="s">
        <v>1364</v>
      </c>
      <c r="D24">
        <v>16</v>
      </c>
    </row>
    <row r="25" spans="1:4" x14ac:dyDescent="0.25">
      <c r="A25" t="s">
        <v>40</v>
      </c>
      <c r="B25" t="s">
        <v>572</v>
      </c>
      <c r="C25" t="s">
        <v>1365</v>
      </c>
      <c r="D25">
        <v>17</v>
      </c>
    </row>
    <row r="26" spans="1:4" x14ac:dyDescent="0.25">
      <c r="A26" t="s">
        <v>40</v>
      </c>
      <c r="B26" t="s">
        <v>572</v>
      </c>
      <c r="C26" t="s">
        <v>1366</v>
      </c>
      <c r="D26">
        <v>18</v>
      </c>
    </row>
    <row r="27" spans="1:4" x14ac:dyDescent="0.25">
      <c r="A27" t="s">
        <v>40</v>
      </c>
      <c r="B27" t="s">
        <v>834</v>
      </c>
      <c r="C27" t="s">
        <v>1367</v>
      </c>
      <c r="D27">
        <v>16</v>
      </c>
    </row>
    <row r="28" spans="1:4" x14ac:dyDescent="0.25">
      <c r="A28" t="s">
        <v>40</v>
      </c>
      <c r="B28" t="s">
        <v>368</v>
      </c>
      <c r="C28" t="s">
        <v>1368</v>
      </c>
      <c r="D28">
        <v>14</v>
      </c>
    </row>
    <row r="29" spans="1:4" x14ac:dyDescent="0.25">
      <c r="A29" t="s">
        <v>40</v>
      </c>
      <c r="B29" t="s">
        <v>594</v>
      </c>
      <c r="C29" t="s">
        <v>1369</v>
      </c>
      <c r="D29">
        <v>17</v>
      </c>
    </row>
    <row r="30" spans="1:4" x14ac:dyDescent="0.25">
      <c r="A30" t="s">
        <v>40</v>
      </c>
      <c r="B30" t="s">
        <v>941</v>
      </c>
      <c r="C30" t="s">
        <v>1370</v>
      </c>
      <c r="D30">
        <v>20</v>
      </c>
    </row>
    <row r="31" spans="1:4" x14ac:dyDescent="0.25">
      <c r="A31" t="s">
        <v>40</v>
      </c>
      <c r="B31" t="s">
        <v>1153</v>
      </c>
      <c r="C31" t="s">
        <v>1371</v>
      </c>
      <c r="D31">
        <v>21</v>
      </c>
    </row>
    <row r="32" spans="1:4" x14ac:dyDescent="0.25">
      <c r="A32" t="s">
        <v>40</v>
      </c>
      <c r="B32" t="s">
        <v>1153</v>
      </c>
      <c r="C32" t="s">
        <v>1372</v>
      </c>
      <c r="D32">
        <v>22</v>
      </c>
    </row>
    <row r="33" spans="1:4" x14ac:dyDescent="0.25">
      <c r="A33" t="s">
        <v>40</v>
      </c>
      <c r="B33" t="s">
        <v>225</v>
      </c>
      <c r="C33" t="s">
        <v>1373</v>
      </c>
      <c r="D33">
        <v>21</v>
      </c>
    </row>
    <row r="34" spans="1:4" x14ac:dyDescent="0.25">
      <c r="A34" t="s">
        <v>40</v>
      </c>
      <c r="B34" t="s">
        <v>225</v>
      </c>
      <c r="C34" t="s">
        <v>1374</v>
      </c>
      <c r="D34">
        <v>20</v>
      </c>
    </row>
    <row r="35" spans="1:4" x14ac:dyDescent="0.25">
      <c r="A35" t="s">
        <v>40</v>
      </c>
      <c r="B35" t="s">
        <v>924</v>
      </c>
      <c r="C35" t="s">
        <v>1375</v>
      </c>
      <c r="D35">
        <v>22</v>
      </c>
    </row>
    <row r="36" spans="1:4" x14ac:dyDescent="0.25">
      <c r="A36" t="s">
        <v>40</v>
      </c>
      <c r="B36" t="s">
        <v>1376</v>
      </c>
      <c r="C36" t="s">
        <v>1037</v>
      </c>
      <c r="D36">
        <v>20</v>
      </c>
    </row>
    <row r="37" spans="1:4" x14ac:dyDescent="0.25">
      <c r="A37" t="s">
        <v>40</v>
      </c>
      <c r="B37" t="s">
        <v>1376</v>
      </c>
      <c r="C37" t="s">
        <v>1377</v>
      </c>
      <c r="D37">
        <v>19</v>
      </c>
    </row>
    <row r="38" spans="1:4" x14ac:dyDescent="0.25">
      <c r="A38" t="s">
        <v>40</v>
      </c>
      <c r="B38" t="s">
        <v>1048</v>
      </c>
      <c r="C38" t="s">
        <v>1378</v>
      </c>
      <c r="D38">
        <v>21</v>
      </c>
    </row>
    <row r="39" spans="1:4" x14ac:dyDescent="0.25">
      <c r="A39" t="s">
        <v>40</v>
      </c>
      <c r="B39" t="s">
        <v>72</v>
      </c>
      <c r="C39" t="s">
        <v>1379</v>
      </c>
      <c r="D39">
        <v>23</v>
      </c>
    </row>
    <row r="40" spans="1:4" x14ac:dyDescent="0.25">
      <c r="A40" t="s">
        <v>40</v>
      </c>
      <c r="B40" t="s">
        <v>927</v>
      </c>
      <c r="C40" t="s">
        <v>1380</v>
      </c>
      <c r="D40">
        <v>25</v>
      </c>
    </row>
    <row r="41" spans="1:4" x14ac:dyDescent="0.25">
      <c r="A41" t="s">
        <v>40</v>
      </c>
      <c r="B41" t="s">
        <v>972</v>
      </c>
      <c r="C41" t="s">
        <v>1381</v>
      </c>
      <c r="D41">
        <v>27</v>
      </c>
    </row>
    <row r="42" spans="1:4" x14ac:dyDescent="0.25">
      <c r="A42" t="s">
        <v>80</v>
      </c>
      <c r="B42" t="s">
        <v>487</v>
      </c>
      <c r="C42" t="s">
        <v>1382</v>
      </c>
      <c r="D42">
        <v>30</v>
      </c>
    </row>
    <row r="43" spans="1:4" x14ac:dyDescent="0.25">
      <c r="A43" t="s">
        <v>80</v>
      </c>
      <c r="B43" t="s">
        <v>329</v>
      </c>
      <c r="C43" t="s">
        <v>1383</v>
      </c>
      <c r="D43">
        <v>29</v>
      </c>
    </row>
    <row r="44" spans="1:4" x14ac:dyDescent="0.25">
      <c r="A44" t="s">
        <v>80</v>
      </c>
      <c r="B44" t="s">
        <v>329</v>
      </c>
      <c r="C44" t="s">
        <v>1384</v>
      </c>
      <c r="D44">
        <v>28</v>
      </c>
    </row>
    <row r="45" spans="1:4" x14ac:dyDescent="0.25">
      <c r="A45" t="s">
        <v>80</v>
      </c>
      <c r="B45" t="s">
        <v>398</v>
      </c>
      <c r="C45" t="s">
        <v>1385</v>
      </c>
      <c r="D45">
        <v>31</v>
      </c>
    </row>
    <row r="46" spans="1:4" x14ac:dyDescent="0.25">
      <c r="A46" t="s">
        <v>80</v>
      </c>
      <c r="B46" t="s">
        <v>568</v>
      </c>
      <c r="C46" t="s">
        <v>1386</v>
      </c>
      <c r="D46">
        <v>33</v>
      </c>
    </row>
    <row r="47" spans="1:4" x14ac:dyDescent="0.25">
      <c r="A47" t="s">
        <v>80</v>
      </c>
      <c r="B47" t="s">
        <v>916</v>
      </c>
      <c r="C47" t="s">
        <v>1387</v>
      </c>
      <c r="D47">
        <v>31</v>
      </c>
    </row>
    <row r="48" spans="1:4" x14ac:dyDescent="0.25">
      <c r="A48" t="s">
        <v>80</v>
      </c>
      <c r="B48" t="s">
        <v>1033</v>
      </c>
      <c r="C48" t="s">
        <v>1388</v>
      </c>
      <c r="D48">
        <v>33</v>
      </c>
    </row>
    <row r="49" spans="1:4" x14ac:dyDescent="0.25">
      <c r="A49" t="s">
        <v>80</v>
      </c>
      <c r="B49" t="s">
        <v>1284</v>
      </c>
      <c r="C49" t="s">
        <v>1389</v>
      </c>
      <c r="D49">
        <v>30</v>
      </c>
    </row>
    <row r="50" spans="1:4" x14ac:dyDescent="0.25">
      <c r="A50" t="s">
        <v>80</v>
      </c>
      <c r="B50" t="s">
        <v>312</v>
      </c>
      <c r="C50" t="s">
        <v>1390</v>
      </c>
      <c r="D50">
        <v>29</v>
      </c>
    </row>
    <row r="51" spans="1:4" x14ac:dyDescent="0.25">
      <c r="A51" t="s">
        <v>80</v>
      </c>
      <c r="B51" t="s">
        <v>312</v>
      </c>
      <c r="C51" t="s">
        <v>1391</v>
      </c>
      <c r="D51">
        <v>28</v>
      </c>
    </row>
    <row r="52" spans="1:4" x14ac:dyDescent="0.25">
      <c r="A52" t="s">
        <v>80</v>
      </c>
      <c r="B52" t="s">
        <v>101</v>
      </c>
      <c r="C52" t="s">
        <v>1061</v>
      </c>
      <c r="D52">
        <v>30</v>
      </c>
    </row>
    <row r="53" spans="1:4" x14ac:dyDescent="0.25">
      <c r="A53" t="s">
        <v>80</v>
      </c>
      <c r="B53" t="s">
        <v>339</v>
      </c>
      <c r="C53" t="s">
        <v>1392</v>
      </c>
      <c r="D53">
        <v>27</v>
      </c>
    </row>
    <row r="54" spans="1:4" x14ac:dyDescent="0.25">
      <c r="A54" t="s">
        <v>80</v>
      </c>
      <c r="B54" t="s">
        <v>1153</v>
      </c>
      <c r="C54" t="s">
        <v>1393</v>
      </c>
      <c r="D54">
        <v>29</v>
      </c>
    </row>
    <row r="55" spans="1:4" x14ac:dyDescent="0.25">
      <c r="A55" t="s">
        <v>80</v>
      </c>
      <c r="B55" t="s">
        <v>112</v>
      </c>
      <c r="C55" t="s">
        <v>1394</v>
      </c>
      <c r="D55">
        <v>27</v>
      </c>
    </row>
    <row r="56" spans="1:4" x14ac:dyDescent="0.25">
      <c r="A56" t="s">
        <v>80</v>
      </c>
      <c r="B56" t="s">
        <v>112</v>
      </c>
      <c r="C56" t="s">
        <v>1395</v>
      </c>
      <c r="D56">
        <v>26</v>
      </c>
    </row>
    <row r="57" spans="1:4" x14ac:dyDescent="0.25">
      <c r="A57" t="s">
        <v>80</v>
      </c>
      <c r="B57" t="s">
        <v>1396</v>
      </c>
      <c r="C57" t="s">
        <v>1397</v>
      </c>
      <c r="D57">
        <v>29</v>
      </c>
    </row>
    <row r="58" spans="1:4" x14ac:dyDescent="0.25">
      <c r="A58" t="s">
        <v>80</v>
      </c>
      <c r="B58" t="s">
        <v>386</v>
      </c>
      <c r="C58" t="s">
        <v>1316</v>
      </c>
      <c r="D58">
        <v>31</v>
      </c>
    </row>
    <row r="59" spans="1:4" x14ac:dyDescent="0.25">
      <c r="A59" t="s">
        <v>80</v>
      </c>
      <c r="B59" t="s">
        <v>1398</v>
      </c>
      <c r="C59" t="s">
        <v>1399</v>
      </c>
      <c r="D59">
        <v>29</v>
      </c>
    </row>
    <row r="60" spans="1:4" x14ac:dyDescent="0.25">
      <c r="A60" t="s">
        <v>80</v>
      </c>
      <c r="B60" t="s">
        <v>877</v>
      </c>
      <c r="C60" t="s">
        <v>1400</v>
      </c>
      <c r="D60">
        <v>32</v>
      </c>
    </row>
    <row r="61" spans="1:4" x14ac:dyDescent="0.25">
      <c r="A61" t="s">
        <v>80</v>
      </c>
      <c r="B61" t="s">
        <v>877</v>
      </c>
      <c r="C61" t="s">
        <v>1401</v>
      </c>
      <c r="D61">
        <v>33</v>
      </c>
    </row>
    <row r="62" spans="1:4" x14ac:dyDescent="0.25">
      <c r="A62" t="s">
        <v>80</v>
      </c>
      <c r="B62" t="s">
        <v>1402</v>
      </c>
      <c r="C62" t="s">
        <v>1403</v>
      </c>
      <c r="D62">
        <v>35</v>
      </c>
    </row>
    <row r="63" spans="1:4" x14ac:dyDescent="0.25">
      <c r="A63" t="s">
        <v>80</v>
      </c>
      <c r="B63" t="s">
        <v>1050</v>
      </c>
      <c r="C63" t="s">
        <v>1404</v>
      </c>
      <c r="D63">
        <v>36</v>
      </c>
    </row>
    <row r="64" spans="1:4" x14ac:dyDescent="0.25">
      <c r="A64" t="s">
        <v>80</v>
      </c>
      <c r="B64" t="s">
        <v>537</v>
      </c>
      <c r="C64" t="s">
        <v>1405</v>
      </c>
      <c r="D64">
        <v>33</v>
      </c>
    </row>
    <row r="65" spans="1:4" x14ac:dyDescent="0.25">
      <c r="A65" t="s">
        <v>80</v>
      </c>
      <c r="B65" t="s">
        <v>78</v>
      </c>
      <c r="C65" t="s">
        <v>1406</v>
      </c>
      <c r="D65">
        <v>35</v>
      </c>
    </row>
    <row r="66" spans="1:4" x14ac:dyDescent="0.25">
      <c r="A66" t="s">
        <v>123</v>
      </c>
      <c r="B66" t="s">
        <v>1244</v>
      </c>
      <c r="C66" t="s">
        <v>1407</v>
      </c>
      <c r="D66">
        <v>33</v>
      </c>
    </row>
    <row r="67" spans="1:4" x14ac:dyDescent="0.25">
      <c r="A67" t="s">
        <v>123</v>
      </c>
      <c r="B67" t="s">
        <v>1408</v>
      </c>
      <c r="C67" t="s">
        <v>1409</v>
      </c>
      <c r="D67">
        <v>31</v>
      </c>
    </row>
    <row r="68" spans="1:4" x14ac:dyDescent="0.25">
      <c r="A68" t="s">
        <v>123</v>
      </c>
      <c r="B68" t="s">
        <v>800</v>
      </c>
      <c r="C68" t="s">
        <v>1410</v>
      </c>
      <c r="D68">
        <v>28</v>
      </c>
    </row>
    <row r="69" spans="1:4" x14ac:dyDescent="0.25">
      <c r="A69" t="s">
        <v>123</v>
      </c>
      <c r="B69" t="s">
        <v>1411</v>
      </c>
      <c r="C69" t="s">
        <v>1412</v>
      </c>
      <c r="D69">
        <v>29</v>
      </c>
    </row>
    <row r="70" spans="1:4" x14ac:dyDescent="0.25">
      <c r="A70" t="s">
        <v>123</v>
      </c>
      <c r="B70" t="s">
        <v>1411</v>
      </c>
      <c r="C70" t="s">
        <v>1413</v>
      </c>
      <c r="D70">
        <v>30</v>
      </c>
    </row>
    <row r="71" spans="1:4" x14ac:dyDescent="0.25">
      <c r="A71" t="s">
        <v>123</v>
      </c>
      <c r="B71" t="s">
        <v>494</v>
      </c>
      <c r="C71" t="s">
        <v>1414</v>
      </c>
      <c r="D71">
        <v>28</v>
      </c>
    </row>
    <row r="72" spans="1:4" x14ac:dyDescent="0.25">
      <c r="A72" t="s">
        <v>123</v>
      </c>
      <c r="B72" t="s">
        <v>494</v>
      </c>
      <c r="C72" t="s">
        <v>1415</v>
      </c>
      <c r="D72">
        <v>27</v>
      </c>
    </row>
    <row r="73" spans="1:4" x14ac:dyDescent="0.25">
      <c r="A73" t="s">
        <v>123</v>
      </c>
      <c r="B73" t="s">
        <v>937</v>
      </c>
      <c r="C73" t="s">
        <v>1416</v>
      </c>
      <c r="D73">
        <v>30</v>
      </c>
    </row>
    <row r="74" spans="1:4" x14ac:dyDescent="0.25">
      <c r="A74" t="s">
        <v>123</v>
      </c>
      <c r="B74" t="s">
        <v>1417</v>
      </c>
      <c r="C74" t="s">
        <v>1418</v>
      </c>
      <c r="D74">
        <v>27</v>
      </c>
    </row>
    <row r="75" spans="1:4" x14ac:dyDescent="0.25">
      <c r="A75" t="s">
        <v>123</v>
      </c>
      <c r="B75" t="s">
        <v>1033</v>
      </c>
      <c r="C75" t="s">
        <v>1337</v>
      </c>
      <c r="D75">
        <v>29</v>
      </c>
    </row>
    <row r="76" spans="1:4" x14ac:dyDescent="0.25">
      <c r="A76" t="s">
        <v>123</v>
      </c>
      <c r="B76" t="s">
        <v>596</v>
      </c>
      <c r="C76" t="s">
        <v>1419</v>
      </c>
      <c r="D76">
        <v>31</v>
      </c>
    </row>
    <row r="77" spans="1:4" x14ac:dyDescent="0.25">
      <c r="A77" t="s">
        <v>123</v>
      </c>
      <c r="B77" t="s">
        <v>805</v>
      </c>
      <c r="C77" t="s">
        <v>1420</v>
      </c>
      <c r="D77">
        <v>33</v>
      </c>
    </row>
    <row r="78" spans="1:4" x14ac:dyDescent="0.25">
      <c r="A78" t="s">
        <v>123</v>
      </c>
      <c r="B78" t="s">
        <v>1092</v>
      </c>
      <c r="C78" t="s">
        <v>1421</v>
      </c>
      <c r="D78">
        <v>31</v>
      </c>
    </row>
    <row r="79" spans="1:4" x14ac:dyDescent="0.25">
      <c r="A79" t="s">
        <v>123</v>
      </c>
      <c r="B79" t="s">
        <v>1422</v>
      </c>
      <c r="C79" t="s">
        <v>1423</v>
      </c>
      <c r="D79">
        <v>33</v>
      </c>
    </row>
    <row r="80" spans="1:4" x14ac:dyDescent="0.25">
      <c r="A80" t="s">
        <v>123</v>
      </c>
      <c r="B80" t="s">
        <v>33</v>
      </c>
      <c r="C80" t="s">
        <v>1424</v>
      </c>
      <c r="D80">
        <v>31</v>
      </c>
    </row>
    <row r="81" spans="1:4" x14ac:dyDescent="0.25">
      <c r="A81" t="s">
        <v>123</v>
      </c>
      <c r="B81" t="s">
        <v>350</v>
      </c>
      <c r="C81" t="s">
        <v>1425</v>
      </c>
      <c r="D81">
        <v>29</v>
      </c>
    </row>
    <row r="82" spans="1:4" x14ac:dyDescent="0.25">
      <c r="A82" t="s">
        <v>123</v>
      </c>
      <c r="B82" t="s">
        <v>235</v>
      </c>
      <c r="C82" t="s">
        <v>1426</v>
      </c>
      <c r="D82">
        <v>32</v>
      </c>
    </row>
    <row r="83" spans="1:4" x14ac:dyDescent="0.25">
      <c r="A83" t="s">
        <v>123</v>
      </c>
      <c r="B83" t="s">
        <v>78</v>
      </c>
      <c r="C83" t="s">
        <v>1427</v>
      </c>
      <c r="D83">
        <v>29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21.487804878048781</v>
      </c>
    </row>
    <row r="87" spans="1:4" x14ac:dyDescent="0.25">
      <c r="A87" t="s">
        <v>159</v>
      </c>
      <c r="D87">
        <f>MAX(D2:D83)</f>
        <v>36</v>
      </c>
    </row>
    <row r="88" spans="1:4" x14ac:dyDescent="0.25">
      <c r="A88" t="s">
        <v>160</v>
      </c>
      <c r="D88">
        <f>MIN(D2:D83)</f>
        <v>-2</v>
      </c>
    </row>
    <row r="89" spans="1:4" x14ac:dyDescent="0.25">
      <c r="A89" t="s">
        <v>161</v>
      </c>
      <c r="D89">
        <f>COUNTIF(D2:D83,"&gt;0")</f>
        <v>81</v>
      </c>
    </row>
    <row r="90" spans="1:4" x14ac:dyDescent="0.25">
      <c r="A90" t="s">
        <v>162</v>
      </c>
      <c r="D90">
        <f>COUNTIF(D2:D83,"=0")</f>
        <v>0</v>
      </c>
    </row>
    <row r="91" spans="1:4" x14ac:dyDescent="0.25">
      <c r="A91" t="s">
        <v>1428</v>
      </c>
      <c r="D91">
        <f>COUNTIF(D2:D83,"&lt;0")</f>
        <v>1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AVERAGE(D2,D3,D4,D5,D6,D7,D8,D9,D10,D11,D12,D13,D14,D15,D16,D17,D18,D19)</f>
        <v>4.5555555555555554</v>
      </c>
    </row>
    <row r="95" spans="1:4" x14ac:dyDescent="0.25">
      <c r="A95" t="s">
        <v>166</v>
      </c>
      <c r="D95">
        <f>AVERAGE(D20,D21,D22,D23,D24,D25,D26,D27,D28,D29,D30,D31,D32,D33,D34,D35,D36,D37,D38,D39,D40,D41)</f>
        <v>18.40909090909091</v>
      </c>
    </row>
    <row r="96" spans="1:4" x14ac:dyDescent="0.25">
      <c r="A96" t="s">
        <v>167</v>
      </c>
      <c r="D96">
        <f>AVERAGE(D42,D43,D44,D45,D46,D47,D48,D49,D50,D51,D52,D53,D54,D55,D56,D57,D58,D59,D60,D61,D62,D63,D64,D65)</f>
        <v>30.583333333333332</v>
      </c>
    </row>
    <row r="97" spans="1:4" x14ac:dyDescent="0.25">
      <c r="A97" t="s">
        <v>168</v>
      </c>
      <c r="D97">
        <f>AVERAGE(D66,D67,D68,D69,D70,D71,D72,D73,D74,D75,D76,D77,D78,D79,D80,D81,D82,D83)</f>
        <v>30.055555555555557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1430</v>
      </c>
      <c r="C2" t="s">
        <v>171</v>
      </c>
      <c r="D2">
        <v>3</v>
      </c>
    </row>
    <row r="3" spans="1:4" x14ac:dyDescent="0.25">
      <c r="A3" t="s">
        <v>4</v>
      </c>
      <c r="B3" t="s">
        <v>716</v>
      </c>
      <c r="C3" t="s">
        <v>174</v>
      </c>
      <c r="D3">
        <v>1</v>
      </c>
    </row>
    <row r="4" spans="1:4" x14ac:dyDescent="0.25">
      <c r="A4" t="s">
        <v>4</v>
      </c>
      <c r="B4" t="s">
        <v>427</v>
      </c>
      <c r="C4" t="s">
        <v>1347</v>
      </c>
      <c r="D4">
        <v>3</v>
      </c>
    </row>
    <row r="5" spans="1:4" x14ac:dyDescent="0.25">
      <c r="A5" t="s">
        <v>4</v>
      </c>
      <c r="B5" t="s">
        <v>1431</v>
      </c>
      <c r="C5" t="s">
        <v>1106</v>
      </c>
      <c r="D5">
        <v>1</v>
      </c>
    </row>
    <row r="6" spans="1:4" x14ac:dyDescent="0.25">
      <c r="A6" t="s">
        <v>4</v>
      </c>
      <c r="B6" t="s">
        <v>1321</v>
      </c>
      <c r="C6" t="s">
        <v>1348</v>
      </c>
      <c r="D6">
        <v>3</v>
      </c>
    </row>
    <row r="7" spans="1:4" x14ac:dyDescent="0.25">
      <c r="A7" t="s">
        <v>4</v>
      </c>
      <c r="B7" t="s">
        <v>1146</v>
      </c>
      <c r="C7" t="s">
        <v>567</v>
      </c>
      <c r="D7">
        <v>0</v>
      </c>
    </row>
    <row r="8" spans="1:4" x14ac:dyDescent="0.25">
      <c r="A8" t="s">
        <v>4</v>
      </c>
      <c r="B8" t="s">
        <v>307</v>
      </c>
      <c r="C8" t="s">
        <v>569</v>
      </c>
      <c r="D8">
        <v>2</v>
      </c>
    </row>
    <row r="9" spans="1:4" x14ac:dyDescent="0.25">
      <c r="A9" t="s">
        <v>4</v>
      </c>
      <c r="B9" t="s">
        <v>1432</v>
      </c>
      <c r="C9" t="s">
        <v>438</v>
      </c>
      <c r="D9">
        <v>-1</v>
      </c>
    </row>
    <row r="10" spans="1:4" x14ac:dyDescent="0.25">
      <c r="A10" t="s">
        <v>4</v>
      </c>
      <c r="B10" t="s">
        <v>836</v>
      </c>
      <c r="C10" t="s">
        <v>1433</v>
      </c>
      <c r="D10">
        <v>-3</v>
      </c>
    </row>
    <row r="11" spans="1:4" x14ac:dyDescent="0.25">
      <c r="A11" t="s">
        <v>4</v>
      </c>
      <c r="B11" t="s">
        <v>1434</v>
      </c>
      <c r="C11" t="s">
        <v>575</v>
      </c>
      <c r="D11">
        <v>-1</v>
      </c>
    </row>
    <row r="12" spans="1:4" x14ac:dyDescent="0.25">
      <c r="A12" t="s">
        <v>4</v>
      </c>
      <c r="B12" t="s">
        <v>1231</v>
      </c>
      <c r="C12" t="s">
        <v>919</v>
      </c>
      <c r="D12">
        <v>1</v>
      </c>
    </row>
    <row r="13" spans="1:4" x14ac:dyDescent="0.25">
      <c r="A13" t="s">
        <v>4</v>
      </c>
      <c r="B13" t="s">
        <v>337</v>
      </c>
      <c r="C13" t="s">
        <v>1435</v>
      </c>
      <c r="D13">
        <v>-1</v>
      </c>
    </row>
    <row r="14" spans="1:4" x14ac:dyDescent="0.25">
      <c r="A14" t="s">
        <v>4</v>
      </c>
      <c r="B14" t="s">
        <v>1436</v>
      </c>
      <c r="C14" t="s">
        <v>921</v>
      </c>
      <c r="D14">
        <v>1</v>
      </c>
    </row>
    <row r="15" spans="1:4" x14ac:dyDescent="0.25">
      <c r="A15" t="s">
        <v>4</v>
      </c>
      <c r="B15" t="s">
        <v>706</v>
      </c>
      <c r="C15" t="s">
        <v>705</v>
      </c>
      <c r="D15">
        <v>-1</v>
      </c>
    </row>
    <row r="16" spans="1:4" x14ac:dyDescent="0.25">
      <c r="A16" t="s">
        <v>4</v>
      </c>
      <c r="B16" t="s">
        <v>1129</v>
      </c>
      <c r="C16" t="s">
        <v>707</v>
      </c>
      <c r="D16">
        <v>1</v>
      </c>
    </row>
    <row r="17" spans="1:4" x14ac:dyDescent="0.25">
      <c r="A17" t="s">
        <v>4</v>
      </c>
      <c r="B17" t="s">
        <v>671</v>
      </c>
      <c r="C17" t="s">
        <v>39</v>
      </c>
      <c r="D17">
        <v>-1</v>
      </c>
    </row>
    <row r="18" spans="1:4" x14ac:dyDescent="0.25">
      <c r="A18" t="s">
        <v>4</v>
      </c>
      <c r="B18" t="s">
        <v>320</v>
      </c>
      <c r="C18" t="s">
        <v>583</v>
      </c>
      <c r="D18">
        <v>1</v>
      </c>
    </row>
    <row r="19" spans="1:4" x14ac:dyDescent="0.25">
      <c r="A19" t="s">
        <v>4</v>
      </c>
      <c r="B19" t="s">
        <v>1437</v>
      </c>
      <c r="C19" t="s">
        <v>44</v>
      </c>
      <c r="D19">
        <v>-2</v>
      </c>
    </row>
    <row r="20" spans="1:4" x14ac:dyDescent="0.25">
      <c r="A20" t="s">
        <v>4</v>
      </c>
      <c r="B20" t="s">
        <v>675</v>
      </c>
      <c r="C20" t="s">
        <v>1438</v>
      </c>
      <c r="D20">
        <v>0</v>
      </c>
    </row>
    <row r="21" spans="1:4" x14ac:dyDescent="0.25">
      <c r="A21" t="s">
        <v>40</v>
      </c>
      <c r="B21" t="s">
        <v>269</v>
      </c>
      <c r="C21" t="s">
        <v>587</v>
      </c>
      <c r="D21">
        <v>1</v>
      </c>
    </row>
    <row r="22" spans="1:4" x14ac:dyDescent="0.25">
      <c r="A22" t="s">
        <v>40</v>
      </c>
      <c r="B22" t="s">
        <v>130</v>
      </c>
      <c r="C22" t="s">
        <v>334</v>
      </c>
      <c r="D22">
        <v>3</v>
      </c>
    </row>
    <row r="23" spans="1:4" x14ac:dyDescent="0.25">
      <c r="A23" t="s">
        <v>40</v>
      </c>
      <c r="B23" t="s">
        <v>1192</v>
      </c>
      <c r="C23" t="s">
        <v>1439</v>
      </c>
      <c r="D23">
        <v>4</v>
      </c>
    </row>
    <row r="24" spans="1:4" x14ac:dyDescent="0.25">
      <c r="A24" t="s">
        <v>40</v>
      </c>
      <c r="B24" t="s">
        <v>208</v>
      </c>
      <c r="C24" t="s">
        <v>926</v>
      </c>
      <c r="D24">
        <v>3</v>
      </c>
    </row>
    <row r="25" spans="1:4" x14ac:dyDescent="0.25">
      <c r="A25" t="s">
        <v>40</v>
      </c>
      <c r="B25" t="s">
        <v>208</v>
      </c>
      <c r="C25" t="s">
        <v>1440</v>
      </c>
      <c r="D25">
        <v>2</v>
      </c>
    </row>
    <row r="26" spans="1:4" x14ac:dyDescent="0.25">
      <c r="A26" t="s">
        <v>40</v>
      </c>
      <c r="B26" t="s">
        <v>175</v>
      </c>
      <c r="C26" t="s">
        <v>717</v>
      </c>
      <c r="D26">
        <v>4</v>
      </c>
    </row>
    <row r="27" spans="1:4" x14ac:dyDescent="0.25">
      <c r="A27" t="s">
        <v>40</v>
      </c>
      <c r="B27" t="s">
        <v>914</v>
      </c>
      <c r="C27" t="s">
        <v>718</v>
      </c>
      <c r="D27">
        <v>1</v>
      </c>
    </row>
    <row r="28" spans="1:4" x14ac:dyDescent="0.25">
      <c r="A28" t="s">
        <v>40</v>
      </c>
      <c r="B28" t="s">
        <v>1441</v>
      </c>
      <c r="C28" t="s">
        <v>720</v>
      </c>
      <c r="D28">
        <v>4</v>
      </c>
    </row>
    <row r="29" spans="1:4" x14ac:dyDescent="0.25">
      <c r="A29" t="s">
        <v>40</v>
      </c>
      <c r="B29" t="s">
        <v>596</v>
      </c>
      <c r="C29" t="s">
        <v>220</v>
      </c>
      <c r="D29">
        <v>6</v>
      </c>
    </row>
    <row r="30" spans="1:4" x14ac:dyDescent="0.25">
      <c r="A30" t="s">
        <v>40</v>
      </c>
      <c r="B30" t="s">
        <v>435</v>
      </c>
      <c r="C30" t="s">
        <v>222</v>
      </c>
      <c r="D30">
        <v>4</v>
      </c>
    </row>
    <row r="31" spans="1:4" x14ac:dyDescent="0.25">
      <c r="A31" t="s">
        <v>40</v>
      </c>
      <c r="B31" t="s">
        <v>943</v>
      </c>
      <c r="C31" t="s">
        <v>224</v>
      </c>
      <c r="D31">
        <v>6</v>
      </c>
    </row>
    <row r="32" spans="1:4" x14ac:dyDescent="0.25">
      <c r="A32" t="s">
        <v>40</v>
      </c>
      <c r="B32" t="s">
        <v>1442</v>
      </c>
      <c r="C32" t="s">
        <v>1443</v>
      </c>
      <c r="D32">
        <v>7</v>
      </c>
    </row>
    <row r="33" spans="1:4" x14ac:dyDescent="0.25">
      <c r="A33" t="s">
        <v>40</v>
      </c>
      <c r="B33" t="s">
        <v>378</v>
      </c>
      <c r="C33" t="s">
        <v>1444</v>
      </c>
      <c r="D33">
        <v>5</v>
      </c>
    </row>
    <row r="34" spans="1:4" x14ac:dyDescent="0.25">
      <c r="A34" t="s">
        <v>40</v>
      </c>
      <c r="B34" t="s">
        <v>605</v>
      </c>
      <c r="C34" t="s">
        <v>1445</v>
      </c>
      <c r="D34">
        <v>7</v>
      </c>
    </row>
    <row r="35" spans="1:4" x14ac:dyDescent="0.25">
      <c r="A35" t="s">
        <v>40</v>
      </c>
      <c r="B35" t="s">
        <v>1019</v>
      </c>
      <c r="C35" t="s">
        <v>1446</v>
      </c>
      <c r="D35">
        <v>10</v>
      </c>
    </row>
    <row r="36" spans="1:4" x14ac:dyDescent="0.25">
      <c r="A36" t="s">
        <v>40</v>
      </c>
      <c r="B36" t="s">
        <v>534</v>
      </c>
      <c r="C36" t="s">
        <v>1447</v>
      </c>
      <c r="D36">
        <v>13</v>
      </c>
    </row>
    <row r="37" spans="1:4" x14ac:dyDescent="0.25">
      <c r="A37" t="s">
        <v>40</v>
      </c>
      <c r="B37" t="s">
        <v>350</v>
      </c>
      <c r="C37" t="s">
        <v>1448</v>
      </c>
      <c r="D37">
        <v>14</v>
      </c>
    </row>
    <row r="38" spans="1:4" x14ac:dyDescent="0.25">
      <c r="A38" t="s">
        <v>40</v>
      </c>
      <c r="B38" t="s">
        <v>78</v>
      </c>
      <c r="C38" t="s">
        <v>1449</v>
      </c>
      <c r="D38">
        <v>16</v>
      </c>
    </row>
    <row r="39" spans="1:4" x14ac:dyDescent="0.25">
      <c r="A39" t="s">
        <v>80</v>
      </c>
      <c r="B39" t="s">
        <v>128</v>
      </c>
      <c r="C39" t="s">
        <v>1450</v>
      </c>
      <c r="D39">
        <v>14</v>
      </c>
    </row>
    <row r="40" spans="1:4" x14ac:dyDescent="0.25">
      <c r="A40" t="s">
        <v>80</v>
      </c>
      <c r="B40" t="s">
        <v>1027</v>
      </c>
      <c r="C40" t="s">
        <v>1451</v>
      </c>
      <c r="D40">
        <v>12</v>
      </c>
    </row>
    <row r="41" spans="1:4" x14ac:dyDescent="0.25">
      <c r="A41" t="s">
        <v>80</v>
      </c>
      <c r="B41" t="s">
        <v>355</v>
      </c>
      <c r="C41" t="s">
        <v>1452</v>
      </c>
      <c r="D41">
        <v>14</v>
      </c>
    </row>
    <row r="42" spans="1:4" x14ac:dyDescent="0.25">
      <c r="A42" t="s">
        <v>80</v>
      </c>
      <c r="B42" t="s">
        <v>1453</v>
      </c>
      <c r="C42" t="s">
        <v>1454</v>
      </c>
      <c r="D42">
        <v>11</v>
      </c>
    </row>
    <row r="43" spans="1:4" x14ac:dyDescent="0.25">
      <c r="A43" t="s">
        <v>80</v>
      </c>
      <c r="B43" t="s">
        <v>275</v>
      </c>
      <c r="C43" t="s">
        <v>1455</v>
      </c>
      <c r="D43">
        <v>13</v>
      </c>
    </row>
    <row r="44" spans="1:4" x14ac:dyDescent="0.25">
      <c r="A44" t="s">
        <v>80</v>
      </c>
      <c r="B44" t="s">
        <v>254</v>
      </c>
      <c r="C44" t="s">
        <v>1456</v>
      </c>
      <c r="D44">
        <v>16</v>
      </c>
    </row>
    <row r="45" spans="1:4" x14ac:dyDescent="0.25">
      <c r="A45" t="s">
        <v>80</v>
      </c>
      <c r="B45" t="s">
        <v>405</v>
      </c>
      <c r="C45" t="s">
        <v>1457</v>
      </c>
      <c r="D45">
        <v>14</v>
      </c>
    </row>
    <row r="46" spans="1:4" x14ac:dyDescent="0.25">
      <c r="A46" t="s">
        <v>80</v>
      </c>
      <c r="B46" t="s">
        <v>870</v>
      </c>
      <c r="C46" t="s">
        <v>1458</v>
      </c>
      <c r="D46">
        <v>11</v>
      </c>
    </row>
    <row r="47" spans="1:4" x14ac:dyDescent="0.25">
      <c r="A47" t="s">
        <v>80</v>
      </c>
      <c r="B47" t="s">
        <v>596</v>
      </c>
      <c r="C47" t="s">
        <v>1459</v>
      </c>
      <c r="D47">
        <v>13</v>
      </c>
    </row>
    <row r="48" spans="1:4" x14ac:dyDescent="0.25">
      <c r="A48" t="s">
        <v>80</v>
      </c>
      <c r="B48" t="s">
        <v>1434</v>
      </c>
      <c r="C48" t="s">
        <v>1460</v>
      </c>
      <c r="D48">
        <v>10</v>
      </c>
    </row>
    <row r="49" spans="1:4" x14ac:dyDescent="0.25">
      <c r="A49" t="s">
        <v>80</v>
      </c>
      <c r="B49" t="s">
        <v>21</v>
      </c>
      <c r="C49" t="s">
        <v>1461</v>
      </c>
      <c r="D49">
        <v>12</v>
      </c>
    </row>
    <row r="50" spans="1:4" x14ac:dyDescent="0.25">
      <c r="A50" t="s">
        <v>80</v>
      </c>
      <c r="B50" t="s">
        <v>541</v>
      </c>
      <c r="C50" t="s">
        <v>1462</v>
      </c>
      <c r="D50">
        <v>11</v>
      </c>
    </row>
    <row r="51" spans="1:4" x14ac:dyDescent="0.25">
      <c r="A51" t="s">
        <v>80</v>
      </c>
      <c r="B51" t="s">
        <v>541</v>
      </c>
      <c r="C51" t="s">
        <v>1463</v>
      </c>
      <c r="D51">
        <v>10</v>
      </c>
    </row>
    <row r="52" spans="1:4" x14ac:dyDescent="0.25">
      <c r="A52" t="s">
        <v>80</v>
      </c>
      <c r="B52" t="s">
        <v>339</v>
      </c>
      <c r="C52" t="s">
        <v>1464</v>
      </c>
      <c r="D52">
        <v>12</v>
      </c>
    </row>
    <row r="53" spans="1:4" x14ac:dyDescent="0.25">
      <c r="A53" t="s">
        <v>80</v>
      </c>
      <c r="B53" t="s">
        <v>317</v>
      </c>
      <c r="C53" t="s">
        <v>1465</v>
      </c>
      <c r="D53">
        <v>10</v>
      </c>
    </row>
    <row r="54" spans="1:4" x14ac:dyDescent="0.25">
      <c r="A54" t="s">
        <v>80</v>
      </c>
      <c r="B54" t="s">
        <v>1312</v>
      </c>
      <c r="C54" t="s">
        <v>1466</v>
      </c>
      <c r="D54">
        <v>13</v>
      </c>
    </row>
    <row r="55" spans="1:4" x14ac:dyDescent="0.25">
      <c r="A55" t="s">
        <v>80</v>
      </c>
      <c r="B55" t="s">
        <v>896</v>
      </c>
      <c r="C55" t="s">
        <v>1467</v>
      </c>
      <c r="D55">
        <v>11</v>
      </c>
    </row>
    <row r="56" spans="1:4" x14ac:dyDescent="0.25">
      <c r="A56" t="s">
        <v>80</v>
      </c>
      <c r="B56" t="s">
        <v>552</v>
      </c>
      <c r="C56" t="s">
        <v>1165</v>
      </c>
      <c r="D56">
        <v>8</v>
      </c>
    </row>
    <row r="57" spans="1:4" x14ac:dyDescent="0.25">
      <c r="A57" t="s">
        <v>80</v>
      </c>
      <c r="B57" t="s">
        <v>76</v>
      </c>
      <c r="C57" t="s">
        <v>1167</v>
      </c>
      <c r="D57">
        <v>5</v>
      </c>
    </row>
    <row r="58" spans="1:4" x14ac:dyDescent="0.25">
      <c r="A58" t="s">
        <v>80</v>
      </c>
      <c r="B58" t="s">
        <v>817</v>
      </c>
      <c r="C58" t="s">
        <v>1168</v>
      </c>
      <c r="D58">
        <v>7</v>
      </c>
    </row>
    <row r="59" spans="1:4" x14ac:dyDescent="0.25">
      <c r="A59" t="s">
        <v>123</v>
      </c>
      <c r="B59" t="s">
        <v>855</v>
      </c>
      <c r="C59" t="s">
        <v>1468</v>
      </c>
      <c r="D59">
        <v>9</v>
      </c>
    </row>
    <row r="60" spans="1:4" x14ac:dyDescent="0.25">
      <c r="A60" t="s">
        <v>123</v>
      </c>
      <c r="B60" t="s">
        <v>859</v>
      </c>
      <c r="C60" t="s">
        <v>1469</v>
      </c>
      <c r="D60">
        <v>11</v>
      </c>
    </row>
    <row r="61" spans="1:4" x14ac:dyDescent="0.25">
      <c r="A61" t="s">
        <v>123</v>
      </c>
      <c r="B61" t="s">
        <v>208</v>
      </c>
      <c r="C61" t="s">
        <v>1470</v>
      </c>
      <c r="D61">
        <v>14</v>
      </c>
    </row>
    <row r="62" spans="1:4" x14ac:dyDescent="0.25">
      <c r="A62" t="s">
        <v>123</v>
      </c>
      <c r="B62" t="s">
        <v>89</v>
      </c>
      <c r="C62" t="s">
        <v>1471</v>
      </c>
      <c r="D62">
        <v>12</v>
      </c>
    </row>
    <row r="63" spans="1:4" x14ac:dyDescent="0.25">
      <c r="A63" t="s">
        <v>123</v>
      </c>
      <c r="B63" t="s">
        <v>175</v>
      </c>
      <c r="C63" t="s">
        <v>1472</v>
      </c>
      <c r="D63">
        <v>11</v>
      </c>
    </row>
    <row r="64" spans="1:4" x14ac:dyDescent="0.25">
      <c r="A64" t="s">
        <v>123</v>
      </c>
      <c r="B64" t="s">
        <v>1011</v>
      </c>
      <c r="C64" t="s">
        <v>1473</v>
      </c>
      <c r="D64">
        <v>13</v>
      </c>
    </row>
    <row r="65" spans="1:4" x14ac:dyDescent="0.25">
      <c r="A65" t="s">
        <v>123</v>
      </c>
      <c r="B65" t="s">
        <v>1069</v>
      </c>
      <c r="C65" t="s">
        <v>1474</v>
      </c>
      <c r="D65">
        <v>15</v>
      </c>
    </row>
    <row r="66" spans="1:4" x14ac:dyDescent="0.25">
      <c r="A66" t="s">
        <v>123</v>
      </c>
      <c r="B66" t="s">
        <v>1475</v>
      </c>
      <c r="C66" t="s">
        <v>1476</v>
      </c>
      <c r="D66">
        <v>17</v>
      </c>
    </row>
    <row r="67" spans="1:4" x14ac:dyDescent="0.25">
      <c r="A67" t="s">
        <v>123</v>
      </c>
      <c r="B67" t="s">
        <v>1228</v>
      </c>
      <c r="C67" t="s">
        <v>1477</v>
      </c>
      <c r="D67">
        <v>16</v>
      </c>
    </row>
    <row r="68" spans="1:4" x14ac:dyDescent="0.25">
      <c r="A68" t="s">
        <v>123</v>
      </c>
      <c r="B68" t="s">
        <v>1228</v>
      </c>
      <c r="C68" t="s">
        <v>1478</v>
      </c>
      <c r="D68">
        <v>15</v>
      </c>
    </row>
    <row r="69" spans="1:4" x14ac:dyDescent="0.25">
      <c r="A69" t="s">
        <v>123</v>
      </c>
      <c r="B69" t="s">
        <v>1442</v>
      </c>
      <c r="C69" t="s">
        <v>1479</v>
      </c>
      <c r="D69">
        <v>18</v>
      </c>
    </row>
    <row r="70" spans="1:4" x14ac:dyDescent="0.25">
      <c r="A70" t="s">
        <v>123</v>
      </c>
      <c r="B70" t="s">
        <v>110</v>
      </c>
      <c r="C70" t="s">
        <v>1480</v>
      </c>
      <c r="D70">
        <v>15</v>
      </c>
    </row>
    <row r="71" spans="1:4" x14ac:dyDescent="0.25">
      <c r="A71" t="s">
        <v>123</v>
      </c>
      <c r="B71" t="s">
        <v>1481</v>
      </c>
      <c r="C71" t="s">
        <v>1482</v>
      </c>
      <c r="D71">
        <v>13</v>
      </c>
    </row>
    <row r="72" spans="1:4" x14ac:dyDescent="0.25">
      <c r="A72" t="s">
        <v>123</v>
      </c>
      <c r="B72" t="s">
        <v>116</v>
      </c>
      <c r="C72" t="s">
        <v>1483</v>
      </c>
      <c r="D72">
        <v>15</v>
      </c>
    </row>
    <row r="73" spans="1:4" x14ac:dyDescent="0.25">
      <c r="A73" t="s">
        <v>123</v>
      </c>
      <c r="B73" t="s">
        <v>877</v>
      </c>
      <c r="C73" t="s">
        <v>991</v>
      </c>
      <c r="D73">
        <v>13</v>
      </c>
    </row>
    <row r="74" spans="1:4" x14ac:dyDescent="0.25">
      <c r="A74" t="s">
        <v>123</v>
      </c>
      <c r="B74" t="s">
        <v>1484</v>
      </c>
      <c r="C74" t="s">
        <v>1485</v>
      </c>
      <c r="D74">
        <v>15</v>
      </c>
    </row>
    <row r="75" spans="1:4" x14ac:dyDescent="0.25">
      <c r="A75" t="s">
        <v>123</v>
      </c>
      <c r="B75" t="s">
        <v>710</v>
      </c>
      <c r="C75" t="s">
        <v>1486</v>
      </c>
      <c r="D75">
        <v>12</v>
      </c>
    </row>
    <row r="76" spans="1:4" x14ac:dyDescent="0.25">
      <c r="A76" t="s">
        <v>123</v>
      </c>
      <c r="B76" t="s">
        <v>675</v>
      </c>
      <c r="C76" t="s">
        <v>1487</v>
      </c>
      <c r="D76">
        <v>14</v>
      </c>
    </row>
    <row r="77" spans="1:4" x14ac:dyDescent="0.25">
      <c r="A77" t="s">
        <v>123</v>
      </c>
      <c r="B77" t="s">
        <v>681</v>
      </c>
      <c r="C77" t="s">
        <v>1488</v>
      </c>
      <c r="D77">
        <v>12</v>
      </c>
    </row>
    <row r="78" spans="1:4" x14ac:dyDescent="0.25">
      <c r="A78" t="s">
        <v>123</v>
      </c>
      <c r="B78" t="s">
        <v>1489</v>
      </c>
      <c r="C78" t="s">
        <v>1490</v>
      </c>
      <c r="D78">
        <v>14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8.0259740259740262</v>
      </c>
    </row>
    <row r="82" spans="1:4" x14ac:dyDescent="0.25">
      <c r="A82" t="s">
        <v>159</v>
      </c>
      <c r="D82">
        <f>MAX(D2:D78)</f>
        <v>18</v>
      </c>
    </row>
    <row r="83" spans="1:4" x14ac:dyDescent="0.25">
      <c r="A83" t="s">
        <v>160</v>
      </c>
      <c r="D83">
        <f>MIN(D2:D78)</f>
        <v>-3</v>
      </c>
    </row>
    <row r="84" spans="1:4" x14ac:dyDescent="0.25">
      <c r="A84" t="s">
        <v>161</v>
      </c>
      <c r="D84">
        <f>COUNTIF(D2:D78,"&gt;0")</f>
        <v>68</v>
      </c>
    </row>
    <row r="85" spans="1:4" x14ac:dyDescent="0.25">
      <c r="A85" t="s">
        <v>162</v>
      </c>
      <c r="D85">
        <f>COUNTIF(D2:D78,"=0")</f>
        <v>2</v>
      </c>
    </row>
    <row r="86" spans="1:4" x14ac:dyDescent="0.25">
      <c r="A86" t="s">
        <v>1491</v>
      </c>
      <c r="D86">
        <f>COUNTIF(D2:D78,"&lt;0")</f>
        <v>7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AVERAGE(D2,D3,D4,D5,D6,D7,D8,D9,D10,D11,D12,D13,D14,D15,D16,D17,D18,D19,D20)</f>
        <v>0.36842105263157893</v>
      </c>
    </row>
    <row r="90" spans="1:4" x14ac:dyDescent="0.25">
      <c r="A90" t="s">
        <v>166</v>
      </c>
      <c r="D90">
        <f>AVERAGE(D21,D22,D23,D24,D25,D26,D27,D28,D29,D30,D31,D32,D33,D34,D35,D36,D37,D38)</f>
        <v>6.1111111111111107</v>
      </c>
    </row>
    <row r="91" spans="1:4" x14ac:dyDescent="0.25">
      <c r="A91" t="s">
        <v>167</v>
      </c>
      <c r="D91">
        <f>AVERAGE(D39,D40,D41,D42,D43,D44,D45,D46,D47,D48,D49,D50,D51,D52,D53,D54,D55,D56,D57,D58)</f>
        <v>11.35</v>
      </c>
    </row>
    <row r="92" spans="1:4" x14ac:dyDescent="0.25">
      <c r="A92" t="s">
        <v>168</v>
      </c>
      <c r="D92">
        <f>AVERAGE(D59,D60,D61,D62,D63,D64,D65,D66,D67,D68,D69,D70,D71,D72,D73,D74,D75,D76,D77,D78)</f>
        <v>13.7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777</v>
      </c>
      <c r="C2" t="s">
        <v>1008</v>
      </c>
      <c r="D2">
        <v>-3</v>
      </c>
    </row>
    <row r="3" spans="1:4" x14ac:dyDescent="0.25">
      <c r="A3" t="s">
        <v>4</v>
      </c>
      <c r="B3" t="s">
        <v>244</v>
      </c>
      <c r="C3" t="s">
        <v>1189</v>
      </c>
      <c r="D3">
        <v>-2</v>
      </c>
    </row>
    <row r="4" spans="1:4" x14ac:dyDescent="0.25">
      <c r="A4" t="s">
        <v>4</v>
      </c>
      <c r="B4" t="s">
        <v>1408</v>
      </c>
      <c r="C4" t="s">
        <v>1191</v>
      </c>
      <c r="D4">
        <v>0</v>
      </c>
    </row>
    <row r="5" spans="1:4" x14ac:dyDescent="0.25">
      <c r="A5" t="s">
        <v>4</v>
      </c>
      <c r="B5" t="s">
        <v>1493</v>
      </c>
      <c r="C5" t="s">
        <v>1494</v>
      </c>
      <c r="D5">
        <v>-3</v>
      </c>
    </row>
    <row r="6" spans="1:4" x14ac:dyDescent="0.25">
      <c r="A6" t="s">
        <v>4</v>
      </c>
      <c r="B6" t="s">
        <v>641</v>
      </c>
      <c r="C6" t="s">
        <v>1107</v>
      </c>
      <c r="D6">
        <v>-1</v>
      </c>
    </row>
    <row r="7" spans="1:4" x14ac:dyDescent="0.25">
      <c r="A7" t="s">
        <v>4</v>
      </c>
      <c r="B7" t="s">
        <v>1495</v>
      </c>
      <c r="C7" t="s">
        <v>1109</v>
      </c>
      <c r="D7">
        <v>-3</v>
      </c>
    </row>
    <row r="8" spans="1:4" x14ac:dyDescent="0.25">
      <c r="A8" t="s">
        <v>4</v>
      </c>
      <c r="B8" t="s">
        <v>1495</v>
      </c>
      <c r="C8" t="s">
        <v>1496</v>
      </c>
      <c r="D8">
        <v>-4</v>
      </c>
    </row>
    <row r="9" spans="1:4" x14ac:dyDescent="0.25">
      <c r="A9" t="s">
        <v>4</v>
      </c>
      <c r="B9" t="s">
        <v>1417</v>
      </c>
      <c r="C9" t="s">
        <v>1497</v>
      </c>
      <c r="D9">
        <v>-2</v>
      </c>
    </row>
    <row r="10" spans="1:4" x14ac:dyDescent="0.25">
      <c r="A10" t="s">
        <v>4</v>
      </c>
      <c r="B10" t="s">
        <v>1498</v>
      </c>
      <c r="C10" t="s">
        <v>1499</v>
      </c>
      <c r="D10">
        <v>-5</v>
      </c>
    </row>
    <row r="11" spans="1:4" x14ac:dyDescent="0.25">
      <c r="A11" t="s">
        <v>4</v>
      </c>
      <c r="B11" t="s">
        <v>517</v>
      </c>
      <c r="C11" t="s">
        <v>1433</v>
      </c>
      <c r="D11">
        <v>-3</v>
      </c>
    </row>
    <row r="12" spans="1:4" x14ac:dyDescent="0.25">
      <c r="A12" t="s">
        <v>4</v>
      </c>
      <c r="B12" t="s">
        <v>517</v>
      </c>
      <c r="C12" t="s">
        <v>1500</v>
      </c>
      <c r="D12">
        <v>-2</v>
      </c>
    </row>
    <row r="13" spans="1:4" x14ac:dyDescent="0.25">
      <c r="A13" t="s">
        <v>4</v>
      </c>
      <c r="B13" t="s">
        <v>1475</v>
      </c>
      <c r="C13" t="s">
        <v>1501</v>
      </c>
      <c r="D13">
        <v>-4</v>
      </c>
    </row>
    <row r="14" spans="1:4" x14ac:dyDescent="0.25">
      <c r="A14" t="s">
        <v>4</v>
      </c>
      <c r="B14" t="s">
        <v>1231</v>
      </c>
      <c r="C14" t="s">
        <v>1502</v>
      </c>
      <c r="D14">
        <v>-7</v>
      </c>
    </row>
    <row r="15" spans="1:4" x14ac:dyDescent="0.25">
      <c r="A15" t="s">
        <v>4</v>
      </c>
      <c r="B15" t="s">
        <v>1503</v>
      </c>
      <c r="C15" t="s">
        <v>1504</v>
      </c>
      <c r="D15">
        <v>-4</v>
      </c>
    </row>
    <row r="16" spans="1:4" x14ac:dyDescent="0.25">
      <c r="A16" t="s">
        <v>4</v>
      </c>
      <c r="B16" t="s">
        <v>704</v>
      </c>
      <c r="C16" t="s">
        <v>1505</v>
      </c>
      <c r="D16">
        <v>-2</v>
      </c>
    </row>
    <row r="17" spans="1:4" x14ac:dyDescent="0.25">
      <c r="A17" t="s">
        <v>4</v>
      </c>
      <c r="B17" t="s">
        <v>288</v>
      </c>
      <c r="C17" t="s">
        <v>1506</v>
      </c>
      <c r="D17">
        <v>-5</v>
      </c>
    </row>
    <row r="18" spans="1:4" x14ac:dyDescent="0.25">
      <c r="A18" t="s">
        <v>4</v>
      </c>
      <c r="B18" t="s">
        <v>414</v>
      </c>
      <c r="C18" t="s">
        <v>1507</v>
      </c>
      <c r="D18">
        <v>-3</v>
      </c>
    </row>
    <row r="19" spans="1:4" x14ac:dyDescent="0.25">
      <c r="A19" t="s">
        <v>4</v>
      </c>
      <c r="B19" t="s">
        <v>231</v>
      </c>
      <c r="C19" t="s">
        <v>1508</v>
      </c>
      <c r="D19">
        <v>-1</v>
      </c>
    </row>
    <row r="20" spans="1:4" x14ac:dyDescent="0.25">
      <c r="A20" t="s">
        <v>4</v>
      </c>
      <c r="B20" t="s">
        <v>483</v>
      </c>
      <c r="C20" t="s">
        <v>1509</v>
      </c>
      <c r="D20">
        <v>-4</v>
      </c>
    </row>
    <row r="21" spans="1:4" x14ac:dyDescent="0.25">
      <c r="A21" t="s">
        <v>4</v>
      </c>
      <c r="B21" t="s">
        <v>350</v>
      </c>
      <c r="C21" t="s">
        <v>589</v>
      </c>
      <c r="D21">
        <v>-1</v>
      </c>
    </row>
    <row r="22" spans="1:4" x14ac:dyDescent="0.25">
      <c r="A22" t="s">
        <v>4</v>
      </c>
      <c r="B22" t="s">
        <v>559</v>
      </c>
      <c r="C22" t="s">
        <v>1510</v>
      </c>
      <c r="D22">
        <v>-2</v>
      </c>
    </row>
    <row r="23" spans="1:4" x14ac:dyDescent="0.25">
      <c r="A23" t="s">
        <v>4</v>
      </c>
      <c r="B23" t="s">
        <v>559</v>
      </c>
      <c r="C23" t="s">
        <v>1511</v>
      </c>
      <c r="D23">
        <v>-3</v>
      </c>
    </row>
    <row r="24" spans="1:4" x14ac:dyDescent="0.25">
      <c r="A24" t="s">
        <v>40</v>
      </c>
      <c r="B24" t="s">
        <v>1321</v>
      </c>
      <c r="C24" t="s">
        <v>456</v>
      </c>
      <c r="D24">
        <v>-2</v>
      </c>
    </row>
    <row r="25" spans="1:4" x14ac:dyDescent="0.25">
      <c r="A25" t="s">
        <v>40</v>
      </c>
      <c r="B25" t="s">
        <v>398</v>
      </c>
      <c r="C25" t="s">
        <v>53</v>
      </c>
      <c r="D25">
        <v>-3</v>
      </c>
    </row>
    <row r="26" spans="1:4" x14ac:dyDescent="0.25">
      <c r="A26" t="s">
        <v>40</v>
      </c>
      <c r="B26" t="s">
        <v>398</v>
      </c>
      <c r="C26" t="s">
        <v>799</v>
      </c>
      <c r="D26">
        <v>-4</v>
      </c>
    </row>
    <row r="27" spans="1:4" x14ac:dyDescent="0.25">
      <c r="A27" t="s">
        <v>40</v>
      </c>
      <c r="B27" t="s">
        <v>778</v>
      </c>
      <c r="C27" t="s">
        <v>595</v>
      </c>
      <c r="D27">
        <v>-2</v>
      </c>
    </row>
    <row r="28" spans="1:4" x14ac:dyDescent="0.25">
      <c r="A28" t="s">
        <v>40</v>
      </c>
      <c r="B28" t="s">
        <v>1143</v>
      </c>
      <c r="C28" t="s">
        <v>57</v>
      </c>
      <c r="D28">
        <v>-4</v>
      </c>
    </row>
    <row r="29" spans="1:4" x14ac:dyDescent="0.25">
      <c r="A29" t="s">
        <v>40</v>
      </c>
      <c r="B29" t="s">
        <v>514</v>
      </c>
      <c r="C29" t="s">
        <v>1512</v>
      </c>
      <c r="D29">
        <v>-2</v>
      </c>
    </row>
    <row r="30" spans="1:4" x14ac:dyDescent="0.25">
      <c r="A30" t="s">
        <v>40</v>
      </c>
      <c r="B30" t="s">
        <v>643</v>
      </c>
      <c r="C30" t="s">
        <v>1513</v>
      </c>
      <c r="D30">
        <v>-4</v>
      </c>
    </row>
    <row r="31" spans="1:4" x14ac:dyDescent="0.25">
      <c r="A31" t="s">
        <v>40</v>
      </c>
      <c r="B31" t="s">
        <v>645</v>
      </c>
      <c r="C31" t="s">
        <v>1514</v>
      </c>
      <c r="D31">
        <v>-2</v>
      </c>
    </row>
    <row r="32" spans="1:4" x14ac:dyDescent="0.25">
      <c r="A32" t="s">
        <v>40</v>
      </c>
      <c r="B32" t="s">
        <v>405</v>
      </c>
      <c r="C32" t="s">
        <v>345</v>
      </c>
      <c r="D32">
        <v>0</v>
      </c>
    </row>
    <row r="33" spans="1:4" x14ac:dyDescent="0.25">
      <c r="A33" t="s">
        <v>40</v>
      </c>
      <c r="B33" t="s">
        <v>872</v>
      </c>
      <c r="C33" t="s">
        <v>1515</v>
      </c>
      <c r="D33">
        <v>-3</v>
      </c>
    </row>
    <row r="34" spans="1:4" x14ac:dyDescent="0.25">
      <c r="A34" t="s">
        <v>40</v>
      </c>
      <c r="B34" t="s">
        <v>221</v>
      </c>
      <c r="C34" t="s">
        <v>1134</v>
      </c>
      <c r="D34">
        <v>-1</v>
      </c>
    </row>
    <row r="35" spans="1:4" x14ac:dyDescent="0.25">
      <c r="A35" t="s">
        <v>40</v>
      </c>
      <c r="B35" t="s">
        <v>261</v>
      </c>
      <c r="C35" t="s">
        <v>470</v>
      </c>
      <c r="D35">
        <v>0</v>
      </c>
    </row>
    <row r="36" spans="1:4" x14ac:dyDescent="0.25">
      <c r="A36" t="s">
        <v>40</v>
      </c>
      <c r="B36" t="s">
        <v>1153</v>
      </c>
      <c r="C36" t="s">
        <v>1516</v>
      </c>
      <c r="D36">
        <v>1</v>
      </c>
    </row>
    <row r="37" spans="1:4" x14ac:dyDescent="0.25">
      <c r="A37" t="s">
        <v>40</v>
      </c>
      <c r="B37" t="s">
        <v>1153</v>
      </c>
      <c r="C37" t="s">
        <v>230</v>
      </c>
      <c r="D37">
        <v>2</v>
      </c>
    </row>
    <row r="38" spans="1:4" x14ac:dyDescent="0.25">
      <c r="A38" t="s">
        <v>40</v>
      </c>
      <c r="B38" t="s">
        <v>1517</v>
      </c>
      <c r="C38" t="s">
        <v>1518</v>
      </c>
      <c r="D38">
        <v>-1</v>
      </c>
    </row>
    <row r="39" spans="1:4" x14ac:dyDescent="0.25">
      <c r="A39" t="s">
        <v>40</v>
      </c>
      <c r="B39" t="s">
        <v>667</v>
      </c>
      <c r="C39" t="s">
        <v>476</v>
      </c>
      <c r="D39">
        <v>1</v>
      </c>
    </row>
    <row r="40" spans="1:4" x14ac:dyDescent="0.25">
      <c r="A40" t="s">
        <v>40</v>
      </c>
      <c r="B40" t="s">
        <v>386</v>
      </c>
      <c r="C40" t="s">
        <v>1519</v>
      </c>
      <c r="D40">
        <v>-1</v>
      </c>
    </row>
    <row r="41" spans="1:4" x14ac:dyDescent="0.25">
      <c r="A41" t="s">
        <v>40</v>
      </c>
      <c r="B41" t="s">
        <v>1202</v>
      </c>
      <c r="C41" t="s">
        <v>241</v>
      </c>
      <c r="D41">
        <v>-4</v>
      </c>
    </row>
    <row r="42" spans="1:4" x14ac:dyDescent="0.25">
      <c r="A42" t="s">
        <v>40</v>
      </c>
      <c r="B42" t="s">
        <v>29</v>
      </c>
      <c r="C42" t="s">
        <v>1520</v>
      </c>
      <c r="D42">
        <v>-5</v>
      </c>
    </row>
    <row r="43" spans="1:4" x14ac:dyDescent="0.25">
      <c r="A43" t="s">
        <v>40</v>
      </c>
      <c r="B43" t="s">
        <v>72</v>
      </c>
      <c r="C43" t="s">
        <v>1521</v>
      </c>
      <c r="D43">
        <v>-3</v>
      </c>
    </row>
    <row r="44" spans="1:4" x14ac:dyDescent="0.25">
      <c r="A44" t="s">
        <v>40</v>
      </c>
      <c r="B44" t="s">
        <v>634</v>
      </c>
      <c r="C44" t="s">
        <v>1225</v>
      </c>
      <c r="D44">
        <v>0</v>
      </c>
    </row>
    <row r="45" spans="1:4" x14ac:dyDescent="0.25">
      <c r="A45" t="s">
        <v>80</v>
      </c>
      <c r="B45" t="s">
        <v>453</v>
      </c>
      <c r="C45" t="s">
        <v>1522</v>
      </c>
      <c r="D45">
        <v>2</v>
      </c>
    </row>
    <row r="46" spans="1:4" x14ac:dyDescent="0.25">
      <c r="A46" t="s">
        <v>80</v>
      </c>
      <c r="B46" t="s">
        <v>1430</v>
      </c>
      <c r="C46" t="s">
        <v>1523</v>
      </c>
      <c r="D46">
        <v>4</v>
      </c>
    </row>
    <row r="47" spans="1:4" x14ac:dyDescent="0.25">
      <c r="A47" t="s">
        <v>80</v>
      </c>
      <c r="B47" t="s">
        <v>1524</v>
      </c>
      <c r="C47" t="s">
        <v>372</v>
      </c>
      <c r="D47">
        <v>1</v>
      </c>
    </row>
    <row r="48" spans="1:4" x14ac:dyDescent="0.25">
      <c r="A48" t="s">
        <v>80</v>
      </c>
      <c r="B48" t="s">
        <v>565</v>
      </c>
      <c r="C48" t="s">
        <v>258</v>
      </c>
      <c r="D48">
        <v>-1</v>
      </c>
    </row>
    <row r="49" spans="1:4" x14ac:dyDescent="0.25">
      <c r="A49" t="s">
        <v>80</v>
      </c>
      <c r="B49" t="s">
        <v>1192</v>
      </c>
      <c r="C49" t="s">
        <v>375</v>
      </c>
      <c r="D49">
        <v>1</v>
      </c>
    </row>
    <row r="50" spans="1:4" x14ac:dyDescent="0.25">
      <c r="A50" t="s">
        <v>80</v>
      </c>
      <c r="B50" t="s">
        <v>862</v>
      </c>
      <c r="C50" t="s">
        <v>1525</v>
      </c>
      <c r="D50">
        <v>3</v>
      </c>
    </row>
    <row r="51" spans="1:4" x14ac:dyDescent="0.25">
      <c r="A51" t="s">
        <v>80</v>
      </c>
      <c r="B51" t="s">
        <v>175</v>
      </c>
      <c r="C51" t="s">
        <v>1526</v>
      </c>
      <c r="D51">
        <v>5</v>
      </c>
    </row>
    <row r="52" spans="1:4" x14ac:dyDescent="0.25">
      <c r="A52" t="s">
        <v>80</v>
      </c>
      <c r="B52" t="s">
        <v>1248</v>
      </c>
      <c r="C52" t="s">
        <v>1527</v>
      </c>
      <c r="D52">
        <v>4</v>
      </c>
    </row>
    <row r="53" spans="1:4" x14ac:dyDescent="0.25">
      <c r="A53" t="s">
        <v>80</v>
      </c>
      <c r="B53" t="s">
        <v>1248</v>
      </c>
      <c r="C53" t="s">
        <v>1528</v>
      </c>
      <c r="D53">
        <v>3</v>
      </c>
    </row>
    <row r="54" spans="1:4" x14ac:dyDescent="0.25">
      <c r="A54" t="s">
        <v>80</v>
      </c>
      <c r="B54" t="s">
        <v>1529</v>
      </c>
      <c r="C54" t="s">
        <v>1530</v>
      </c>
      <c r="D54">
        <v>1</v>
      </c>
    </row>
    <row r="55" spans="1:4" x14ac:dyDescent="0.25">
      <c r="A55" t="s">
        <v>80</v>
      </c>
      <c r="B55" t="s">
        <v>462</v>
      </c>
      <c r="C55" t="s">
        <v>1531</v>
      </c>
      <c r="D55">
        <v>4</v>
      </c>
    </row>
    <row r="56" spans="1:4" x14ac:dyDescent="0.25">
      <c r="A56" t="s">
        <v>80</v>
      </c>
      <c r="B56" t="s">
        <v>1033</v>
      </c>
      <c r="C56" t="s">
        <v>1532</v>
      </c>
      <c r="D56">
        <v>2</v>
      </c>
    </row>
    <row r="57" spans="1:4" x14ac:dyDescent="0.25">
      <c r="A57" t="s">
        <v>80</v>
      </c>
      <c r="B57" t="s">
        <v>651</v>
      </c>
      <c r="C57" t="s">
        <v>753</v>
      </c>
      <c r="D57">
        <v>-1</v>
      </c>
    </row>
    <row r="58" spans="1:4" x14ac:dyDescent="0.25">
      <c r="A58" t="s">
        <v>80</v>
      </c>
      <c r="B58" t="s">
        <v>1533</v>
      </c>
      <c r="C58" t="s">
        <v>1534</v>
      </c>
      <c r="D58">
        <v>1</v>
      </c>
    </row>
    <row r="59" spans="1:4" x14ac:dyDescent="0.25">
      <c r="A59" t="s">
        <v>80</v>
      </c>
      <c r="B59" t="s">
        <v>1349</v>
      </c>
      <c r="C59" t="s">
        <v>1535</v>
      </c>
      <c r="D59">
        <v>-2</v>
      </c>
    </row>
    <row r="60" spans="1:4" x14ac:dyDescent="0.25">
      <c r="A60" t="s">
        <v>80</v>
      </c>
      <c r="B60" t="s">
        <v>663</v>
      </c>
      <c r="C60" t="s">
        <v>504</v>
      </c>
      <c r="D60">
        <v>1</v>
      </c>
    </row>
    <row r="61" spans="1:4" x14ac:dyDescent="0.25">
      <c r="A61" t="s">
        <v>80</v>
      </c>
      <c r="B61" t="s">
        <v>1536</v>
      </c>
      <c r="C61" t="s">
        <v>758</v>
      </c>
      <c r="D61">
        <v>-2</v>
      </c>
    </row>
    <row r="62" spans="1:4" x14ac:dyDescent="0.25">
      <c r="A62" t="s">
        <v>80</v>
      </c>
      <c r="B62" t="s">
        <v>469</v>
      </c>
      <c r="C62" t="s">
        <v>1537</v>
      </c>
      <c r="D62">
        <v>-4</v>
      </c>
    </row>
    <row r="63" spans="1:4" x14ac:dyDescent="0.25">
      <c r="A63" t="s">
        <v>80</v>
      </c>
      <c r="B63" t="s">
        <v>667</v>
      </c>
      <c r="C63" t="s">
        <v>1538</v>
      </c>
      <c r="D63">
        <v>-5</v>
      </c>
    </row>
    <row r="64" spans="1:4" x14ac:dyDescent="0.25">
      <c r="A64" t="s">
        <v>80</v>
      </c>
      <c r="B64" t="s">
        <v>667</v>
      </c>
      <c r="C64" t="s">
        <v>282</v>
      </c>
      <c r="D64">
        <v>-6</v>
      </c>
    </row>
    <row r="65" spans="1:4" x14ac:dyDescent="0.25">
      <c r="A65" t="s">
        <v>80</v>
      </c>
      <c r="B65" t="s">
        <v>477</v>
      </c>
      <c r="C65" t="s">
        <v>283</v>
      </c>
      <c r="D65">
        <v>-8</v>
      </c>
    </row>
    <row r="66" spans="1:4" x14ac:dyDescent="0.25">
      <c r="A66" t="s">
        <v>80</v>
      </c>
      <c r="B66" t="s">
        <v>74</v>
      </c>
      <c r="C66" t="s">
        <v>1539</v>
      </c>
      <c r="D66">
        <v>-10</v>
      </c>
    </row>
    <row r="67" spans="1:4" x14ac:dyDescent="0.25">
      <c r="A67" t="s">
        <v>80</v>
      </c>
      <c r="B67" t="s">
        <v>508</v>
      </c>
      <c r="C67" t="s">
        <v>1540</v>
      </c>
      <c r="D67">
        <v>-12</v>
      </c>
    </row>
    <row r="68" spans="1:4" x14ac:dyDescent="0.25">
      <c r="A68" t="s">
        <v>123</v>
      </c>
      <c r="B68" t="s">
        <v>1541</v>
      </c>
      <c r="C68" t="s">
        <v>1542</v>
      </c>
      <c r="D68">
        <v>-9</v>
      </c>
    </row>
    <row r="69" spans="1:4" x14ac:dyDescent="0.25">
      <c r="A69" t="s">
        <v>123</v>
      </c>
      <c r="B69" t="s">
        <v>1543</v>
      </c>
      <c r="C69" t="s">
        <v>1544</v>
      </c>
      <c r="D69">
        <v>-12</v>
      </c>
    </row>
    <row r="70" spans="1:4" x14ac:dyDescent="0.25">
      <c r="A70" t="s">
        <v>123</v>
      </c>
      <c r="B70" t="s">
        <v>1545</v>
      </c>
      <c r="C70" t="s">
        <v>1546</v>
      </c>
      <c r="D70">
        <v>-10</v>
      </c>
    </row>
    <row r="71" spans="1:4" x14ac:dyDescent="0.25">
      <c r="A71" t="s">
        <v>123</v>
      </c>
      <c r="B71" t="s">
        <v>1027</v>
      </c>
      <c r="C71" t="s">
        <v>1547</v>
      </c>
      <c r="D71">
        <v>-11</v>
      </c>
    </row>
    <row r="72" spans="1:4" x14ac:dyDescent="0.25">
      <c r="A72" t="s">
        <v>123</v>
      </c>
      <c r="B72" t="s">
        <v>1027</v>
      </c>
      <c r="C72" t="s">
        <v>1548</v>
      </c>
      <c r="D72">
        <v>-12</v>
      </c>
    </row>
    <row r="73" spans="1:4" x14ac:dyDescent="0.25">
      <c r="A73" t="s">
        <v>123</v>
      </c>
      <c r="B73" t="s">
        <v>1549</v>
      </c>
      <c r="C73" t="s">
        <v>1550</v>
      </c>
      <c r="D73">
        <v>-15</v>
      </c>
    </row>
    <row r="74" spans="1:4" x14ac:dyDescent="0.25">
      <c r="A74" t="s">
        <v>123</v>
      </c>
      <c r="B74" t="s">
        <v>1194</v>
      </c>
      <c r="C74" t="s">
        <v>1551</v>
      </c>
      <c r="D74">
        <v>-12</v>
      </c>
    </row>
    <row r="75" spans="1:4" x14ac:dyDescent="0.25">
      <c r="A75" t="s">
        <v>123</v>
      </c>
      <c r="B75" t="s">
        <v>737</v>
      </c>
      <c r="C75" t="s">
        <v>1552</v>
      </c>
      <c r="D75">
        <v>-14</v>
      </c>
    </row>
    <row r="76" spans="1:4" x14ac:dyDescent="0.25">
      <c r="A76" t="s">
        <v>123</v>
      </c>
      <c r="B76" t="s">
        <v>1227</v>
      </c>
      <c r="C76" t="s">
        <v>1553</v>
      </c>
      <c r="D76">
        <v>-11</v>
      </c>
    </row>
    <row r="77" spans="1:4" x14ac:dyDescent="0.25">
      <c r="A77" t="s">
        <v>123</v>
      </c>
      <c r="B77" t="s">
        <v>97</v>
      </c>
      <c r="C77" t="s">
        <v>1554</v>
      </c>
      <c r="D77">
        <v>-14</v>
      </c>
    </row>
    <row r="78" spans="1:4" x14ac:dyDescent="0.25">
      <c r="A78" t="s">
        <v>123</v>
      </c>
      <c r="B78" t="s">
        <v>21</v>
      </c>
      <c r="C78" t="s">
        <v>1555</v>
      </c>
      <c r="D78">
        <v>-13</v>
      </c>
    </row>
    <row r="79" spans="1:4" x14ac:dyDescent="0.25">
      <c r="A79" t="s">
        <v>123</v>
      </c>
      <c r="B79" t="s">
        <v>21</v>
      </c>
      <c r="C79" t="s">
        <v>1556</v>
      </c>
      <c r="D79">
        <v>-12</v>
      </c>
    </row>
    <row r="80" spans="1:4" x14ac:dyDescent="0.25">
      <c r="A80" t="s">
        <v>123</v>
      </c>
      <c r="B80" t="s">
        <v>747</v>
      </c>
      <c r="C80" t="s">
        <v>1557</v>
      </c>
      <c r="D80">
        <v>-15</v>
      </c>
    </row>
    <row r="81" spans="1:4" x14ac:dyDescent="0.25">
      <c r="A81" t="s">
        <v>123</v>
      </c>
      <c r="B81" t="s">
        <v>67</v>
      </c>
      <c r="C81" t="s">
        <v>1558</v>
      </c>
      <c r="D81">
        <v>-13</v>
      </c>
    </row>
    <row r="82" spans="1:4" x14ac:dyDescent="0.25">
      <c r="A82" t="s">
        <v>123</v>
      </c>
      <c r="B82" t="s">
        <v>667</v>
      </c>
      <c r="C82" t="s">
        <v>1559</v>
      </c>
      <c r="D82">
        <v>-10</v>
      </c>
    </row>
    <row r="83" spans="1:4" x14ac:dyDescent="0.25">
      <c r="A83" t="s">
        <v>123</v>
      </c>
      <c r="B83" t="s">
        <v>148</v>
      </c>
      <c r="C83" t="s">
        <v>1560</v>
      </c>
      <c r="D83">
        <v>-13</v>
      </c>
    </row>
    <row r="84" spans="1:4" x14ac:dyDescent="0.25">
      <c r="A84" t="s">
        <v>123</v>
      </c>
      <c r="B84" t="s">
        <v>529</v>
      </c>
      <c r="C84" t="s">
        <v>1561</v>
      </c>
      <c r="D84">
        <v>-12</v>
      </c>
    </row>
    <row r="85" spans="1:4" x14ac:dyDescent="0.25">
      <c r="A85" t="s">
        <v>123</v>
      </c>
      <c r="B85" t="s">
        <v>529</v>
      </c>
      <c r="C85" t="s">
        <v>1562</v>
      </c>
      <c r="D85">
        <v>-11</v>
      </c>
    </row>
    <row r="86" spans="1:4" x14ac:dyDescent="0.25">
      <c r="A86" t="s">
        <v>123</v>
      </c>
      <c r="B86" t="s">
        <v>815</v>
      </c>
      <c r="C86" t="s">
        <v>1563</v>
      </c>
      <c r="D86">
        <v>-12</v>
      </c>
    </row>
    <row r="87" spans="1:4" x14ac:dyDescent="0.25">
      <c r="A87" t="s">
        <v>123</v>
      </c>
      <c r="B87" t="s">
        <v>233</v>
      </c>
      <c r="C87" t="s">
        <v>1564</v>
      </c>
      <c r="D87">
        <v>-15</v>
      </c>
    </row>
    <row r="88" spans="1:4" x14ac:dyDescent="0.25">
      <c r="A88" t="s">
        <v>123</v>
      </c>
      <c r="B88" t="s">
        <v>394</v>
      </c>
      <c r="C88" t="s">
        <v>1565</v>
      </c>
      <c r="D88">
        <v>-14</v>
      </c>
    </row>
    <row r="89" spans="1:4" x14ac:dyDescent="0.25">
      <c r="A89" t="s">
        <v>123</v>
      </c>
      <c r="B89" t="s">
        <v>394</v>
      </c>
      <c r="C89" t="s">
        <v>1566</v>
      </c>
      <c r="D89">
        <v>-13</v>
      </c>
    </row>
    <row r="90" spans="1:4" x14ac:dyDescent="0.25">
      <c r="A90" t="s">
        <v>123</v>
      </c>
      <c r="B90" t="s">
        <v>36</v>
      </c>
      <c r="C90" t="s">
        <v>1567</v>
      </c>
      <c r="D90">
        <v>-15</v>
      </c>
    </row>
    <row r="91" spans="1:4" x14ac:dyDescent="0.25">
      <c r="A91" t="s">
        <v>123</v>
      </c>
      <c r="B91" t="s">
        <v>1568</v>
      </c>
      <c r="C91" t="s">
        <v>1569</v>
      </c>
      <c r="D91">
        <v>-17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-4.7222222222222223</v>
      </c>
    </row>
    <row r="95" spans="1:4" x14ac:dyDescent="0.25">
      <c r="A95" t="s">
        <v>159</v>
      </c>
      <c r="D95">
        <f>MAX(D2:D91)</f>
        <v>5</v>
      </c>
    </row>
    <row r="96" spans="1:4" x14ac:dyDescent="0.25">
      <c r="A96" t="s">
        <v>160</v>
      </c>
      <c r="D96">
        <f>MIN(D2:D91)</f>
        <v>-17</v>
      </c>
    </row>
    <row r="97" spans="1:4" x14ac:dyDescent="0.25">
      <c r="A97" t="s">
        <v>161</v>
      </c>
      <c r="D97">
        <f>COUNTIF(D2:D91,"&gt;0")</f>
        <v>16</v>
      </c>
    </row>
    <row r="98" spans="1:4" x14ac:dyDescent="0.25">
      <c r="A98" t="s">
        <v>162</v>
      </c>
      <c r="D98">
        <f>COUNTIF(D2:D91,"=0")</f>
        <v>4</v>
      </c>
    </row>
    <row r="99" spans="1:4" x14ac:dyDescent="0.25">
      <c r="A99" t="s">
        <v>1570</v>
      </c>
      <c r="D99">
        <f>COUNTIF(D2:D91,"&lt;0")</f>
        <v>70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AVERAGE(D2,D3,D4,D5,D6,D7,D8,D9,D10,D11,D12,D13,D14,D15,D16,D17,D18,D19,D20,D21,D22,D23)</f>
        <v>-2.9090909090909092</v>
      </c>
    </row>
    <row r="103" spans="1:4" x14ac:dyDescent="0.25">
      <c r="A103" t="s">
        <v>166</v>
      </c>
      <c r="D103">
        <f>AVERAGE(D24,D25,D26,D27,D28,D29,D30,D31,D32,D33,D34,D35,D36,D37,D38,D39,D40,D41,D42,D43,D44)</f>
        <v>-1.7619047619047619</v>
      </c>
    </row>
    <row r="104" spans="1:4" x14ac:dyDescent="0.25">
      <c r="A104" t="s">
        <v>167</v>
      </c>
      <c r="D104">
        <f>AVERAGE(D45,D46,D47,D48,D49,D50,D51,D52,D53,D54,D55,D56,D57,D58,D59,D60,D61,D62,D63,D64,D65,D66,D67)</f>
        <v>-0.82608695652173914</v>
      </c>
    </row>
    <row r="105" spans="1:4" x14ac:dyDescent="0.25">
      <c r="A105" t="s">
        <v>168</v>
      </c>
      <c r="D105">
        <f>AVERAGE(D68,D69,D70,D71,D72,D73,D74,D75,D76,D77,D78,D79,D80,D81,D82,D83,D84,D85,D86,D87,D88,D89,D90,D91)</f>
        <v>-12.708333333333334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1524</v>
      </c>
      <c r="C2" t="s">
        <v>171</v>
      </c>
      <c r="D2">
        <v>3</v>
      </c>
    </row>
    <row r="3" spans="1:4" x14ac:dyDescent="0.25">
      <c r="A3" t="s">
        <v>4</v>
      </c>
      <c r="B3" t="s">
        <v>691</v>
      </c>
      <c r="C3" t="s">
        <v>1572</v>
      </c>
      <c r="D3">
        <v>5</v>
      </c>
    </row>
    <row r="4" spans="1:4" x14ac:dyDescent="0.25">
      <c r="A4" t="s">
        <v>4</v>
      </c>
      <c r="B4" t="s">
        <v>1573</v>
      </c>
      <c r="C4" t="s">
        <v>1347</v>
      </c>
      <c r="D4">
        <v>3</v>
      </c>
    </row>
    <row r="5" spans="1:4" x14ac:dyDescent="0.25">
      <c r="A5" t="s">
        <v>4</v>
      </c>
      <c r="B5" t="s">
        <v>1573</v>
      </c>
      <c r="C5" t="s">
        <v>429</v>
      </c>
      <c r="D5">
        <v>2</v>
      </c>
    </row>
    <row r="6" spans="1:4" x14ac:dyDescent="0.25">
      <c r="A6" t="s">
        <v>4</v>
      </c>
      <c r="B6" t="s">
        <v>458</v>
      </c>
      <c r="C6" t="s">
        <v>694</v>
      </c>
      <c r="D6">
        <v>5</v>
      </c>
    </row>
    <row r="7" spans="1:4" x14ac:dyDescent="0.25">
      <c r="A7" t="s">
        <v>4</v>
      </c>
      <c r="B7" t="s">
        <v>590</v>
      </c>
      <c r="C7" t="s">
        <v>1574</v>
      </c>
      <c r="D7">
        <v>2</v>
      </c>
    </row>
    <row r="8" spans="1:4" x14ac:dyDescent="0.25">
      <c r="A8" t="s">
        <v>4</v>
      </c>
      <c r="B8" t="s">
        <v>17</v>
      </c>
      <c r="C8" t="s">
        <v>185</v>
      </c>
      <c r="D8">
        <v>4</v>
      </c>
    </row>
    <row r="9" spans="1:4" x14ac:dyDescent="0.25">
      <c r="A9" t="s">
        <v>4</v>
      </c>
      <c r="B9" t="s">
        <v>726</v>
      </c>
      <c r="C9" t="s">
        <v>22</v>
      </c>
      <c r="D9">
        <v>2</v>
      </c>
    </row>
    <row r="10" spans="1:4" x14ac:dyDescent="0.25">
      <c r="A10" t="s">
        <v>4</v>
      </c>
      <c r="B10" t="s">
        <v>1434</v>
      </c>
      <c r="C10" t="s">
        <v>1110</v>
      </c>
      <c r="D10">
        <v>0</v>
      </c>
    </row>
    <row r="11" spans="1:4" x14ac:dyDescent="0.25">
      <c r="A11" t="s">
        <v>4</v>
      </c>
      <c r="B11" t="s">
        <v>188</v>
      </c>
      <c r="C11" t="s">
        <v>918</v>
      </c>
      <c r="D11">
        <v>3</v>
      </c>
    </row>
    <row r="12" spans="1:4" x14ac:dyDescent="0.25">
      <c r="A12" t="s">
        <v>4</v>
      </c>
      <c r="B12" t="s">
        <v>663</v>
      </c>
      <c r="C12" t="s">
        <v>1575</v>
      </c>
      <c r="D12">
        <v>4</v>
      </c>
    </row>
    <row r="13" spans="1:4" x14ac:dyDescent="0.25">
      <c r="A13" t="s">
        <v>4</v>
      </c>
      <c r="B13" t="s">
        <v>1517</v>
      </c>
      <c r="C13" t="s">
        <v>1576</v>
      </c>
      <c r="D13">
        <v>7</v>
      </c>
    </row>
    <row r="14" spans="1:4" x14ac:dyDescent="0.25">
      <c r="A14" t="s">
        <v>4</v>
      </c>
      <c r="B14" t="s">
        <v>876</v>
      </c>
      <c r="C14" t="s">
        <v>1577</v>
      </c>
      <c r="D14">
        <v>5</v>
      </c>
    </row>
    <row r="15" spans="1:4" x14ac:dyDescent="0.25">
      <c r="A15" t="s">
        <v>4</v>
      </c>
      <c r="B15" t="s">
        <v>876</v>
      </c>
      <c r="C15" t="s">
        <v>1578</v>
      </c>
      <c r="D15">
        <v>4</v>
      </c>
    </row>
    <row r="16" spans="1:4" x14ac:dyDescent="0.25">
      <c r="A16" t="s">
        <v>4</v>
      </c>
      <c r="B16" t="s">
        <v>290</v>
      </c>
      <c r="C16" t="s">
        <v>1579</v>
      </c>
      <c r="D16">
        <v>6</v>
      </c>
    </row>
    <row r="17" spans="1:4" x14ac:dyDescent="0.25">
      <c r="A17" t="s">
        <v>4</v>
      </c>
      <c r="B17" t="s">
        <v>27</v>
      </c>
      <c r="C17" t="s">
        <v>1580</v>
      </c>
      <c r="D17">
        <v>5</v>
      </c>
    </row>
    <row r="18" spans="1:4" x14ac:dyDescent="0.25">
      <c r="A18" t="s">
        <v>4</v>
      </c>
      <c r="B18" t="s">
        <v>27</v>
      </c>
      <c r="C18" t="s">
        <v>1201</v>
      </c>
      <c r="D18">
        <v>4</v>
      </c>
    </row>
    <row r="19" spans="1:4" x14ac:dyDescent="0.25">
      <c r="A19" t="s">
        <v>4</v>
      </c>
      <c r="B19" t="s">
        <v>392</v>
      </c>
      <c r="C19" t="s">
        <v>201</v>
      </c>
      <c r="D19">
        <v>7</v>
      </c>
    </row>
    <row r="20" spans="1:4" x14ac:dyDescent="0.25">
      <c r="A20" t="s">
        <v>4</v>
      </c>
      <c r="B20" t="s">
        <v>78</v>
      </c>
      <c r="C20" t="s">
        <v>1120</v>
      </c>
      <c r="D20">
        <v>4</v>
      </c>
    </row>
    <row r="21" spans="1:4" x14ac:dyDescent="0.25">
      <c r="A21" t="s">
        <v>40</v>
      </c>
      <c r="B21" t="s">
        <v>453</v>
      </c>
      <c r="C21" t="s">
        <v>1207</v>
      </c>
      <c r="D21">
        <v>5</v>
      </c>
    </row>
    <row r="22" spans="1:4" x14ac:dyDescent="0.25">
      <c r="A22" t="s">
        <v>40</v>
      </c>
      <c r="B22" t="s">
        <v>128</v>
      </c>
      <c r="C22" t="s">
        <v>1581</v>
      </c>
      <c r="D22">
        <v>7</v>
      </c>
    </row>
    <row r="23" spans="1:4" x14ac:dyDescent="0.25">
      <c r="A23" t="s">
        <v>40</v>
      </c>
      <c r="B23" t="s">
        <v>511</v>
      </c>
      <c r="C23" t="s">
        <v>1582</v>
      </c>
      <c r="D23">
        <v>9</v>
      </c>
    </row>
    <row r="24" spans="1:4" x14ac:dyDescent="0.25">
      <c r="A24" t="s">
        <v>40</v>
      </c>
      <c r="B24" t="s">
        <v>49</v>
      </c>
      <c r="C24" t="s">
        <v>715</v>
      </c>
      <c r="D24">
        <v>7</v>
      </c>
    </row>
    <row r="25" spans="1:4" x14ac:dyDescent="0.25">
      <c r="A25" t="s">
        <v>40</v>
      </c>
      <c r="B25" t="s">
        <v>1029</v>
      </c>
      <c r="C25" t="s">
        <v>717</v>
      </c>
      <c r="D25">
        <v>4</v>
      </c>
    </row>
    <row r="26" spans="1:4" x14ac:dyDescent="0.25">
      <c r="A26" t="s">
        <v>40</v>
      </c>
      <c r="B26" t="s">
        <v>759</v>
      </c>
      <c r="C26" t="s">
        <v>1583</v>
      </c>
      <c r="D26">
        <v>7</v>
      </c>
    </row>
    <row r="27" spans="1:4" x14ac:dyDescent="0.25">
      <c r="A27" t="s">
        <v>40</v>
      </c>
      <c r="B27" t="s">
        <v>914</v>
      </c>
      <c r="C27" t="s">
        <v>1584</v>
      </c>
      <c r="D27">
        <v>5</v>
      </c>
    </row>
    <row r="28" spans="1:4" x14ac:dyDescent="0.25">
      <c r="A28" t="s">
        <v>40</v>
      </c>
      <c r="B28" t="s">
        <v>433</v>
      </c>
      <c r="C28" t="s">
        <v>1585</v>
      </c>
      <c r="D28">
        <v>7</v>
      </c>
    </row>
    <row r="29" spans="1:4" x14ac:dyDescent="0.25">
      <c r="A29" t="s">
        <v>40</v>
      </c>
      <c r="B29" t="s">
        <v>435</v>
      </c>
      <c r="C29" t="s">
        <v>1586</v>
      </c>
      <c r="D29">
        <v>9</v>
      </c>
    </row>
    <row r="30" spans="1:4" x14ac:dyDescent="0.25">
      <c r="A30" t="s">
        <v>40</v>
      </c>
      <c r="B30" t="s">
        <v>729</v>
      </c>
      <c r="C30" t="s">
        <v>1587</v>
      </c>
      <c r="D30">
        <v>12</v>
      </c>
    </row>
    <row r="31" spans="1:4" x14ac:dyDescent="0.25">
      <c r="A31" t="s">
        <v>40</v>
      </c>
      <c r="B31" t="s">
        <v>223</v>
      </c>
      <c r="C31" t="s">
        <v>1588</v>
      </c>
      <c r="D31">
        <v>9</v>
      </c>
    </row>
    <row r="32" spans="1:4" x14ac:dyDescent="0.25">
      <c r="A32" t="s">
        <v>40</v>
      </c>
      <c r="B32" t="s">
        <v>144</v>
      </c>
      <c r="C32" t="s">
        <v>940</v>
      </c>
      <c r="D32">
        <v>6</v>
      </c>
    </row>
    <row r="33" spans="1:4" x14ac:dyDescent="0.25">
      <c r="A33" t="s">
        <v>40</v>
      </c>
      <c r="B33" t="s">
        <v>894</v>
      </c>
      <c r="C33" t="s">
        <v>1589</v>
      </c>
      <c r="D33">
        <v>9</v>
      </c>
    </row>
    <row r="34" spans="1:4" x14ac:dyDescent="0.25">
      <c r="A34" t="s">
        <v>40</v>
      </c>
      <c r="B34" t="s">
        <v>267</v>
      </c>
      <c r="C34" t="s">
        <v>1590</v>
      </c>
      <c r="D34">
        <v>7</v>
      </c>
    </row>
    <row r="35" spans="1:4" x14ac:dyDescent="0.25">
      <c r="A35" t="s">
        <v>40</v>
      </c>
      <c r="B35" t="s">
        <v>529</v>
      </c>
      <c r="C35" t="s">
        <v>1591</v>
      </c>
      <c r="D35">
        <v>5</v>
      </c>
    </row>
    <row r="36" spans="1:4" x14ac:dyDescent="0.25">
      <c r="A36" t="s">
        <v>40</v>
      </c>
      <c r="B36" t="s">
        <v>1222</v>
      </c>
      <c r="C36" t="s">
        <v>1592</v>
      </c>
      <c r="D36">
        <v>7</v>
      </c>
    </row>
    <row r="37" spans="1:4" x14ac:dyDescent="0.25">
      <c r="A37" t="s">
        <v>40</v>
      </c>
      <c r="B37" t="s">
        <v>483</v>
      </c>
      <c r="C37" t="s">
        <v>1593</v>
      </c>
      <c r="D37">
        <v>5</v>
      </c>
    </row>
    <row r="38" spans="1:4" x14ac:dyDescent="0.25">
      <c r="A38" t="s">
        <v>80</v>
      </c>
      <c r="B38" t="s">
        <v>1055</v>
      </c>
      <c r="C38" t="s">
        <v>1223</v>
      </c>
      <c r="D38">
        <v>3</v>
      </c>
    </row>
    <row r="39" spans="1:4" x14ac:dyDescent="0.25">
      <c r="A39" t="s">
        <v>80</v>
      </c>
      <c r="B39" t="s">
        <v>800</v>
      </c>
      <c r="C39" t="s">
        <v>1594</v>
      </c>
      <c r="D39">
        <v>6</v>
      </c>
    </row>
    <row r="40" spans="1:4" x14ac:dyDescent="0.25">
      <c r="A40" t="s">
        <v>80</v>
      </c>
      <c r="B40" t="s">
        <v>54</v>
      </c>
      <c r="C40" t="s">
        <v>1595</v>
      </c>
      <c r="D40">
        <v>9</v>
      </c>
    </row>
    <row r="41" spans="1:4" x14ac:dyDescent="0.25">
      <c r="A41" t="s">
        <v>80</v>
      </c>
      <c r="B41" t="s">
        <v>15</v>
      </c>
      <c r="C41" t="s">
        <v>1596</v>
      </c>
      <c r="D41">
        <v>10</v>
      </c>
    </row>
    <row r="42" spans="1:4" x14ac:dyDescent="0.25">
      <c r="A42" t="s">
        <v>80</v>
      </c>
      <c r="B42" t="s">
        <v>465</v>
      </c>
      <c r="C42" t="s">
        <v>1597</v>
      </c>
      <c r="D42">
        <v>8</v>
      </c>
    </row>
    <row r="43" spans="1:4" x14ac:dyDescent="0.25">
      <c r="A43" t="s">
        <v>80</v>
      </c>
      <c r="B43" t="s">
        <v>1598</v>
      </c>
      <c r="C43" t="s">
        <v>1599</v>
      </c>
      <c r="D43">
        <v>11</v>
      </c>
    </row>
    <row r="44" spans="1:4" x14ac:dyDescent="0.25">
      <c r="A44" t="s">
        <v>80</v>
      </c>
      <c r="B44" t="s">
        <v>219</v>
      </c>
      <c r="C44" t="s">
        <v>1600</v>
      </c>
      <c r="D44">
        <v>8</v>
      </c>
    </row>
    <row r="45" spans="1:4" x14ac:dyDescent="0.25">
      <c r="A45" t="s">
        <v>80</v>
      </c>
      <c r="B45" t="s">
        <v>941</v>
      </c>
      <c r="C45" t="s">
        <v>1601</v>
      </c>
      <c r="D45">
        <v>10</v>
      </c>
    </row>
    <row r="46" spans="1:4" x14ac:dyDescent="0.25">
      <c r="A46" t="s">
        <v>80</v>
      </c>
      <c r="B46" t="s">
        <v>729</v>
      </c>
      <c r="C46" t="s">
        <v>1155</v>
      </c>
      <c r="D46">
        <v>8</v>
      </c>
    </row>
    <row r="47" spans="1:4" x14ac:dyDescent="0.25">
      <c r="A47" t="s">
        <v>80</v>
      </c>
      <c r="B47" t="s">
        <v>108</v>
      </c>
      <c r="C47" t="s">
        <v>1156</v>
      </c>
      <c r="D47">
        <v>10</v>
      </c>
    </row>
    <row r="48" spans="1:4" x14ac:dyDescent="0.25">
      <c r="A48" t="s">
        <v>80</v>
      </c>
      <c r="B48" t="s">
        <v>1602</v>
      </c>
      <c r="C48" t="s">
        <v>1603</v>
      </c>
      <c r="D48">
        <v>7</v>
      </c>
    </row>
    <row r="49" spans="1:4" x14ac:dyDescent="0.25">
      <c r="A49" t="s">
        <v>80</v>
      </c>
      <c r="B49" t="s">
        <v>1200</v>
      </c>
      <c r="C49" t="s">
        <v>1531</v>
      </c>
      <c r="D49">
        <v>4</v>
      </c>
    </row>
    <row r="50" spans="1:4" x14ac:dyDescent="0.25">
      <c r="A50" t="s">
        <v>80</v>
      </c>
      <c r="B50" t="s">
        <v>196</v>
      </c>
      <c r="C50" t="s">
        <v>1604</v>
      </c>
      <c r="D50">
        <v>7</v>
      </c>
    </row>
    <row r="51" spans="1:4" x14ac:dyDescent="0.25">
      <c r="A51" t="s">
        <v>80</v>
      </c>
      <c r="B51" t="s">
        <v>481</v>
      </c>
      <c r="C51" t="s">
        <v>1605</v>
      </c>
      <c r="D51">
        <v>5</v>
      </c>
    </row>
    <row r="52" spans="1:4" x14ac:dyDescent="0.25">
      <c r="A52" t="s">
        <v>80</v>
      </c>
      <c r="B52" t="s">
        <v>422</v>
      </c>
      <c r="C52" t="s">
        <v>1164</v>
      </c>
      <c r="D52">
        <v>6</v>
      </c>
    </row>
    <row r="53" spans="1:4" x14ac:dyDescent="0.25">
      <c r="A53" t="s">
        <v>80</v>
      </c>
      <c r="B53" t="s">
        <v>422</v>
      </c>
      <c r="C53" t="s">
        <v>1606</v>
      </c>
      <c r="D53">
        <v>7</v>
      </c>
    </row>
    <row r="54" spans="1:4" x14ac:dyDescent="0.25">
      <c r="A54" t="s">
        <v>80</v>
      </c>
      <c r="B54" t="s">
        <v>559</v>
      </c>
      <c r="C54" t="s">
        <v>1607</v>
      </c>
      <c r="D54">
        <v>5</v>
      </c>
    </row>
    <row r="55" spans="1:4" x14ac:dyDescent="0.25">
      <c r="A55" t="s">
        <v>123</v>
      </c>
      <c r="B55" t="s">
        <v>1608</v>
      </c>
      <c r="C55" t="s">
        <v>1609</v>
      </c>
      <c r="D55">
        <v>8</v>
      </c>
    </row>
    <row r="56" spans="1:4" x14ac:dyDescent="0.25">
      <c r="A56" t="s">
        <v>123</v>
      </c>
      <c r="B56" t="s">
        <v>1007</v>
      </c>
      <c r="C56" t="s">
        <v>1610</v>
      </c>
      <c r="D56">
        <v>5</v>
      </c>
    </row>
    <row r="57" spans="1:4" x14ac:dyDescent="0.25">
      <c r="A57" t="s">
        <v>123</v>
      </c>
      <c r="B57" t="s">
        <v>242</v>
      </c>
      <c r="C57" t="s">
        <v>1611</v>
      </c>
      <c r="D57">
        <v>7</v>
      </c>
    </row>
    <row r="58" spans="1:4" x14ac:dyDescent="0.25">
      <c r="A58" t="s">
        <v>123</v>
      </c>
      <c r="B58" t="s">
        <v>823</v>
      </c>
      <c r="C58" t="s">
        <v>1612</v>
      </c>
      <c r="D58">
        <v>9</v>
      </c>
    </row>
    <row r="59" spans="1:4" x14ac:dyDescent="0.25">
      <c r="A59" t="s">
        <v>123</v>
      </c>
      <c r="B59" t="s">
        <v>1613</v>
      </c>
      <c r="C59" t="s">
        <v>1614</v>
      </c>
      <c r="D59">
        <v>7</v>
      </c>
    </row>
    <row r="60" spans="1:4" x14ac:dyDescent="0.25">
      <c r="A60" t="s">
        <v>123</v>
      </c>
      <c r="B60" t="s">
        <v>89</v>
      </c>
      <c r="C60" t="s">
        <v>761</v>
      </c>
      <c r="D60">
        <v>5</v>
      </c>
    </row>
    <row r="61" spans="1:4" x14ac:dyDescent="0.25">
      <c r="A61" t="s">
        <v>123</v>
      </c>
      <c r="B61" t="s">
        <v>834</v>
      </c>
      <c r="C61" t="s">
        <v>649</v>
      </c>
      <c r="D61">
        <v>3</v>
      </c>
    </row>
    <row r="62" spans="1:4" x14ac:dyDescent="0.25">
      <c r="A62" t="s">
        <v>123</v>
      </c>
      <c r="B62" t="s">
        <v>1533</v>
      </c>
      <c r="C62" t="s">
        <v>1615</v>
      </c>
      <c r="D62">
        <v>6</v>
      </c>
    </row>
    <row r="63" spans="1:4" x14ac:dyDescent="0.25">
      <c r="A63" t="s">
        <v>123</v>
      </c>
      <c r="B63" t="s">
        <v>600</v>
      </c>
      <c r="C63" t="s">
        <v>1616</v>
      </c>
      <c r="D63">
        <v>9</v>
      </c>
    </row>
    <row r="64" spans="1:4" x14ac:dyDescent="0.25">
      <c r="A64" t="s">
        <v>123</v>
      </c>
      <c r="B64" t="s">
        <v>577</v>
      </c>
      <c r="C64" t="s">
        <v>1617</v>
      </c>
      <c r="D64">
        <v>11</v>
      </c>
    </row>
    <row r="65" spans="1:4" x14ac:dyDescent="0.25">
      <c r="A65" t="s">
        <v>123</v>
      </c>
      <c r="B65" t="s">
        <v>288</v>
      </c>
      <c r="C65" t="s">
        <v>415</v>
      </c>
      <c r="D65">
        <v>9</v>
      </c>
    </row>
    <row r="66" spans="1:4" x14ac:dyDescent="0.25">
      <c r="A66" t="s">
        <v>123</v>
      </c>
      <c r="B66" t="s">
        <v>990</v>
      </c>
      <c r="C66" t="s">
        <v>1182</v>
      </c>
      <c r="D66">
        <v>7</v>
      </c>
    </row>
    <row r="67" spans="1:4" x14ac:dyDescent="0.25">
      <c r="A67" t="s">
        <v>123</v>
      </c>
      <c r="B67" t="s">
        <v>990</v>
      </c>
      <c r="C67" t="s">
        <v>1618</v>
      </c>
      <c r="D67">
        <v>6</v>
      </c>
    </row>
    <row r="68" spans="1:4" x14ac:dyDescent="0.25">
      <c r="A68" t="s">
        <v>123</v>
      </c>
      <c r="B68" t="s">
        <v>1619</v>
      </c>
      <c r="C68" t="s">
        <v>1620</v>
      </c>
      <c r="D68">
        <v>8</v>
      </c>
    </row>
    <row r="69" spans="1:4" x14ac:dyDescent="0.25">
      <c r="A69" t="s">
        <v>123</v>
      </c>
      <c r="B69" t="s">
        <v>788</v>
      </c>
      <c r="C69" t="s">
        <v>1621</v>
      </c>
      <c r="D69">
        <v>6</v>
      </c>
    </row>
    <row r="70" spans="1:4" x14ac:dyDescent="0.25">
      <c r="A70" t="s">
        <v>123</v>
      </c>
      <c r="B70" t="s">
        <v>1112</v>
      </c>
      <c r="C70" t="s">
        <v>421</v>
      </c>
      <c r="D70">
        <v>8</v>
      </c>
    </row>
    <row r="71" spans="1:4" x14ac:dyDescent="0.25">
      <c r="A71" t="s">
        <v>123</v>
      </c>
      <c r="B71" t="s">
        <v>1622</v>
      </c>
      <c r="C71" t="s">
        <v>1623</v>
      </c>
      <c r="D71">
        <v>6</v>
      </c>
    </row>
    <row r="72" spans="1:4" x14ac:dyDescent="0.25">
      <c r="A72" t="s">
        <v>123</v>
      </c>
      <c r="B72" t="s">
        <v>1622</v>
      </c>
      <c r="C72" t="s">
        <v>773</v>
      </c>
      <c r="D72">
        <v>5</v>
      </c>
    </row>
    <row r="73" spans="1:4" x14ac:dyDescent="0.25">
      <c r="A73" t="s">
        <v>123</v>
      </c>
      <c r="B73" t="s">
        <v>1113</v>
      </c>
      <c r="C73" t="s">
        <v>1624</v>
      </c>
      <c r="D73">
        <v>8</v>
      </c>
    </row>
    <row r="74" spans="1:4" x14ac:dyDescent="0.25">
      <c r="A74" t="s">
        <v>123</v>
      </c>
      <c r="B74" t="s">
        <v>673</v>
      </c>
      <c r="C74" t="s">
        <v>1625</v>
      </c>
      <c r="D74">
        <v>5</v>
      </c>
    </row>
    <row r="75" spans="1:4" x14ac:dyDescent="0.25">
      <c r="A75" t="s">
        <v>123</v>
      </c>
      <c r="B75" t="s">
        <v>556</v>
      </c>
      <c r="C75" t="s">
        <v>684</v>
      </c>
      <c r="D75">
        <v>7</v>
      </c>
    </row>
    <row r="76" spans="1:4" x14ac:dyDescent="0.25">
      <c r="A76" t="s">
        <v>123</v>
      </c>
      <c r="B76" t="s">
        <v>972</v>
      </c>
      <c r="C76" t="s">
        <v>685</v>
      </c>
      <c r="D76">
        <v>9</v>
      </c>
    </row>
    <row r="77" spans="1:4" x14ac:dyDescent="0.25">
      <c r="A77" t="s">
        <v>123</v>
      </c>
      <c r="B77" t="s">
        <v>683</v>
      </c>
      <c r="C77" t="s">
        <v>1626</v>
      </c>
      <c r="D77">
        <v>7</v>
      </c>
    </row>
    <row r="78" spans="1:4" x14ac:dyDescent="0.25">
      <c r="A78" t="s">
        <v>123</v>
      </c>
      <c r="B78" t="s">
        <v>683</v>
      </c>
      <c r="C78" t="s">
        <v>686</v>
      </c>
      <c r="D78">
        <v>6</v>
      </c>
    </row>
    <row r="79" spans="1:4" x14ac:dyDescent="0.25">
      <c r="A79" t="s">
        <v>123</v>
      </c>
      <c r="B79" t="s">
        <v>1627</v>
      </c>
      <c r="C79" t="s">
        <v>1628</v>
      </c>
      <c r="D79">
        <v>3</v>
      </c>
    </row>
    <row r="80" spans="1:4" x14ac:dyDescent="0.25">
      <c r="A80" t="s">
        <v>123</v>
      </c>
      <c r="B80" t="s">
        <v>1627</v>
      </c>
      <c r="C80" t="s">
        <v>1629</v>
      </c>
      <c r="D80">
        <v>2</v>
      </c>
    </row>
    <row r="81" spans="1:4" x14ac:dyDescent="0.25">
      <c r="A81" t="s">
        <v>123</v>
      </c>
      <c r="B81" t="s">
        <v>451</v>
      </c>
      <c r="C81" t="s">
        <v>1630</v>
      </c>
      <c r="D81">
        <v>3</v>
      </c>
    </row>
    <row r="82" spans="1:4" x14ac:dyDescent="0.25">
      <c r="A82" t="s">
        <v>123</v>
      </c>
      <c r="B82" t="s">
        <v>584</v>
      </c>
      <c r="C82" t="s">
        <v>1631</v>
      </c>
      <c r="D82">
        <v>2</v>
      </c>
    </row>
    <row r="83" spans="1:4" x14ac:dyDescent="0.25">
      <c r="A83" t="s">
        <v>123</v>
      </c>
      <c r="B83" t="s">
        <v>584</v>
      </c>
      <c r="C83" t="s">
        <v>1632</v>
      </c>
      <c r="D83">
        <v>1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6.0609756097560972</v>
      </c>
    </row>
    <row r="87" spans="1:4" x14ac:dyDescent="0.25">
      <c r="A87" t="s">
        <v>159</v>
      </c>
      <c r="D87">
        <f>MAX(D2:D83)</f>
        <v>12</v>
      </c>
    </row>
    <row r="88" spans="1:4" x14ac:dyDescent="0.25">
      <c r="A88" t="s">
        <v>160</v>
      </c>
      <c r="D88">
        <f>MIN(D2:D83)</f>
        <v>0</v>
      </c>
    </row>
    <row r="89" spans="1:4" x14ac:dyDescent="0.25">
      <c r="A89" t="s">
        <v>161</v>
      </c>
      <c r="D89">
        <f>COUNTIF(D2:D83,"&gt;0")</f>
        <v>81</v>
      </c>
    </row>
    <row r="90" spans="1:4" x14ac:dyDescent="0.25">
      <c r="A90" t="s">
        <v>162</v>
      </c>
      <c r="D90">
        <f>COUNTIF(D2:D83,"=0")</f>
        <v>1</v>
      </c>
    </row>
    <row r="91" spans="1:4" x14ac:dyDescent="0.25">
      <c r="A91" t="s">
        <v>1633</v>
      </c>
      <c r="D91">
        <f>COUNTIF(D2:D83,"&lt;0")</f>
        <v>0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AVERAGE(D2,D3,D4,D5,D6,D7,D8,D9,D10,D11,D12,D13,D14,D15,D16,D17,D18,D19,D20)</f>
        <v>3.9473684210526314</v>
      </c>
    </row>
    <row r="95" spans="1:4" x14ac:dyDescent="0.25">
      <c r="A95" t="s">
        <v>166</v>
      </c>
      <c r="D95">
        <f>AVERAGE(D21,D22,D23,D24,D25,D26,D27,D28,D29,D30,D31,D32,D33,D34,D35,D36,D37)</f>
        <v>7.0588235294117645</v>
      </c>
    </row>
    <row r="96" spans="1:4" x14ac:dyDescent="0.25">
      <c r="A96" t="s">
        <v>167</v>
      </c>
      <c r="D96">
        <f>AVERAGE(D38,D39,D40,D41,D42,D43,D44,D45,D46,D47,D48,D49,D50,D51,D52,D53,D54)</f>
        <v>7.2941176470588234</v>
      </c>
    </row>
    <row r="97" spans="1:4" x14ac:dyDescent="0.25">
      <c r="A97" t="s">
        <v>168</v>
      </c>
      <c r="D97">
        <f>AVERAGE(D55,D56,D57,D58,D59,D60,D61,D62,D63,D64,D65,D66,D67,D68,D69,D70,D71,D72,D73,D74,D75,D76,D77,D78,D79,D80,D81,D82,D83)</f>
        <v>6.1379310344827589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7</v>
      </c>
      <c r="C2" t="s">
        <v>6</v>
      </c>
      <c r="D2">
        <v>2</v>
      </c>
    </row>
    <row r="3" spans="1:4" x14ac:dyDescent="0.25">
      <c r="A3" t="s">
        <v>4</v>
      </c>
      <c r="B3" t="s">
        <v>691</v>
      </c>
      <c r="C3" t="s">
        <v>1572</v>
      </c>
      <c r="D3">
        <v>5</v>
      </c>
    </row>
    <row r="4" spans="1:4" x14ac:dyDescent="0.25">
      <c r="A4" t="s">
        <v>4</v>
      </c>
      <c r="B4" t="s">
        <v>51</v>
      </c>
      <c r="C4" t="s">
        <v>429</v>
      </c>
      <c r="D4">
        <v>2</v>
      </c>
    </row>
    <row r="5" spans="1:4" x14ac:dyDescent="0.25">
      <c r="A5" t="s">
        <v>4</v>
      </c>
      <c r="B5" t="s">
        <v>132</v>
      </c>
      <c r="C5" t="s">
        <v>1107</v>
      </c>
      <c r="D5">
        <v>-1</v>
      </c>
    </row>
    <row r="6" spans="1:4" x14ac:dyDescent="0.25">
      <c r="A6" t="s">
        <v>4</v>
      </c>
      <c r="B6" t="s">
        <v>333</v>
      </c>
      <c r="C6" t="s">
        <v>1109</v>
      </c>
      <c r="D6">
        <v>-3</v>
      </c>
    </row>
    <row r="7" spans="1:4" x14ac:dyDescent="0.25">
      <c r="A7" t="s">
        <v>4</v>
      </c>
      <c r="B7" t="s">
        <v>97</v>
      </c>
      <c r="C7" t="s">
        <v>1635</v>
      </c>
      <c r="D7">
        <v>-5</v>
      </c>
    </row>
    <row r="8" spans="1:4" x14ac:dyDescent="0.25">
      <c r="A8" t="s">
        <v>4</v>
      </c>
      <c r="B8" t="s">
        <v>887</v>
      </c>
      <c r="C8" t="s">
        <v>1636</v>
      </c>
      <c r="D8">
        <v>-4</v>
      </c>
    </row>
    <row r="9" spans="1:4" x14ac:dyDescent="0.25">
      <c r="A9" t="s">
        <v>4</v>
      </c>
      <c r="B9" t="s">
        <v>887</v>
      </c>
      <c r="C9" t="s">
        <v>436</v>
      </c>
      <c r="D9">
        <v>-3</v>
      </c>
    </row>
    <row r="10" spans="1:4" x14ac:dyDescent="0.25">
      <c r="A10" t="s">
        <v>4</v>
      </c>
      <c r="B10" t="s">
        <v>378</v>
      </c>
      <c r="C10" t="s">
        <v>1637</v>
      </c>
      <c r="D10">
        <v>-6</v>
      </c>
    </row>
    <row r="11" spans="1:4" x14ac:dyDescent="0.25">
      <c r="A11" t="s">
        <v>4</v>
      </c>
      <c r="B11" t="s">
        <v>1638</v>
      </c>
      <c r="C11" t="s">
        <v>1639</v>
      </c>
      <c r="D11">
        <v>-8</v>
      </c>
    </row>
    <row r="12" spans="1:4" x14ac:dyDescent="0.25">
      <c r="A12" t="s">
        <v>4</v>
      </c>
      <c r="B12" t="s">
        <v>1640</v>
      </c>
      <c r="C12" t="s">
        <v>1641</v>
      </c>
      <c r="D12">
        <v>-9</v>
      </c>
    </row>
    <row r="13" spans="1:4" x14ac:dyDescent="0.25">
      <c r="A13" t="s">
        <v>4</v>
      </c>
      <c r="B13" t="s">
        <v>1640</v>
      </c>
      <c r="C13" t="s">
        <v>1642</v>
      </c>
      <c r="D13">
        <v>-10</v>
      </c>
    </row>
    <row r="14" spans="1:4" x14ac:dyDescent="0.25">
      <c r="A14" t="s">
        <v>4</v>
      </c>
      <c r="B14" t="s">
        <v>529</v>
      </c>
      <c r="C14" t="s">
        <v>1643</v>
      </c>
      <c r="D14">
        <v>-9</v>
      </c>
    </row>
    <row r="15" spans="1:4" x14ac:dyDescent="0.25">
      <c r="A15" t="s">
        <v>4</v>
      </c>
      <c r="B15" t="s">
        <v>320</v>
      </c>
      <c r="C15" t="s">
        <v>1644</v>
      </c>
      <c r="D15">
        <v>-11</v>
      </c>
    </row>
    <row r="16" spans="1:4" x14ac:dyDescent="0.25">
      <c r="A16" t="s">
        <v>4</v>
      </c>
      <c r="B16" t="s">
        <v>675</v>
      </c>
      <c r="C16" t="s">
        <v>1645</v>
      </c>
      <c r="D16">
        <v>-9</v>
      </c>
    </row>
    <row r="17" spans="1:4" x14ac:dyDescent="0.25">
      <c r="A17" t="s">
        <v>4</v>
      </c>
      <c r="B17" t="s">
        <v>1646</v>
      </c>
      <c r="C17" t="s">
        <v>1647</v>
      </c>
      <c r="D17">
        <v>-11</v>
      </c>
    </row>
    <row r="18" spans="1:4" x14ac:dyDescent="0.25">
      <c r="A18" t="s">
        <v>40</v>
      </c>
      <c r="B18" t="s">
        <v>1648</v>
      </c>
      <c r="C18" t="s">
        <v>1649</v>
      </c>
      <c r="D18">
        <v>-13</v>
      </c>
    </row>
    <row r="19" spans="1:4" x14ac:dyDescent="0.25">
      <c r="A19" t="s">
        <v>40</v>
      </c>
      <c r="B19" t="s">
        <v>933</v>
      </c>
      <c r="C19" t="s">
        <v>1650</v>
      </c>
      <c r="D19">
        <v>-11</v>
      </c>
    </row>
    <row r="20" spans="1:4" x14ac:dyDescent="0.25">
      <c r="A20" t="s">
        <v>40</v>
      </c>
      <c r="B20" t="s">
        <v>244</v>
      </c>
      <c r="C20" t="s">
        <v>1651</v>
      </c>
      <c r="D20">
        <v>-13</v>
      </c>
    </row>
    <row r="21" spans="1:4" x14ac:dyDescent="0.25">
      <c r="A21" t="s">
        <v>40</v>
      </c>
      <c r="B21" t="s">
        <v>616</v>
      </c>
      <c r="C21" t="s">
        <v>1652</v>
      </c>
      <c r="D21">
        <v>-11</v>
      </c>
    </row>
    <row r="22" spans="1:4" x14ac:dyDescent="0.25">
      <c r="A22" t="s">
        <v>40</v>
      </c>
      <c r="B22" t="s">
        <v>616</v>
      </c>
      <c r="C22" t="s">
        <v>1653</v>
      </c>
      <c r="D22">
        <v>-10</v>
      </c>
    </row>
    <row r="23" spans="1:4" x14ac:dyDescent="0.25">
      <c r="A23" t="s">
        <v>40</v>
      </c>
      <c r="B23" t="s">
        <v>494</v>
      </c>
      <c r="C23" t="s">
        <v>1654</v>
      </c>
      <c r="D23">
        <v>-8</v>
      </c>
    </row>
    <row r="24" spans="1:4" x14ac:dyDescent="0.25">
      <c r="A24" t="s">
        <v>40</v>
      </c>
      <c r="B24" t="s">
        <v>1065</v>
      </c>
      <c r="C24" t="s">
        <v>1655</v>
      </c>
      <c r="D24">
        <v>-11</v>
      </c>
    </row>
    <row r="25" spans="1:4" x14ac:dyDescent="0.25">
      <c r="A25" t="s">
        <v>40</v>
      </c>
      <c r="B25" t="s">
        <v>651</v>
      </c>
      <c r="C25" t="s">
        <v>1656</v>
      </c>
      <c r="D25">
        <v>-9</v>
      </c>
    </row>
    <row r="26" spans="1:4" x14ac:dyDescent="0.25">
      <c r="A26" t="s">
        <v>40</v>
      </c>
      <c r="B26" t="s">
        <v>186</v>
      </c>
      <c r="C26" t="s">
        <v>1657</v>
      </c>
      <c r="D26">
        <v>-11</v>
      </c>
    </row>
    <row r="27" spans="1:4" x14ac:dyDescent="0.25">
      <c r="A27" t="s">
        <v>40</v>
      </c>
      <c r="B27" t="s">
        <v>600</v>
      </c>
      <c r="C27" t="s">
        <v>1658</v>
      </c>
      <c r="D27">
        <v>-9</v>
      </c>
    </row>
    <row r="28" spans="1:4" x14ac:dyDescent="0.25">
      <c r="A28" t="s">
        <v>40</v>
      </c>
      <c r="B28" t="s">
        <v>469</v>
      </c>
      <c r="C28" t="s">
        <v>1659</v>
      </c>
      <c r="D28">
        <v>-11</v>
      </c>
    </row>
    <row r="29" spans="1:4" x14ac:dyDescent="0.25">
      <c r="A29" t="s">
        <v>40</v>
      </c>
      <c r="B29" t="s">
        <v>1217</v>
      </c>
      <c r="C29" t="s">
        <v>1660</v>
      </c>
      <c r="D29">
        <v>-10</v>
      </c>
    </row>
    <row r="30" spans="1:4" x14ac:dyDescent="0.25">
      <c r="A30" t="s">
        <v>40</v>
      </c>
      <c r="B30" t="s">
        <v>116</v>
      </c>
      <c r="C30" t="s">
        <v>1661</v>
      </c>
      <c r="D30">
        <v>-8</v>
      </c>
    </row>
    <row r="31" spans="1:4" x14ac:dyDescent="0.25">
      <c r="A31" t="s">
        <v>40</v>
      </c>
      <c r="B31" t="s">
        <v>1484</v>
      </c>
      <c r="C31" t="s">
        <v>1662</v>
      </c>
      <c r="D31">
        <v>-6</v>
      </c>
    </row>
    <row r="32" spans="1:4" x14ac:dyDescent="0.25">
      <c r="A32" t="s">
        <v>40</v>
      </c>
      <c r="B32" t="s">
        <v>880</v>
      </c>
      <c r="C32" t="s">
        <v>1663</v>
      </c>
      <c r="D32">
        <v>-3</v>
      </c>
    </row>
    <row r="33" spans="1:4" x14ac:dyDescent="0.25">
      <c r="A33" t="s">
        <v>40</v>
      </c>
      <c r="B33" t="s">
        <v>1568</v>
      </c>
      <c r="C33" t="s">
        <v>65</v>
      </c>
      <c r="D33">
        <v>-2</v>
      </c>
    </row>
    <row r="34" spans="1:4" x14ac:dyDescent="0.25">
      <c r="A34" t="s">
        <v>80</v>
      </c>
      <c r="B34" t="s">
        <v>1664</v>
      </c>
      <c r="C34" t="s">
        <v>466</v>
      </c>
      <c r="D34">
        <v>0</v>
      </c>
    </row>
    <row r="35" spans="1:4" x14ac:dyDescent="0.25">
      <c r="A35" t="s">
        <v>80</v>
      </c>
      <c r="B35" t="s">
        <v>1665</v>
      </c>
      <c r="C35" t="s">
        <v>1133</v>
      </c>
      <c r="D35">
        <v>1</v>
      </c>
    </row>
    <row r="36" spans="1:4" x14ac:dyDescent="0.25">
      <c r="A36" t="s">
        <v>80</v>
      </c>
      <c r="B36" t="s">
        <v>1665</v>
      </c>
      <c r="C36" t="s">
        <v>468</v>
      </c>
      <c r="D36">
        <v>2</v>
      </c>
    </row>
    <row r="37" spans="1:4" x14ac:dyDescent="0.25">
      <c r="A37" t="s">
        <v>80</v>
      </c>
      <c r="B37" t="s">
        <v>1666</v>
      </c>
      <c r="C37" t="s">
        <v>470</v>
      </c>
      <c r="D37">
        <v>0</v>
      </c>
    </row>
    <row r="38" spans="1:4" x14ac:dyDescent="0.25">
      <c r="A38" t="s">
        <v>80</v>
      </c>
      <c r="B38" t="s">
        <v>1119</v>
      </c>
      <c r="C38" t="s">
        <v>230</v>
      </c>
      <c r="D38">
        <v>2</v>
      </c>
    </row>
    <row r="39" spans="1:4" x14ac:dyDescent="0.25">
      <c r="A39" t="s">
        <v>80</v>
      </c>
      <c r="B39" t="s">
        <v>213</v>
      </c>
      <c r="C39" t="s">
        <v>1667</v>
      </c>
      <c r="D39">
        <v>3</v>
      </c>
    </row>
    <row r="40" spans="1:4" x14ac:dyDescent="0.25">
      <c r="A40" t="s">
        <v>80</v>
      </c>
      <c r="B40" t="s">
        <v>213</v>
      </c>
      <c r="C40" t="s">
        <v>1668</v>
      </c>
      <c r="D40">
        <v>4</v>
      </c>
    </row>
    <row r="41" spans="1:4" x14ac:dyDescent="0.25">
      <c r="A41" t="s">
        <v>80</v>
      </c>
      <c r="B41" t="s">
        <v>221</v>
      </c>
      <c r="C41" t="s">
        <v>1669</v>
      </c>
      <c r="D41">
        <v>6</v>
      </c>
    </row>
    <row r="42" spans="1:4" x14ac:dyDescent="0.25">
      <c r="A42" t="s">
        <v>80</v>
      </c>
      <c r="B42" t="s">
        <v>1092</v>
      </c>
      <c r="C42" t="s">
        <v>1670</v>
      </c>
      <c r="D42">
        <v>7</v>
      </c>
    </row>
    <row r="43" spans="1:4" x14ac:dyDescent="0.25">
      <c r="A43" t="s">
        <v>80</v>
      </c>
      <c r="B43" t="s">
        <v>1092</v>
      </c>
      <c r="C43" t="s">
        <v>1139</v>
      </c>
      <c r="D43">
        <v>8</v>
      </c>
    </row>
    <row r="44" spans="1:4" x14ac:dyDescent="0.25">
      <c r="A44" t="s">
        <v>80</v>
      </c>
      <c r="B44" t="s">
        <v>984</v>
      </c>
      <c r="C44" t="s">
        <v>1671</v>
      </c>
      <c r="D44">
        <v>6</v>
      </c>
    </row>
    <row r="45" spans="1:4" x14ac:dyDescent="0.25">
      <c r="A45" t="s">
        <v>80</v>
      </c>
      <c r="B45" t="s">
        <v>1045</v>
      </c>
      <c r="C45" t="s">
        <v>1672</v>
      </c>
      <c r="D45">
        <v>7</v>
      </c>
    </row>
    <row r="46" spans="1:4" x14ac:dyDescent="0.25">
      <c r="A46" t="s">
        <v>80</v>
      </c>
      <c r="B46" t="s">
        <v>1045</v>
      </c>
      <c r="C46" t="s">
        <v>1142</v>
      </c>
      <c r="D46">
        <v>8</v>
      </c>
    </row>
    <row r="47" spans="1:4" x14ac:dyDescent="0.25">
      <c r="A47" t="s">
        <v>80</v>
      </c>
      <c r="B47" t="s">
        <v>477</v>
      </c>
      <c r="C47" t="s">
        <v>1673</v>
      </c>
      <c r="D47">
        <v>7</v>
      </c>
    </row>
    <row r="48" spans="1:4" x14ac:dyDescent="0.25">
      <c r="A48" t="s">
        <v>80</v>
      </c>
      <c r="B48" t="s">
        <v>477</v>
      </c>
      <c r="C48" t="s">
        <v>1144</v>
      </c>
      <c r="D48">
        <v>6</v>
      </c>
    </row>
    <row r="49" spans="1:4" x14ac:dyDescent="0.25">
      <c r="A49" t="s">
        <v>80</v>
      </c>
      <c r="B49" t="s">
        <v>1339</v>
      </c>
      <c r="C49" t="s">
        <v>1674</v>
      </c>
      <c r="D49">
        <v>8</v>
      </c>
    </row>
    <row r="50" spans="1:4" x14ac:dyDescent="0.25">
      <c r="A50" t="s">
        <v>80</v>
      </c>
      <c r="B50" t="s">
        <v>1675</v>
      </c>
      <c r="C50" t="s">
        <v>1676</v>
      </c>
      <c r="D50">
        <v>10</v>
      </c>
    </row>
    <row r="51" spans="1:4" x14ac:dyDescent="0.25">
      <c r="A51" t="s">
        <v>80</v>
      </c>
      <c r="B51" t="s">
        <v>1180</v>
      </c>
      <c r="C51" t="s">
        <v>1677</v>
      </c>
      <c r="D51">
        <v>13</v>
      </c>
    </row>
    <row r="52" spans="1:4" x14ac:dyDescent="0.25">
      <c r="A52" t="s">
        <v>80</v>
      </c>
      <c r="B52" t="s">
        <v>1261</v>
      </c>
      <c r="C52" t="s">
        <v>1678</v>
      </c>
      <c r="D52">
        <v>10</v>
      </c>
    </row>
    <row r="53" spans="1:4" x14ac:dyDescent="0.25">
      <c r="A53" t="s">
        <v>123</v>
      </c>
      <c r="B53" t="s">
        <v>453</v>
      </c>
      <c r="C53" t="s">
        <v>1679</v>
      </c>
      <c r="D53">
        <v>12</v>
      </c>
    </row>
    <row r="54" spans="1:4" x14ac:dyDescent="0.25">
      <c r="A54" t="s">
        <v>123</v>
      </c>
      <c r="B54" t="s">
        <v>1680</v>
      </c>
      <c r="C54" t="s">
        <v>1681</v>
      </c>
      <c r="D54">
        <v>14</v>
      </c>
    </row>
    <row r="55" spans="1:4" x14ac:dyDescent="0.25">
      <c r="A55" t="s">
        <v>123</v>
      </c>
      <c r="B55" t="s">
        <v>757</v>
      </c>
      <c r="C55" t="s">
        <v>1682</v>
      </c>
      <c r="D55">
        <v>12</v>
      </c>
    </row>
    <row r="56" spans="1:4" x14ac:dyDescent="0.25">
      <c r="A56" t="s">
        <v>123</v>
      </c>
      <c r="B56" t="s">
        <v>208</v>
      </c>
      <c r="C56" t="s">
        <v>492</v>
      </c>
      <c r="D56">
        <v>9</v>
      </c>
    </row>
    <row r="57" spans="1:4" x14ac:dyDescent="0.25">
      <c r="A57" t="s">
        <v>123</v>
      </c>
      <c r="B57" t="s">
        <v>211</v>
      </c>
      <c r="C57" t="s">
        <v>1462</v>
      </c>
      <c r="D57">
        <v>11</v>
      </c>
    </row>
    <row r="58" spans="1:4" x14ac:dyDescent="0.25">
      <c r="A58" t="s">
        <v>123</v>
      </c>
      <c r="B58" t="s">
        <v>1683</v>
      </c>
      <c r="C58" t="s">
        <v>1684</v>
      </c>
      <c r="D58">
        <v>13</v>
      </c>
    </row>
    <row r="59" spans="1:4" x14ac:dyDescent="0.25">
      <c r="A59" t="s">
        <v>123</v>
      </c>
      <c r="B59" t="s">
        <v>465</v>
      </c>
      <c r="C59" t="s">
        <v>1685</v>
      </c>
      <c r="D59">
        <v>15</v>
      </c>
    </row>
    <row r="60" spans="1:4" x14ac:dyDescent="0.25">
      <c r="A60" t="s">
        <v>123</v>
      </c>
      <c r="B60" t="s">
        <v>805</v>
      </c>
      <c r="C60" t="s">
        <v>1686</v>
      </c>
      <c r="D60">
        <v>13</v>
      </c>
    </row>
    <row r="61" spans="1:4" x14ac:dyDescent="0.25">
      <c r="A61" t="s">
        <v>123</v>
      </c>
      <c r="B61" t="s">
        <v>190</v>
      </c>
      <c r="C61" t="s">
        <v>1687</v>
      </c>
      <c r="D61">
        <v>10</v>
      </c>
    </row>
    <row r="62" spans="1:4" x14ac:dyDescent="0.25">
      <c r="A62" t="s">
        <v>123</v>
      </c>
      <c r="B62" t="s">
        <v>469</v>
      </c>
      <c r="C62" t="s">
        <v>1688</v>
      </c>
      <c r="D62">
        <v>8</v>
      </c>
    </row>
    <row r="63" spans="1:4" x14ac:dyDescent="0.25">
      <c r="A63" t="s">
        <v>123</v>
      </c>
      <c r="B63" t="s">
        <v>233</v>
      </c>
      <c r="C63" t="s">
        <v>501</v>
      </c>
      <c r="D63">
        <v>6</v>
      </c>
    </row>
    <row r="64" spans="1:4" x14ac:dyDescent="0.25">
      <c r="A64" t="s">
        <v>123</v>
      </c>
      <c r="B64" t="s">
        <v>1261</v>
      </c>
      <c r="C64" t="s">
        <v>1607</v>
      </c>
      <c r="D64">
        <v>5</v>
      </c>
    </row>
    <row r="65" spans="1:4" x14ac:dyDescent="0.25">
      <c r="A65" t="s">
        <v>123</v>
      </c>
      <c r="B65" t="s">
        <v>1002</v>
      </c>
      <c r="C65" t="s">
        <v>637</v>
      </c>
      <c r="D65">
        <v>6</v>
      </c>
    </row>
    <row r="66" spans="1:4" x14ac:dyDescent="0.25">
      <c r="A66" t="s">
        <v>123</v>
      </c>
      <c r="B66" t="s">
        <v>396</v>
      </c>
      <c r="C66" t="s">
        <v>638</v>
      </c>
      <c r="D66">
        <v>4</v>
      </c>
    </row>
    <row r="67" spans="1:4" x14ac:dyDescent="0.25">
      <c r="A67" t="s">
        <v>123</v>
      </c>
      <c r="B67" t="s">
        <v>559</v>
      </c>
      <c r="C67" t="s">
        <v>395</v>
      </c>
      <c r="D67">
        <v>5</v>
      </c>
    </row>
    <row r="69" spans="1:4" x14ac:dyDescent="0.25">
      <c r="A69" s="2" t="s">
        <v>157</v>
      </c>
    </row>
    <row r="70" spans="1:4" x14ac:dyDescent="0.25">
      <c r="A70" t="s">
        <v>158</v>
      </c>
      <c r="D70">
        <f>AVERAGE(D2:D67)</f>
        <v>0.37878787878787878</v>
      </c>
    </row>
    <row r="71" spans="1:4" x14ac:dyDescent="0.25">
      <c r="A71" t="s">
        <v>159</v>
      </c>
      <c r="D71">
        <f>MAX(D2:D67)</f>
        <v>15</v>
      </c>
    </row>
    <row r="72" spans="1:4" x14ac:dyDescent="0.25">
      <c r="A72" t="s">
        <v>160</v>
      </c>
      <c r="D72">
        <f>MIN(D2:D67)</f>
        <v>-13</v>
      </c>
    </row>
    <row r="73" spans="1:4" x14ac:dyDescent="0.25">
      <c r="A73" t="s">
        <v>161</v>
      </c>
      <c r="D73">
        <f>COUNTIF(D2:D67,"&gt;0")</f>
        <v>35</v>
      </c>
    </row>
    <row r="74" spans="1:4" x14ac:dyDescent="0.25">
      <c r="A74" t="s">
        <v>162</v>
      </c>
      <c r="D74">
        <f>COUNTIF(D2:D67,"=0")</f>
        <v>2</v>
      </c>
    </row>
    <row r="75" spans="1:4" x14ac:dyDescent="0.25">
      <c r="A75" t="s">
        <v>1689</v>
      </c>
      <c r="D75">
        <f>COUNTIF(D2:D67,"&lt;0")</f>
        <v>29</v>
      </c>
    </row>
    <row r="77" spans="1:4" x14ac:dyDescent="0.25">
      <c r="A77" s="2" t="s">
        <v>164</v>
      </c>
    </row>
    <row r="78" spans="1:4" x14ac:dyDescent="0.25">
      <c r="A78" t="s">
        <v>165</v>
      </c>
      <c r="D78">
        <f>AVERAGE(D2,D3,D4,D5,D6,D7,D8,D9,D10,D11,D12,D13,D14,D15,D16,D17)</f>
        <v>-5</v>
      </c>
    </row>
    <row r="79" spans="1:4" x14ac:dyDescent="0.25">
      <c r="A79" t="s">
        <v>166</v>
      </c>
      <c r="D79">
        <f>AVERAGE(D18,D19,D20,D21,D22,D23,D24,D25,D26,D27,D28,D29,D30,D31,D32,D33)</f>
        <v>-9.125</v>
      </c>
    </row>
    <row r="80" spans="1:4" x14ac:dyDescent="0.25">
      <c r="A80" t="s">
        <v>167</v>
      </c>
      <c r="D80">
        <f>AVERAGE(D34,D35,D36,D37,D38,D39,D40,D41,D42,D43,D44,D45,D46,D47,D48,D49,D50,D51,D52)</f>
        <v>5.6842105263157894</v>
      </c>
    </row>
    <row r="81" spans="1:4" x14ac:dyDescent="0.25">
      <c r="A81" t="s">
        <v>168</v>
      </c>
      <c r="D81">
        <f>AVERAGE(D53,D54,D55,D56,D57,D58,D59,D60,D61,D62,D63,D64,D65,D66,D67)</f>
        <v>9.5333333333333332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857</v>
      </c>
      <c r="C2" t="s">
        <v>1008</v>
      </c>
      <c r="D2">
        <v>-3</v>
      </c>
    </row>
    <row r="3" spans="1:4" x14ac:dyDescent="0.25">
      <c r="A3" t="s">
        <v>4</v>
      </c>
      <c r="B3" t="s">
        <v>1691</v>
      </c>
      <c r="C3" t="s">
        <v>1692</v>
      </c>
      <c r="D3">
        <v>-4</v>
      </c>
    </row>
    <row r="4" spans="1:4" x14ac:dyDescent="0.25">
      <c r="A4" t="s">
        <v>4</v>
      </c>
      <c r="B4" t="s">
        <v>691</v>
      </c>
      <c r="C4" t="s">
        <v>10</v>
      </c>
      <c r="D4">
        <v>-2</v>
      </c>
    </row>
    <row r="5" spans="1:4" x14ac:dyDescent="0.25">
      <c r="A5" t="s">
        <v>4</v>
      </c>
      <c r="B5" t="s">
        <v>914</v>
      </c>
      <c r="C5" t="s">
        <v>12</v>
      </c>
      <c r="D5">
        <v>0</v>
      </c>
    </row>
    <row r="6" spans="1:4" x14ac:dyDescent="0.25">
      <c r="A6" t="s">
        <v>4</v>
      </c>
      <c r="B6" t="s">
        <v>1693</v>
      </c>
      <c r="C6" t="s">
        <v>310</v>
      </c>
      <c r="D6">
        <v>-2</v>
      </c>
    </row>
    <row r="7" spans="1:4" x14ac:dyDescent="0.25">
      <c r="A7" t="s">
        <v>4</v>
      </c>
      <c r="B7" t="s">
        <v>651</v>
      </c>
      <c r="C7" t="s">
        <v>14</v>
      </c>
      <c r="D7">
        <v>-3</v>
      </c>
    </row>
    <row r="8" spans="1:4" x14ac:dyDescent="0.25">
      <c r="A8" t="s">
        <v>4</v>
      </c>
      <c r="B8" t="s">
        <v>651</v>
      </c>
      <c r="C8" t="s">
        <v>1694</v>
      </c>
      <c r="D8">
        <v>-4</v>
      </c>
    </row>
    <row r="9" spans="1:4" x14ac:dyDescent="0.25">
      <c r="A9" t="s">
        <v>4</v>
      </c>
      <c r="B9" t="s">
        <v>1434</v>
      </c>
      <c r="C9" t="s">
        <v>18</v>
      </c>
      <c r="D9">
        <v>-2</v>
      </c>
    </row>
    <row r="10" spans="1:4" x14ac:dyDescent="0.25">
      <c r="A10" t="s">
        <v>4</v>
      </c>
      <c r="B10" t="s">
        <v>1695</v>
      </c>
      <c r="C10" t="s">
        <v>1696</v>
      </c>
      <c r="D10">
        <v>-5</v>
      </c>
    </row>
    <row r="11" spans="1:4" x14ac:dyDescent="0.25">
      <c r="A11" t="s">
        <v>4</v>
      </c>
      <c r="B11" t="s">
        <v>663</v>
      </c>
      <c r="C11" t="s">
        <v>1697</v>
      </c>
      <c r="D11">
        <v>-6</v>
      </c>
    </row>
    <row r="12" spans="1:4" x14ac:dyDescent="0.25">
      <c r="A12" t="s">
        <v>4</v>
      </c>
      <c r="B12" t="s">
        <v>1698</v>
      </c>
      <c r="C12" t="s">
        <v>1499</v>
      </c>
      <c r="D12">
        <v>-5</v>
      </c>
    </row>
    <row r="13" spans="1:4" x14ac:dyDescent="0.25">
      <c r="A13" t="s">
        <v>4</v>
      </c>
      <c r="B13" t="s">
        <v>1698</v>
      </c>
      <c r="C13" t="s">
        <v>1699</v>
      </c>
      <c r="D13">
        <v>-4</v>
      </c>
    </row>
    <row r="14" spans="1:4" x14ac:dyDescent="0.25">
      <c r="A14" t="s">
        <v>4</v>
      </c>
      <c r="B14" t="s">
        <v>1700</v>
      </c>
      <c r="C14" t="s">
        <v>1500</v>
      </c>
      <c r="D14">
        <v>-2</v>
      </c>
    </row>
    <row r="15" spans="1:4" x14ac:dyDescent="0.25">
      <c r="A15" t="s">
        <v>4</v>
      </c>
      <c r="B15" t="s">
        <v>896</v>
      </c>
      <c r="C15" t="s">
        <v>1701</v>
      </c>
      <c r="D15">
        <v>-5</v>
      </c>
    </row>
    <row r="16" spans="1:4" x14ac:dyDescent="0.25">
      <c r="A16" t="s">
        <v>4</v>
      </c>
      <c r="B16" t="s">
        <v>202</v>
      </c>
      <c r="C16" t="s">
        <v>1702</v>
      </c>
      <c r="D16">
        <v>-8</v>
      </c>
    </row>
    <row r="17" spans="1:4" x14ac:dyDescent="0.25">
      <c r="A17" t="s">
        <v>4</v>
      </c>
      <c r="B17" t="s">
        <v>1162</v>
      </c>
      <c r="C17" t="s">
        <v>1645</v>
      </c>
      <c r="D17">
        <v>-9</v>
      </c>
    </row>
    <row r="18" spans="1:4" x14ac:dyDescent="0.25">
      <c r="A18" t="s">
        <v>4</v>
      </c>
      <c r="B18" t="s">
        <v>78</v>
      </c>
      <c r="C18" t="s">
        <v>1703</v>
      </c>
      <c r="D18">
        <v>-7</v>
      </c>
    </row>
    <row r="19" spans="1:4" x14ac:dyDescent="0.25">
      <c r="A19" t="s">
        <v>40</v>
      </c>
      <c r="B19" t="s">
        <v>1704</v>
      </c>
      <c r="C19" t="s">
        <v>1705</v>
      </c>
      <c r="D19">
        <v>-6</v>
      </c>
    </row>
    <row r="20" spans="1:4" x14ac:dyDescent="0.25">
      <c r="A20" t="s">
        <v>40</v>
      </c>
      <c r="B20" t="s">
        <v>1704</v>
      </c>
      <c r="C20" t="s">
        <v>1706</v>
      </c>
      <c r="D20">
        <v>-5</v>
      </c>
    </row>
    <row r="21" spans="1:4" x14ac:dyDescent="0.25">
      <c r="A21" t="s">
        <v>40</v>
      </c>
      <c r="B21" t="s">
        <v>45</v>
      </c>
      <c r="C21" t="s">
        <v>1707</v>
      </c>
      <c r="D21">
        <v>-8</v>
      </c>
    </row>
    <row r="22" spans="1:4" x14ac:dyDescent="0.25">
      <c r="A22" t="s">
        <v>40</v>
      </c>
      <c r="B22" t="s">
        <v>693</v>
      </c>
      <c r="C22" t="s">
        <v>1708</v>
      </c>
      <c r="D22">
        <v>-6</v>
      </c>
    </row>
    <row r="23" spans="1:4" x14ac:dyDescent="0.25">
      <c r="A23" t="s">
        <v>40</v>
      </c>
      <c r="B23" t="s">
        <v>865</v>
      </c>
      <c r="C23" t="s">
        <v>1709</v>
      </c>
      <c r="D23">
        <v>-9</v>
      </c>
    </row>
    <row r="24" spans="1:4" x14ac:dyDescent="0.25">
      <c r="A24" t="s">
        <v>40</v>
      </c>
      <c r="B24" t="s">
        <v>1417</v>
      </c>
      <c r="C24" t="s">
        <v>1710</v>
      </c>
      <c r="D24">
        <v>-6</v>
      </c>
    </row>
    <row r="25" spans="1:4" x14ac:dyDescent="0.25">
      <c r="A25" t="s">
        <v>40</v>
      </c>
      <c r="B25" t="s">
        <v>138</v>
      </c>
      <c r="C25" t="s">
        <v>1711</v>
      </c>
      <c r="D25">
        <v>-8</v>
      </c>
    </row>
    <row r="26" spans="1:4" x14ac:dyDescent="0.25">
      <c r="A26" t="s">
        <v>40</v>
      </c>
      <c r="B26" t="s">
        <v>263</v>
      </c>
      <c r="C26" t="s">
        <v>798</v>
      </c>
      <c r="D26">
        <v>-7</v>
      </c>
    </row>
    <row r="27" spans="1:4" x14ac:dyDescent="0.25">
      <c r="A27" t="s">
        <v>40</v>
      </c>
      <c r="B27" t="s">
        <v>1016</v>
      </c>
      <c r="C27" t="s">
        <v>1712</v>
      </c>
      <c r="D27">
        <v>-6</v>
      </c>
    </row>
    <row r="28" spans="1:4" x14ac:dyDescent="0.25">
      <c r="A28" t="s">
        <v>40</v>
      </c>
      <c r="B28" t="s">
        <v>1016</v>
      </c>
      <c r="C28" t="s">
        <v>1713</v>
      </c>
      <c r="D28">
        <v>-5</v>
      </c>
    </row>
    <row r="29" spans="1:4" x14ac:dyDescent="0.25">
      <c r="A29" t="s">
        <v>40</v>
      </c>
      <c r="B29" t="s">
        <v>706</v>
      </c>
      <c r="C29" t="s">
        <v>799</v>
      </c>
      <c r="D29">
        <v>-4</v>
      </c>
    </row>
    <row r="30" spans="1:4" x14ac:dyDescent="0.25">
      <c r="A30" t="s">
        <v>40</v>
      </c>
      <c r="B30" t="s">
        <v>894</v>
      </c>
      <c r="C30" t="s">
        <v>1714</v>
      </c>
      <c r="D30">
        <v>-1</v>
      </c>
    </row>
    <row r="31" spans="1:4" x14ac:dyDescent="0.25">
      <c r="A31" t="s">
        <v>40</v>
      </c>
      <c r="B31" t="s">
        <v>1619</v>
      </c>
      <c r="C31" t="s">
        <v>1715</v>
      </c>
      <c r="D31">
        <v>-3</v>
      </c>
    </row>
    <row r="32" spans="1:4" x14ac:dyDescent="0.25">
      <c r="A32" t="s">
        <v>40</v>
      </c>
      <c r="B32" t="s">
        <v>1132</v>
      </c>
      <c r="C32" t="s">
        <v>1512</v>
      </c>
      <c r="D32">
        <v>-2</v>
      </c>
    </row>
    <row r="33" spans="1:4" x14ac:dyDescent="0.25">
      <c r="A33" t="s">
        <v>40</v>
      </c>
      <c r="B33" t="s">
        <v>1132</v>
      </c>
      <c r="C33" t="s">
        <v>59</v>
      </c>
      <c r="D33">
        <v>-1</v>
      </c>
    </row>
    <row r="34" spans="1:4" x14ac:dyDescent="0.25">
      <c r="A34" t="s">
        <v>40</v>
      </c>
      <c r="B34" t="s">
        <v>1132</v>
      </c>
      <c r="C34" t="s">
        <v>463</v>
      </c>
      <c r="D34">
        <v>-2</v>
      </c>
    </row>
    <row r="35" spans="1:4" x14ac:dyDescent="0.25">
      <c r="A35" t="s">
        <v>40</v>
      </c>
      <c r="B35" t="s">
        <v>31</v>
      </c>
      <c r="C35" t="s">
        <v>602</v>
      </c>
      <c r="D35">
        <v>-5</v>
      </c>
    </row>
    <row r="36" spans="1:4" x14ac:dyDescent="0.25">
      <c r="A36" t="s">
        <v>40</v>
      </c>
      <c r="B36" t="s">
        <v>1437</v>
      </c>
      <c r="C36" t="s">
        <v>1716</v>
      </c>
      <c r="D36">
        <v>-4</v>
      </c>
    </row>
    <row r="37" spans="1:4" x14ac:dyDescent="0.25">
      <c r="A37" t="s">
        <v>40</v>
      </c>
      <c r="B37" t="s">
        <v>1437</v>
      </c>
      <c r="C37" t="s">
        <v>66</v>
      </c>
      <c r="D37">
        <v>-3</v>
      </c>
    </row>
    <row r="38" spans="1:4" x14ac:dyDescent="0.25">
      <c r="A38" t="s">
        <v>40</v>
      </c>
      <c r="B38" t="s">
        <v>927</v>
      </c>
      <c r="C38" t="s">
        <v>1717</v>
      </c>
      <c r="D38">
        <v>-4</v>
      </c>
    </row>
    <row r="39" spans="1:4" x14ac:dyDescent="0.25">
      <c r="A39" t="s">
        <v>40</v>
      </c>
      <c r="B39" t="s">
        <v>927</v>
      </c>
      <c r="C39" t="s">
        <v>68</v>
      </c>
      <c r="D39">
        <v>-5</v>
      </c>
    </row>
    <row r="40" spans="1:4" x14ac:dyDescent="0.25">
      <c r="A40" t="s">
        <v>40</v>
      </c>
      <c r="B40" t="s">
        <v>33</v>
      </c>
      <c r="C40" t="s">
        <v>1718</v>
      </c>
      <c r="D40">
        <v>-2</v>
      </c>
    </row>
    <row r="41" spans="1:4" x14ac:dyDescent="0.25">
      <c r="A41" t="s">
        <v>40</v>
      </c>
      <c r="B41" t="s">
        <v>508</v>
      </c>
      <c r="C41" t="s">
        <v>1719</v>
      </c>
      <c r="D41">
        <v>-5</v>
      </c>
    </row>
    <row r="42" spans="1:4" x14ac:dyDescent="0.25">
      <c r="A42" t="s">
        <v>40</v>
      </c>
      <c r="B42" t="s">
        <v>817</v>
      </c>
      <c r="C42" t="s">
        <v>1720</v>
      </c>
      <c r="D42">
        <v>-4</v>
      </c>
    </row>
    <row r="43" spans="1:4" x14ac:dyDescent="0.25">
      <c r="A43" t="s">
        <v>80</v>
      </c>
      <c r="B43" t="s">
        <v>1055</v>
      </c>
      <c r="C43" t="s">
        <v>1721</v>
      </c>
      <c r="D43">
        <v>-6</v>
      </c>
    </row>
    <row r="44" spans="1:4" x14ac:dyDescent="0.25">
      <c r="A44" t="s">
        <v>80</v>
      </c>
      <c r="B44" t="s">
        <v>1009</v>
      </c>
      <c r="C44" t="s">
        <v>236</v>
      </c>
      <c r="D44">
        <v>-4</v>
      </c>
    </row>
    <row r="45" spans="1:4" x14ac:dyDescent="0.25">
      <c r="A45" t="s">
        <v>80</v>
      </c>
      <c r="B45" t="s">
        <v>329</v>
      </c>
      <c r="C45" t="s">
        <v>1722</v>
      </c>
      <c r="D45">
        <v>-1</v>
      </c>
    </row>
    <row r="46" spans="1:4" x14ac:dyDescent="0.25">
      <c r="A46" t="s">
        <v>80</v>
      </c>
      <c r="B46" t="s">
        <v>1549</v>
      </c>
      <c r="C46" t="s">
        <v>617</v>
      </c>
      <c r="D46">
        <v>-4</v>
      </c>
    </row>
    <row r="47" spans="1:4" x14ac:dyDescent="0.25">
      <c r="A47" t="s">
        <v>80</v>
      </c>
      <c r="B47" t="s">
        <v>1529</v>
      </c>
      <c r="C47" t="s">
        <v>247</v>
      </c>
      <c r="D47">
        <v>-1</v>
      </c>
    </row>
    <row r="48" spans="1:4" x14ac:dyDescent="0.25">
      <c r="A48" t="s">
        <v>80</v>
      </c>
      <c r="B48" t="s">
        <v>1723</v>
      </c>
      <c r="C48" t="s">
        <v>1226</v>
      </c>
      <c r="D48">
        <v>1</v>
      </c>
    </row>
    <row r="49" spans="1:4" x14ac:dyDescent="0.25">
      <c r="A49" t="s">
        <v>80</v>
      </c>
      <c r="B49" t="s">
        <v>433</v>
      </c>
      <c r="C49" t="s">
        <v>252</v>
      </c>
      <c r="D49">
        <v>-1</v>
      </c>
    </row>
    <row r="50" spans="1:4" x14ac:dyDescent="0.25">
      <c r="A50" t="s">
        <v>80</v>
      </c>
      <c r="B50" t="s">
        <v>1724</v>
      </c>
      <c r="C50" t="s">
        <v>253</v>
      </c>
      <c r="D50">
        <v>0</v>
      </c>
    </row>
    <row r="51" spans="1:4" x14ac:dyDescent="0.25">
      <c r="A51" t="s">
        <v>80</v>
      </c>
      <c r="B51" t="s">
        <v>1725</v>
      </c>
      <c r="C51" t="s">
        <v>255</v>
      </c>
      <c r="D51">
        <v>-3</v>
      </c>
    </row>
    <row r="52" spans="1:4" x14ac:dyDescent="0.25">
      <c r="A52" t="s">
        <v>80</v>
      </c>
      <c r="B52" t="s">
        <v>1230</v>
      </c>
      <c r="C52" t="s">
        <v>1726</v>
      </c>
      <c r="D52">
        <v>-5</v>
      </c>
    </row>
    <row r="53" spans="1:4" x14ac:dyDescent="0.25">
      <c r="A53" t="s">
        <v>80</v>
      </c>
      <c r="B53" t="s">
        <v>943</v>
      </c>
      <c r="C53" t="s">
        <v>1727</v>
      </c>
      <c r="D53">
        <v>-2</v>
      </c>
    </row>
    <row r="54" spans="1:4" x14ac:dyDescent="0.25">
      <c r="A54" t="s">
        <v>80</v>
      </c>
      <c r="B54" t="s">
        <v>629</v>
      </c>
      <c r="C54" t="s">
        <v>1728</v>
      </c>
      <c r="D54">
        <v>0</v>
      </c>
    </row>
    <row r="55" spans="1:4" x14ac:dyDescent="0.25">
      <c r="A55" t="s">
        <v>80</v>
      </c>
      <c r="B55" t="s">
        <v>845</v>
      </c>
      <c r="C55" t="s">
        <v>1729</v>
      </c>
      <c r="D55">
        <v>-2</v>
      </c>
    </row>
    <row r="56" spans="1:4" x14ac:dyDescent="0.25">
      <c r="A56" t="s">
        <v>80</v>
      </c>
      <c r="B56" t="s">
        <v>116</v>
      </c>
      <c r="C56" t="s">
        <v>1730</v>
      </c>
      <c r="D56">
        <v>-1</v>
      </c>
    </row>
    <row r="57" spans="1:4" x14ac:dyDescent="0.25">
      <c r="A57" t="s">
        <v>80</v>
      </c>
      <c r="B57" t="s">
        <v>231</v>
      </c>
      <c r="C57" t="s">
        <v>1731</v>
      </c>
      <c r="D57">
        <v>2</v>
      </c>
    </row>
    <row r="58" spans="1:4" x14ac:dyDescent="0.25">
      <c r="A58" t="s">
        <v>80</v>
      </c>
      <c r="B58" t="s">
        <v>1113</v>
      </c>
      <c r="C58" t="s">
        <v>382</v>
      </c>
      <c r="D58">
        <v>1</v>
      </c>
    </row>
    <row r="59" spans="1:4" x14ac:dyDescent="0.25">
      <c r="A59" t="s">
        <v>80</v>
      </c>
      <c r="B59" t="s">
        <v>1113</v>
      </c>
      <c r="C59" t="s">
        <v>1732</v>
      </c>
      <c r="D59">
        <v>0</v>
      </c>
    </row>
    <row r="60" spans="1:4" x14ac:dyDescent="0.25">
      <c r="A60" t="s">
        <v>80</v>
      </c>
      <c r="B60" t="s">
        <v>927</v>
      </c>
      <c r="C60" t="s">
        <v>1532</v>
      </c>
      <c r="D60">
        <v>2</v>
      </c>
    </row>
    <row r="61" spans="1:4" x14ac:dyDescent="0.25">
      <c r="A61" t="s">
        <v>80</v>
      </c>
      <c r="B61" t="s">
        <v>1733</v>
      </c>
      <c r="C61" t="s">
        <v>752</v>
      </c>
      <c r="D61">
        <v>1</v>
      </c>
    </row>
    <row r="62" spans="1:4" x14ac:dyDescent="0.25">
      <c r="A62" t="s">
        <v>123</v>
      </c>
      <c r="B62" t="s">
        <v>1680</v>
      </c>
      <c r="C62" t="s">
        <v>754</v>
      </c>
      <c r="D62">
        <v>-2</v>
      </c>
    </row>
    <row r="63" spans="1:4" x14ac:dyDescent="0.25">
      <c r="A63" t="s">
        <v>123</v>
      </c>
      <c r="B63" t="s">
        <v>1057</v>
      </c>
      <c r="C63" t="s">
        <v>1734</v>
      </c>
      <c r="D63">
        <v>-5</v>
      </c>
    </row>
    <row r="64" spans="1:4" x14ac:dyDescent="0.25">
      <c r="A64" t="s">
        <v>123</v>
      </c>
      <c r="B64" t="s">
        <v>1735</v>
      </c>
      <c r="C64" t="s">
        <v>1236</v>
      </c>
      <c r="D64">
        <v>-3</v>
      </c>
    </row>
    <row r="65" spans="1:4" x14ac:dyDescent="0.25">
      <c r="A65" t="s">
        <v>123</v>
      </c>
      <c r="B65" t="s">
        <v>827</v>
      </c>
      <c r="C65" t="s">
        <v>843</v>
      </c>
      <c r="D65">
        <v>0</v>
      </c>
    </row>
    <row r="66" spans="1:4" x14ac:dyDescent="0.25">
      <c r="A66" t="s">
        <v>123</v>
      </c>
      <c r="B66" t="s">
        <v>274</v>
      </c>
      <c r="C66" t="s">
        <v>1736</v>
      </c>
      <c r="D66">
        <v>2</v>
      </c>
    </row>
    <row r="67" spans="1:4" x14ac:dyDescent="0.25">
      <c r="A67" t="s">
        <v>123</v>
      </c>
      <c r="B67" t="s">
        <v>737</v>
      </c>
      <c r="C67" t="s">
        <v>1737</v>
      </c>
      <c r="D67">
        <v>1</v>
      </c>
    </row>
    <row r="68" spans="1:4" x14ac:dyDescent="0.25">
      <c r="A68" t="s">
        <v>123</v>
      </c>
      <c r="B68" t="s">
        <v>737</v>
      </c>
      <c r="C68" t="s">
        <v>507</v>
      </c>
      <c r="D68">
        <v>0</v>
      </c>
    </row>
    <row r="69" spans="1:4" x14ac:dyDescent="0.25">
      <c r="A69" t="s">
        <v>123</v>
      </c>
      <c r="B69" t="s">
        <v>15</v>
      </c>
      <c r="C69" t="s">
        <v>760</v>
      </c>
      <c r="D69">
        <v>3</v>
      </c>
    </row>
    <row r="70" spans="1:4" x14ac:dyDescent="0.25">
      <c r="A70" t="s">
        <v>123</v>
      </c>
      <c r="B70" t="s">
        <v>186</v>
      </c>
      <c r="C70" t="s">
        <v>1738</v>
      </c>
      <c r="D70">
        <v>4</v>
      </c>
    </row>
    <row r="71" spans="1:4" x14ac:dyDescent="0.25">
      <c r="A71" t="s">
        <v>123</v>
      </c>
      <c r="B71" t="s">
        <v>186</v>
      </c>
      <c r="C71" t="s">
        <v>761</v>
      </c>
      <c r="D71">
        <v>5</v>
      </c>
    </row>
    <row r="72" spans="1:4" x14ac:dyDescent="0.25">
      <c r="A72" t="s">
        <v>123</v>
      </c>
      <c r="B72" t="s">
        <v>628</v>
      </c>
      <c r="C72" t="s">
        <v>647</v>
      </c>
      <c r="D72">
        <v>4</v>
      </c>
    </row>
    <row r="73" spans="1:4" x14ac:dyDescent="0.25">
      <c r="A73" t="s">
        <v>123</v>
      </c>
      <c r="B73" t="s">
        <v>628</v>
      </c>
      <c r="C73" t="s">
        <v>649</v>
      </c>
      <c r="D73">
        <v>3</v>
      </c>
    </row>
    <row r="74" spans="1:4" x14ac:dyDescent="0.25">
      <c r="A74" t="s">
        <v>123</v>
      </c>
      <c r="B74" t="s">
        <v>341</v>
      </c>
      <c r="C74" t="s">
        <v>1615</v>
      </c>
      <c r="D74">
        <v>6</v>
      </c>
    </row>
    <row r="75" spans="1:4" x14ac:dyDescent="0.25">
      <c r="A75" t="s">
        <v>123</v>
      </c>
      <c r="B75" t="s">
        <v>1739</v>
      </c>
      <c r="C75" t="s">
        <v>1616</v>
      </c>
      <c r="D75">
        <v>9</v>
      </c>
    </row>
    <row r="76" spans="1:4" x14ac:dyDescent="0.25">
      <c r="A76" t="s">
        <v>123</v>
      </c>
      <c r="B76" t="s">
        <v>118</v>
      </c>
      <c r="C76" t="s">
        <v>412</v>
      </c>
      <c r="D76">
        <v>7</v>
      </c>
    </row>
    <row r="78" spans="1:4" x14ac:dyDescent="0.25">
      <c r="A78" s="2" t="s">
        <v>157</v>
      </c>
    </row>
    <row r="79" spans="1:4" x14ac:dyDescent="0.25">
      <c r="A79" t="s">
        <v>158</v>
      </c>
      <c r="D79">
        <f>AVERAGE(D2:D76)</f>
        <v>-2.2799999999999998</v>
      </c>
    </row>
    <row r="80" spans="1:4" x14ac:dyDescent="0.25">
      <c r="A80" t="s">
        <v>159</v>
      </c>
      <c r="D80">
        <f>MAX(D2:D76)</f>
        <v>9</v>
      </c>
    </row>
    <row r="81" spans="1:4" x14ac:dyDescent="0.25">
      <c r="A81" t="s">
        <v>160</v>
      </c>
      <c r="D81">
        <f>MIN(D2:D76)</f>
        <v>-9</v>
      </c>
    </row>
    <row r="82" spans="1:4" x14ac:dyDescent="0.25">
      <c r="A82" t="s">
        <v>161</v>
      </c>
      <c r="D82">
        <f>COUNTIF(D2:D76,"&gt;0")</f>
        <v>15</v>
      </c>
    </row>
    <row r="83" spans="1:4" x14ac:dyDescent="0.25">
      <c r="A83" t="s">
        <v>162</v>
      </c>
      <c r="D83">
        <f>COUNTIF(D2:D76,"=0")</f>
        <v>6</v>
      </c>
    </row>
    <row r="84" spans="1:4" x14ac:dyDescent="0.25">
      <c r="A84" t="s">
        <v>1740</v>
      </c>
      <c r="D84">
        <f>COUNTIF(D2:D76,"&lt;0")</f>
        <v>54</v>
      </c>
    </row>
    <row r="86" spans="1:4" x14ac:dyDescent="0.25">
      <c r="A86" s="2" t="s">
        <v>164</v>
      </c>
    </row>
    <row r="87" spans="1:4" x14ac:dyDescent="0.25">
      <c r="A87" t="s">
        <v>165</v>
      </c>
      <c r="D87">
        <f>AVERAGE(D2,D3,D4,D5,D6,D7,D8,D9,D10,D11,D12,D13,D14,D15,D16,D17,D18)</f>
        <v>-4.1764705882352944</v>
      </c>
    </row>
    <row r="88" spans="1:4" x14ac:dyDescent="0.25">
      <c r="A88" t="s">
        <v>166</v>
      </c>
      <c r="D88">
        <f>AVERAGE(D19,D20,D21,D22,D23,D24,D25,D26,D27,D28,D29,D30,D31,D32,D33,D34,D35,D36,D37,D38,D39,D40,D41,D42)</f>
        <v>-4.625</v>
      </c>
    </row>
    <row r="89" spans="1:4" x14ac:dyDescent="0.25">
      <c r="A89" t="s">
        <v>167</v>
      </c>
      <c r="D89">
        <f>AVERAGE(D43,D44,D45,D46,D47,D48,D49,D50,D51,D52,D53,D54,D55,D56,D57,D58,D59,D60,D61)</f>
        <v>-1.2105263157894737</v>
      </c>
    </row>
    <row r="90" spans="1:4" x14ac:dyDescent="0.25">
      <c r="A90" t="s">
        <v>168</v>
      </c>
      <c r="D90">
        <f>AVERAGE(D62,D63,D64,D65,D66,D67,D68,D69,D70,D71,D72,D73,D74,D75,D76)</f>
        <v>2.2666666666666666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41</v>
      </c>
      <c r="C2" t="s">
        <v>908</v>
      </c>
      <c r="D2">
        <v>-2</v>
      </c>
    </row>
    <row r="3" spans="1:4" x14ac:dyDescent="0.25">
      <c r="A3" t="s">
        <v>4</v>
      </c>
      <c r="B3" t="s">
        <v>45</v>
      </c>
      <c r="C3" t="s">
        <v>909</v>
      </c>
      <c r="D3">
        <v>-5</v>
      </c>
    </row>
    <row r="4" spans="1:4" x14ac:dyDescent="0.25">
      <c r="A4" t="s">
        <v>4</v>
      </c>
      <c r="B4" t="s">
        <v>329</v>
      </c>
      <c r="C4" t="s">
        <v>910</v>
      </c>
      <c r="D4">
        <v>-2</v>
      </c>
    </row>
    <row r="5" spans="1:4" x14ac:dyDescent="0.25">
      <c r="A5" t="s">
        <v>4</v>
      </c>
      <c r="B5" t="s">
        <v>1192</v>
      </c>
      <c r="C5" t="s">
        <v>911</v>
      </c>
      <c r="D5">
        <v>-4</v>
      </c>
    </row>
    <row r="6" spans="1:4" x14ac:dyDescent="0.25">
      <c r="A6" t="s">
        <v>4</v>
      </c>
      <c r="B6" t="s">
        <v>1248</v>
      </c>
      <c r="C6" t="s">
        <v>1741</v>
      </c>
      <c r="D6">
        <v>-7</v>
      </c>
    </row>
    <row r="7" spans="1:4" x14ac:dyDescent="0.25">
      <c r="A7" t="s">
        <v>4</v>
      </c>
      <c r="B7" t="s">
        <v>13</v>
      </c>
      <c r="C7" t="s">
        <v>1635</v>
      </c>
      <c r="D7">
        <v>-5</v>
      </c>
    </row>
    <row r="8" spans="1:4" x14ac:dyDescent="0.25">
      <c r="A8" t="s">
        <v>4</v>
      </c>
      <c r="B8" t="s">
        <v>13</v>
      </c>
      <c r="C8" t="s">
        <v>1636</v>
      </c>
      <c r="D8">
        <v>-4</v>
      </c>
    </row>
    <row r="9" spans="1:4" x14ac:dyDescent="0.25">
      <c r="A9" t="s">
        <v>4</v>
      </c>
      <c r="B9" t="s">
        <v>1742</v>
      </c>
      <c r="C9" t="s">
        <v>1696</v>
      </c>
      <c r="D9">
        <v>-5</v>
      </c>
    </row>
    <row r="10" spans="1:4" x14ac:dyDescent="0.25">
      <c r="A10" t="s">
        <v>4</v>
      </c>
      <c r="B10" t="s">
        <v>1498</v>
      </c>
      <c r="C10" t="s">
        <v>1743</v>
      </c>
      <c r="D10">
        <v>-3</v>
      </c>
    </row>
    <row r="11" spans="1:4" x14ac:dyDescent="0.25">
      <c r="A11" t="s">
        <v>4</v>
      </c>
      <c r="B11" t="s">
        <v>1498</v>
      </c>
      <c r="C11" t="s">
        <v>1744</v>
      </c>
      <c r="D11">
        <v>-2</v>
      </c>
    </row>
    <row r="12" spans="1:4" x14ac:dyDescent="0.25">
      <c r="A12" t="s">
        <v>4</v>
      </c>
      <c r="B12" t="s">
        <v>834</v>
      </c>
      <c r="C12" t="s">
        <v>1433</v>
      </c>
      <c r="D12">
        <v>-3</v>
      </c>
    </row>
    <row r="13" spans="1:4" x14ac:dyDescent="0.25">
      <c r="A13" t="s">
        <v>4</v>
      </c>
      <c r="B13" t="s">
        <v>834</v>
      </c>
      <c r="C13" t="s">
        <v>1745</v>
      </c>
      <c r="D13">
        <v>-4</v>
      </c>
    </row>
    <row r="14" spans="1:4" x14ac:dyDescent="0.25">
      <c r="A14" t="s">
        <v>4</v>
      </c>
      <c r="B14" t="s">
        <v>312</v>
      </c>
      <c r="C14" t="s">
        <v>30</v>
      </c>
      <c r="D14">
        <v>-1</v>
      </c>
    </row>
    <row r="15" spans="1:4" x14ac:dyDescent="0.25">
      <c r="A15" t="s">
        <v>4</v>
      </c>
      <c r="B15" t="s">
        <v>186</v>
      </c>
      <c r="C15" t="s">
        <v>1746</v>
      </c>
      <c r="D15">
        <v>-3</v>
      </c>
    </row>
    <row r="16" spans="1:4" x14ac:dyDescent="0.25">
      <c r="A16" t="s">
        <v>4</v>
      </c>
      <c r="B16" t="s">
        <v>374</v>
      </c>
      <c r="C16" t="s">
        <v>35</v>
      </c>
      <c r="D16">
        <v>-1</v>
      </c>
    </row>
    <row r="17" spans="1:4" x14ac:dyDescent="0.25">
      <c r="A17" t="s">
        <v>4</v>
      </c>
      <c r="B17" t="s">
        <v>190</v>
      </c>
      <c r="C17" t="s">
        <v>446</v>
      </c>
      <c r="D17">
        <v>1</v>
      </c>
    </row>
    <row r="18" spans="1:4" x14ac:dyDescent="0.25">
      <c r="A18" t="s">
        <v>4</v>
      </c>
      <c r="B18" t="s">
        <v>285</v>
      </c>
      <c r="C18" t="s">
        <v>1747</v>
      </c>
      <c r="D18">
        <v>0</v>
      </c>
    </row>
    <row r="19" spans="1:4" x14ac:dyDescent="0.25">
      <c r="A19" t="s">
        <v>4</v>
      </c>
      <c r="B19" t="s">
        <v>285</v>
      </c>
      <c r="C19" t="s">
        <v>707</v>
      </c>
      <c r="D19">
        <v>1</v>
      </c>
    </row>
    <row r="20" spans="1:4" x14ac:dyDescent="0.25">
      <c r="A20" t="s">
        <v>4</v>
      </c>
      <c r="B20" t="s">
        <v>110</v>
      </c>
      <c r="C20" t="s">
        <v>708</v>
      </c>
      <c r="D20">
        <v>3</v>
      </c>
    </row>
    <row r="21" spans="1:4" x14ac:dyDescent="0.25">
      <c r="A21" t="s">
        <v>4</v>
      </c>
      <c r="B21" t="s">
        <v>110</v>
      </c>
      <c r="C21" t="s">
        <v>790</v>
      </c>
      <c r="D21">
        <v>4</v>
      </c>
    </row>
    <row r="22" spans="1:4" x14ac:dyDescent="0.25">
      <c r="A22" t="s">
        <v>4</v>
      </c>
      <c r="B22" t="s">
        <v>384</v>
      </c>
      <c r="C22" t="s">
        <v>1748</v>
      </c>
      <c r="D22">
        <v>6</v>
      </c>
    </row>
    <row r="23" spans="1:4" x14ac:dyDescent="0.25">
      <c r="A23" t="s">
        <v>4</v>
      </c>
      <c r="B23" t="s">
        <v>1481</v>
      </c>
      <c r="C23" t="s">
        <v>1749</v>
      </c>
      <c r="D23">
        <v>5</v>
      </c>
    </row>
    <row r="24" spans="1:4" x14ac:dyDescent="0.25">
      <c r="A24" t="s">
        <v>4</v>
      </c>
      <c r="B24" t="s">
        <v>473</v>
      </c>
      <c r="C24" t="s">
        <v>204</v>
      </c>
      <c r="D24">
        <v>7</v>
      </c>
    </row>
    <row r="25" spans="1:4" x14ac:dyDescent="0.25">
      <c r="A25" t="s">
        <v>4</v>
      </c>
      <c r="B25" t="s">
        <v>788</v>
      </c>
      <c r="C25" t="s">
        <v>207</v>
      </c>
      <c r="D25">
        <v>5</v>
      </c>
    </row>
    <row r="26" spans="1:4" x14ac:dyDescent="0.25">
      <c r="A26" t="s">
        <v>4</v>
      </c>
      <c r="B26" t="s">
        <v>1750</v>
      </c>
      <c r="C26" t="s">
        <v>1122</v>
      </c>
      <c r="D26">
        <v>4</v>
      </c>
    </row>
    <row r="27" spans="1:4" x14ac:dyDescent="0.25">
      <c r="A27" t="s">
        <v>4</v>
      </c>
      <c r="B27" t="s">
        <v>900</v>
      </c>
      <c r="C27" t="s">
        <v>1751</v>
      </c>
      <c r="D27">
        <v>2</v>
      </c>
    </row>
    <row r="28" spans="1:4" x14ac:dyDescent="0.25">
      <c r="A28" t="s">
        <v>4</v>
      </c>
      <c r="B28" t="s">
        <v>902</v>
      </c>
      <c r="C28" t="s">
        <v>1752</v>
      </c>
      <c r="D28">
        <v>4</v>
      </c>
    </row>
    <row r="29" spans="1:4" x14ac:dyDescent="0.25">
      <c r="A29" t="s">
        <v>4</v>
      </c>
      <c r="B29" t="s">
        <v>1568</v>
      </c>
      <c r="C29" t="s">
        <v>336</v>
      </c>
      <c r="D29">
        <v>2</v>
      </c>
    </row>
    <row r="30" spans="1:4" x14ac:dyDescent="0.25">
      <c r="A30" t="s">
        <v>40</v>
      </c>
      <c r="B30" t="s">
        <v>1208</v>
      </c>
      <c r="C30" t="s">
        <v>338</v>
      </c>
      <c r="D30">
        <v>4</v>
      </c>
    </row>
    <row r="31" spans="1:4" x14ac:dyDescent="0.25">
      <c r="A31" t="s">
        <v>40</v>
      </c>
      <c r="B31" t="s">
        <v>689</v>
      </c>
      <c r="C31" t="s">
        <v>1753</v>
      </c>
      <c r="D31">
        <v>2</v>
      </c>
    </row>
    <row r="32" spans="1:4" x14ac:dyDescent="0.25">
      <c r="A32" t="s">
        <v>40</v>
      </c>
      <c r="B32" t="s">
        <v>83</v>
      </c>
      <c r="C32" t="s">
        <v>218</v>
      </c>
      <c r="D32">
        <v>3</v>
      </c>
    </row>
    <row r="33" spans="1:4" x14ac:dyDescent="0.25">
      <c r="A33" t="s">
        <v>40</v>
      </c>
      <c r="B33" t="s">
        <v>83</v>
      </c>
      <c r="C33" t="s">
        <v>720</v>
      </c>
      <c r="D33">
        <v>4</v>
      </c>
    </row>
    <row r="34" spans="1:4" x14ac:dyDescent="0.25">
      <c r="A34" t="s">
        <v>40</v>
      </c>
      <c r="B34" t="s">
        <v>49</v>
      </c>
      <c r="C34" t="s">
        <v>343</v>
      </c>
      <c r="D34">
        <v>2</v>
      </c>
    </row>
    <row r="35" spans="1:4" x14ac:dyDescent="0.25">
      <c r="A35" t="s">
        <v>40</v>
      </c>
      <c r="B35" t="s">
        <v>1754</v>
      </c>
      <c r="C35" t="s">
        <v>222</v>
      </c>
      <c r="D35">
        <v>4</v>
      </c>
    </row>
    <row r="36" spans="1:4" x14ac:dyDescent="0.25">
      <c r="A36" t="s">
        <v>40</v>
      </c>
      <c r="B36" t="s">
        <v>1755</v>
      </c>
      <c r="C36" t="s">
        <v>1130</v>
      </c>
      <c r="D36">
        <v>2</v>
      </c>
    </row>
    <row r="37" spans="1:4" x14ac:dyDescent="0.25">
      <c r="A37" t="s">
        <v>40</v>
      </c>
      <c r="B37" t="s">
        <v>462</v>
      </c>
      <c r="C37" t="s">
        <v>1756</v>
      </c>
      <c r="D37">
        <v>-1</v>
      </c>
    </row>
    <row r="38" spans="1:4" x14ac:dyDescent="0.25">
      <c r="A38" t="s">
        <v>40</v>
      </c>
      <c r="B38" t="s">
        <v>364</v>
      </c>
      <c r="C38" t="s">
        <v>728</v>
      </c>
      <c r="D38">
        <v>2</v>
      </c>
    </row>
    <row r="39" spans="1:4" x14ac:dyDescent="0.25">
      <c r="A39" t="s">
        <v>40</v>
      </c>
      <c r="B39" t="s">
        <v>364</v>
      </c>
      <c r="C39" t="s">
        <v>353</v>
      </c>
      <c r="D39">
        <v>3</v>
      </c>
    </row>
    <row r="40" spans="1:4" x14ac:dyDescent="0.25">
      <c r="A40" t="s">
        <v>40</v>
      </c>
      <c r="B40" t="s">
        <v>654</v>
      </c>
      <c r="C40" t="s">
        <v>354</v>
      </c>
      <c r="D40">
        <v>1</v>
      </c>
    </row>
    <row r="41" spans="1:4" x14ac:dyDescent="0.25">
      <c r="A41" t="s">
        <v>40</v>
      </c>
      <c r="B41" t="s">
        <v>762</v>
      </c>
      <c r="C41" t="s">
        <v>1218</v>
      </c>
      <c r="D41">
        <v>2</v>
      </c>
    </row>
    <row r="42" spans="1:4" x14ac:dyDescent="0.25">
      <c r="A42" t="s">
        <v>40</v>
      </c>
      <c r="B42" t="s">
        <v>762</v>
      </c>
      <c r="C42" t="s">
        <v>1757</v>
      </c>
      <c r="D42">
        <v>3</v>
      </c>
    </row>
    <row r="43" spans="1:4" x14ac:dyDescent="0.25">
      <c r="A43" t="s">
        <v>40</v>
      </c>
      <c r="B43" t="s">
        <v>1436</v>
      </c>
      <c r="C43" t="s">
        <v>476</v>
      </c>
      <c r="D43">
        <v>1</v>
      </c>
    </row>
    <row r="44" spans="1:4" x14ac:dyDescent="0.25">
      <c r="A44" t="s">
        <v>40</v>
      </c>
      <c r="B44" t="s">
        <v>1698</v>
      </c>
      <c r="C44" t="s">
        <v>1758</v>
      </c>
      <c r="D44">
        <v>3</v>
      </c>
    </row>
    <row r="45" spans="1:4" x14ac:dyDescent="0.25">
      <c r="A45" t="s">
        <v>40</v>
      </c>
      <c r="B45" t="s">
        <v>1040</v>
      </c>
      <c r="C45" t="s">
        <v>1759</v>
      </c>
      <c r="D45">
        <v>2</v>
      </c>
    </row>
    <row r="46" spans="1:4" x14ac:dyDescent="0.25">
      <c r="A46" t="s">
        <v>40</v>
      </c>
      <c r="B46" t="s">
        <v>1040</v>
      </c>
      <c r="C46" t="s">
        <v>1760</v>
      </c>
      <c r="D46">
        <v>1</v>
      </c>
    </row>
    <row r="47" spans="1:4" x14ac:dyDescent="0.25">
      <c r="A47" t="s">
        <v>40</v>
      </c>
      <c r="B47" t="s">
        <v>444</v>
      </c>
      <c r="C47" t="s">
        <v>1761</v>
      </c>
      <c r="D47">
        <v>-1</v>
      </c>
    </row>
    <row r="48" spans="1:4" x14ac:dyDescent="0.25">
      <c r="A48" t="s">
        <v>40</v>
      </c>
      <c r="B48" t="s">
        <v>1132</v>
      </c>
      <c r="C48" t="s">
        <v>1521</v>
      </c>
      <c r="D48">
        <v>-3</v>
      </c>
    </row>
    <row r="49" spans="1:4" x14ac:dyDescent="0.25">
      <c r="A49" t="s">
        <v>40</v>
      </c>
      <c r="B49" t="s">
        <v>118</v>
      </c>
      <c r="C49" t="s">
        <v>1762</v>
      </c>
      <c r="D49">
        <v>-2</v>
      </c>
    </row>
    <row r="50" spans="1:4" x14ac:dyDescent="0.25">
      <c r="A50" t="s">
        <v>40</v>
      </c>
      <c r="B50" t="s">
        <v>118</v>
      </c>
      <c r="C50" t="s">
        <v>247</v>
      </c>
      <c r="D50">
        <v>-1</v>
      </c>
    </row>
    <row r="51" spans="1:4" x14ac:dyDescent="0.25">
      <c r="A51" t="s">
        <v>40</v>
      </c>
      <c r="B51" t="s">
        <v>1675</v>
      </c>
      <c r="C51" t="s">
        <v>94</v>
      </c>
      <c r="D51">
        <v>-4</v>
      </c>
    </row>
    <row r="52" spans="1:4" x14ac:dyDescent="0.25">
      <c r="A52" t="s">
        <v>40</v>
      </c>
      <c r="B52" t="s">
        <v>1206</v>
      </c>
      <c r="C52" t="s">
        <v>1763</v>
      </c>
      <c r="D52">
        <v>-3</v>
      </c>
    </row>
    <row r="53" spans="1:4" x14ac:dyDescent="0.25">
      <c r="A53" t="s">
        <v>40</v>
      </c>
      <c r="B53" t="s">
        <v>508</v>
      </c>
      <c r="C53" t="s">
        <v>1764</v>
      </c>
      <c r="D53">
        <v>-6</v>
      </c>
    </row>
    <row r="54" spans="1:4" x14ac:dyDescent="0.25">
      <c r="A54" t="s">
        <v>80</v>
      </c>
      <c r="B54" t="s">
        <v>1765</v>
      </c>
      <c r="C54" t="s">
        <v>741</v>
      </c>
      <c r="D54">
        <v>-3</v>
      </c>
    </row>
    <row r="55" spans="1:4" x14ac:dyDescent="0.25">
      <c r="A55" t="s">
        <v>80</v>
      </c>
      <c r="B55" t="s">
        <v>1545</v>
      </c>
      <c r="C55" t="s">
        <v>1766</v>
      </c>
      <c r="D55">
        <v>-6</v>
      </c>
    </row>
    <row r="56" spans="1:4" x14ac:dyDescent="0.25">
      <c r="A56" t="s">
        <v>80</v>
      </c>
      <c r="B56" t="s">
        <v>1244</v>
      </c>
      <c r="C56" t="s">
        <v>1767</v>
      </c>
      <c r="D56">
        <v>-4</v>
      </c>
    </row>
    <row r="57" spans="1:4" x14ac:dyDescent="0.25">
      <c r="A57" t="s">
        <v>80</v>
      </c>
      <c r="B57" t="s">
        <v>1768</v>
      </c>
      <c r="C57" t="s">
        <v>1769</v>
      </c>
      <c r="D57">
        <v>-6</v>
      </c>
    </row>
    <row r="58" spans="1:4" x14ac:dyDescent="0.25">
      <c r="A58" t="s">
        <v>80</v>
      </c>
      <c r="B58" t="s">
        <v>458</v>
      </c>
      <c r="C58" t="s">
        <v>1770</v>
      </c>
      <c r="D58">
        <v>-3</v>
      </c>
    </row>
    <row r="59" spans="1:4" x14ac:dyDescent="0.25">
      <c r="A59" t="s">
        <v>80</v>
      </c>
      <c r="B59" t="s">
        <v>1771</v>
      </c>
      <c r="C59" t="s">
        <v>1772</v>
      </c>
      <c r="D59">
        <v>-5</v>
      </c>
    </row>
    <row r="60" spans="1:4" x14ac:dyDescent="0.25">
      <c r="A60" t="s">
        <v>80</v>
      </c>
      <c r="B60" t="s">
        <v>1773</v>
      </c>
      <c r="C60" t="s">
        <v>632</v>
      </c>
      <c r="D60">
        <v>-4</v>
      </c>
    </row>
    <row r="61" spans="1:4" x14ac:dyDescent="0.25">
      <c r="A61" t="s">
        <v>80</v>
      </c>
      <c r="B61" t="s">
        <v>497</v>
      </c>
      <c r="C61" t="s">
        <v>633</v>
      </c>
      <c r="D61">
        <v>-2</v>
      </c>
    </row>
    <row r="62" spans="1:4" x14ac:dyDescent="0.25">
      <c r="A62" t="s">
        <v>80</v>
      </c>
      <c r="B62" t="s">
        <v>215</v>
      </c>
      <c r="C62" t="s">
        <v>1774</v>
      </c>
      <c r="D62">
        <v>-4</v>
      </c>
    </row>
    <row r="63" spans="1:4" x14ac:dyDescent="0.25">
      <c r="A63" t="s">
        <v>80</v>
      </c>
      <c r="B63" t="s">
        <v>1775</v>
      </c>
      <c r="C63" t="s">
        <v>754</v>
      </c>
      <c r="D63">
        <v>-2</v>
      </c>
    </row>
    <row r="64" spans="1:4" x14ac:dyDescent="0.25">
      <c r="A64" t="s">
        <v>80</v>
      </c>
      <c r="B64" t="s">
        <v>1776</v>
      </c>
      <c r="C64" t="s">
        <v>121</v>
      </c>
      <c r="D64">
        <v>-4</v>
      </c>
    </row>
    <row r="65" spans="1:4" x14ac:dyDescent="0.25">
      <c r="A65" t="s">
        <v>80</v>
      </c>
      <c r="B65" t="s">
        <v>1170</v>
      </c>
      <c r="C65" t="s">
        <v>755</v>
      </c>
      <c r="D65">
        <v>-1</v>
      </c>
    </row>
    <row r="66" spans="1:4" x14ac:dyDescent="0.25">
      <c r="A66" t="s">
        <v>80</v>
      </c>
      <c r="B66" t="s">
        <v>374</v>
      </c>
      <c r="C66" t="s">
        <v>276</v>
      </c>
      <c r="D66">
        <v>-3</v>
      </c>
    </row>
    <row r="67" spans="1:4" x14ac:dyDescent="0.25">
      <c r="A67" t="s">
        <v>80</v>
      </c>
      <c r="B67" t="s">
        <v>374</v>
      </c>
      <c r="C67" t="s">
        <v>278</v>
      </c>
      <c r="D67">
        <v>-4</v>
      </c>
    </row>
    <row r="68" spans="1:4" x14ac:dyDescent="0.25">
      <c r="A68" t="s">
        <v>80</v>
      </c>
      <c r="B68" t="s">
        <v>1436</v>
      </c>
      <c r="C68" t="s">
        <v>1777</v>
      </c>
      <c r="D68">
        <v>-7</v>
      </c>
    </row>
    <row r="69" spans="1:4" x14ac:dyDescent="0.25">
      <c r="A69" t="s">
        <v>80</v>
      </c>
      <c r="B69" t="s">
        <v>524</v>
      </c>
      <c r="C69" t="s">
        <v>1778</v>
      </c>
      <c r="D69">
        <v>-9</v>
      </c>
    </row>
    <row r="70" spans="1:4" x14ac:dyDescent="0.25">
      <c r="A70" t="s">
        <v>80</v>
      </c>
      <c r="B70" t="s">
        <v>1376</v>
      </c>
      <c r="C70" t="s">
        <v>1779</v>
      </c>
      <c r="D70">
        <v>-11</v>
      </c>
    </row>
    <row r="71" spans="1:4" x14ac:dyDescent="0.25">
      <c r="A71" t="s">
        <v>80</v>
      </c>
      <c r="B71" t="s">
        <v>267</v>
      </c>
      <c r="C71" t="s">
        <v>1780</v>
      </c>
      <c r="D71">
        <v>-14</v>
      </c>
    </row>
    <row r="72" spans="1:4" x14ac:dyDescent="0.25">
      <c r="A72" t="s">
        <v>80</v>
      </c>
      <c r="B72" t="s">
        <v>394</v>
      </c>
      <c r="C72" t="s">
        <v>1781</v>
      </c>
      <c r="D72">
        <v>-13</v>
      </c>
    </row>
    <row r="73" spans="1:4" x14ac:dyDescent="0.25">
      <c r="A73" t="s">
        <v>80</v>
      </c>
      <c r="B73" t="s">
        <v>394</v>
      </c>
      <c r="C73" t="s">
        <v>1540</v>
      </c>
      <c r="D73">
        <v>-12</v>
      </c>
    </row>
    <row r="74" spans="1:4" x14ac:dyDescent="0.25">
      <c r="A74" t="s">
        <v>80</v>
      </c>
      <c r="B74" t="s">
        <v>235</v>
      </c>
      <c r="C74" t="s">
        <v>1782</v>
      </c>
      <c r="D74">
        <v>-11</v>
      </c>
    </row>
    <row r="75" spans="1:4" x14ac:dyDescent="0.25">
      <c r="A75" t="s">
        <v>80</v>
      </c>
      <c r="B75" t="s">
        <v>235</v>
      </c>
      <c r="C75" t="s">
        <v>1783</v>
      </c>
      <c r="D75">
        <v>-10</v>
      </c>
    </row>
    <row r="76" spans="1:4" x14ac:dyDescent="0.25">
      <c r="A76" t="s">
        <v>80</v>
      </c>
      <c r="B76" t="s">
        <v>78</v>
      </c>
      <c r="C76" t="s">
        <v>1784</v>
      </c>
      <c r="D76">
        <v>-11</v>
      </c>
    </row>
    <row r="77" spans="1:4" x14ac:dyDescent="0.25">
      <c r="A77" t="s">
        <v>80</v>
      </c>
      <c r="B77" t="s">
        <v>78</v>
      </c>
      <c r="C77" t="s">
        <v>1785</v>
      </c>
      <c r="D77">
        <v>-12</v>
      </c>
    </row>
    <row r="78" spans="1:4" x14ac:dyDescent="0.25">
      <c r="A78" t="s">
        <v>80</v>
      </c>
      <c r="B78" t="s">
        <v>78</v>
      </c>
      <c r="C78" t="s">
        <v>1786</v>
      </c>
      <c r="D78">
        <v>-13</v>
      </c>
    </row>
    <row r="79" spans="1:4" x14ac:dyDescent="0.25">
      <c r="A79" t="s">
        <v>123</v>
      </c>
      <c r="B79" t="s">
        <v>1787</v>
      </c>
      <c r="C79" t="s">
        <v>1544</v>
      </c>
      <c r="D79">
        <v>-12</v>
      </c>
    </row>
    <row r="80" spans="1:4" x14ac:dyDescent="0.25">
      <c r="A80" t="s">
        <v>123</v>
      </c>
      <c r="B80" t="s">
        <v>239</v>
      </c>
      <c r="C80" t="s">
        <v>1788</v>
      </c>
      <c r="D80">
        <v>-14</v>
      </c>
    </row>
    <row r="81" spans="1:4" x14ac:dyDescent="0.25">
      <c r="A81" t="s">
        <v>123</v>
      </c>
      <c r="B81" t="s">
        <v>823</v>
      </c>
      <c r="C81" t="s">
        <v>1251</v>
      </c>
      <c r="D81">
        <v>-17</v>
      </c>
    </row>
    <row r="82" spans="1:4" x14ac:dyDescent="0.25">
      <c r="A82" t="s">
        <v>123</v>
      </c>
      <c r="B82" t="s">
        <v>1789</v>
      </c>
      <c r="C82" t="s">
        <v>1550</v>
      </c>
      <c r="D82">
        <v>-15</v>
      </c>
    </row>
    <row r="83" spans="1:4" x14ac:dyDescent="0.25">
      <c r="A83" t="s">
        <v>123</v>
      </c>
      <c r="B83" t="s">
        <v>246</v>
      </c>
      <c r="C83" t="s">
        <v>1790</v>
      </c>
      <c r="D83">
        <v>-13</v>
      </c>
    </row>
    <row r="84" spans="1:4" x14ac:dyDescent="0.25">
      <c r="A84" t="s">
        <v>123</v>
      </c>
      <c r="B84" t="s">
        <v>175</v>
      </c>
      <c r="C84" t="s">
        <v>1791</v>
      </c>
      <c r="D84">
        <v>-14</v>
      </c>
    </row>
    <row r="85" spans="1:4" x14ac:dyDescent="0.25">
      <c r="A85" t="s">
        <v>123</v>
      </c>
      <c r="B85" t="s">
        <v>333</v>
      </c>
      <c r="C85" t="s">
        <v>1792</v>
      </c>
      <c r="D85">
        <v>-12</v>
      </c>
    </row>
    <row r="86" spans="1:4" x14ac:dyDescent="0.25">
      <c r="A86" t="s">
        <v>123</v>
      </c>
      <c r="B86" t="s">
        <v>916</v>
      </c>
      <c r="C86" t="s">
        <v>1793</v>
      </c>
      <c r="D86">
        <v>-14</v>
      </c>
    </row>
    <row r="87" spans="1:4" x14ac:dyDescent="0.25">
      <c r="A87" t="s">
        <v>123</v>
      </c>
      <c r="B87" t="s">
        <v>1013</v>
      </c>
      <c r="C87" t="s">
        <v>1794</v>
      </c>
      <c r="D87">
        <v>-12</v>
      </c>
    </row>
    <row r="88" spans="1:4" x14ac:dyDescent="0.25">
      <c r="A88" t="s">
        <v>123</v>
      </c>
      <c r="B88" t="s">
        <v>1795</v>
      </c>
      <c r="C88" t="s">
        <v>1554</v>
      </c>
      <c r="D88">
        <v>-14</v>
      </c>
    </row>
    <row r="89" spans="1:4" x14ac:dyDescent="0.25">
      <c r="A89" t="s">
        <v>123</v>
      </c>
      <c r="B89" t="s">
        <v>887</v>
      </c>
      <c r="C89" t="s">
        <v>1555</v>
      </c>
      <c r="D89">
        <v>-13</v>
      </c>
    </row>
    <row r="90" spans="1:4" x14ac:dyDescent="0.25">
      <c r="A90" t="s">
        <v>123</v>
      </c>
      <c r="B90" t="s">
        <v>1016</v>
      </c>
      <c r="C90" t="s">
        <v>1556</v>
      </c>
      <c r="D90">
        <v>-12</v>
      </c>
    </row>
    <row r="91" spans="1:4" x14ac:dyDescent="0.25">
      <c r="A91" t="s">
        <v>123</v>
      </c>
      <c r="B91" t="s">
        <v>1016</v>
      </c>
      <c r="C91" t="s">
        <v>1796</v>
      </c>
      <c r="D91">
        <v>-11</v>
      </c>
    </row>
    <row r="92" spans="1:4" x14ac:dyDescent="0.25">
      <c r="A92" t="s">
        <v>123</v>
      </c>
      <c r="B92" t="s">
        <v>890</v>
      </c>
      <c r="C92" t="s">
        <v>1797</v>
      </c>
      <c r="D92">
        <v>-13</v>
      </c>
    </row>
    <row r="93" spans="1:4" x14ac:dyDescent="0.25">
      <c r="A93" t="s">
        <v>123</v>
      </c>
      <c r="B93" t="s">
        <v>890</v>
      </c>
      <c r="C93" t="s">
        <v>1798</v>
      </c>
      <c r="D93">
        <v>-14</v>
      </c>
    </row>
    <row r="94" spans="1:4" x14ac:dyDescent="0.25">
      <c r="A94" t="s">
        <v>123</v>
      </c>
      <c r="B94" t="s">
        <v>1153</v>
      </c>
      <c r="C94" t="s">
        <v>1799</v>
      </c>
      <c r="D94">
        <v>-11</v>
      </c>
    </row>
    <row r="95" spans="1:4" x14ac:dyDescent="0.25">
      <c r="A95" t="s">
        <v>123</v>
      </c>
      <c r="B95" t="s">
        <v>1153</v>
      </c>
      <c r="C95" t="s">
        <v>1559</v>
      </c>
      <c r="D95">
        <v>-10</v>
      </c>
    </row>
    <row r="96" spans="1:4" x14ac:dyDescent="0.25">
      <c r="A96" t="s">
        <v>123</v>
      </c>
      <c r="B96" t="s">
        <v>987</v>
      </c>
      <c r="C96" t="s">
        <v>1800</v>
      </c>
      <c r="D96">
        <v>-11</v>
      </c>
    </row>
    <row r="97" spans="1:4" x14ac:dyDescent="0.25">
      <c r="A97" t="s">
        <v>123</v>
      </c>
      <c r="B97" t="s">
        <v>987</v>
      </c>
      <c r="C97" t="s">
        <v>1801</v>
      </c>
      <c r="D97">
        <v>-12</v>
      </c>
    </row>
    <row r="98" spans="1:4" x14ac:dyDescent="0.25">
      <c r="A98" t="s">
        <v>123</v>
      </c>
      <c r="B98" t="s">
        <v>70</v>
      </c>
      <c r="C98" t="s">
        <v>1560</v>
      </c>
      <c r="D98">
        <v>-13</v>
      </c>
    </row>
    <row r="99" spans="1:4" x14ac:dyDescent="0.25">
      <c r="A99" t="s">
        <v>123</v>
      </c>
      <c r="B99" t="s">
        <v>70</v>
      </c>
      <c r="C99" t="s">
        <v>1802</v>
      </c>
      <c r="D99">
        <v>-14</v>
      </c>
    </row>
    <row r="100" spans="1:4" x14ac:dyDescent="0.25">
      <c r="A100" t="s">
        <v>123</v>
      </c>
      <c r="B100" t="s">
        <v>1127</v>
      </c>
      <c r="C100" t="s">
        <v>1563</v>
      </c>
      <c r="D100">
        <v>-12</v>
      </c>
    </row>
    <row r="101" spans="1:4" x14ac:dyDescent="0.25">
      <c r="A101" t="s">
        <v>123</v>
      </c>
      <c r="B101" t="s">
        <v>503</v>
      </c>
      <c r="C101" t="s">
        <v>1803</v>
      </c>
      <c r="D101">
        <v>-14</v>
      </c>
    </row>
    <row r="102" spans="1:4" x14ac:dyDescent="0.25">
      <c r="A102" t="s">
        <v>123</v>
      </c>
      <c r="B102" t="s">
        <v>148</v>
      </c>
      <c r="C102" t="s">
        <v>1564</v>
      </c>
      <c r="D102">
        <v>-15</v>
      </c>
    </row>
    <row r="103" spans="1:4" x14ac:dyDescent="0.25">
      <c r="A103" t="s">
        <v>123</v>
      </c>
      <c r="B103" t="s">
        <v>148</v>
      </c>
      <c r="C103" t="s">
        <v>1804</v>
      </c>
      <c r="D103">
        <v>-16</v>
      </c>
    </row>
    <row r="104" spans="1:4" x14ac:dyDescent="0.25">
      <c r="A104" t="s">
        <v>123</v>
      </c>
      <c r="B104" t="s">
        <v>231</v>
      </c>
      <c r="C104" t="s">
        <v>1805</v>
      </c>
      <c r="D104">
        <v>-13</v>
      </c>
    </row>
    <row r="105" spans="1:4" x14ac:dyDescent="0.25">
      <c r="A105" t="s">
        <v>123</v>
      </c>
      <c r="B105" t="s">
        <v>1237</v>
      </c>
      <c r="C105" t="s">
        <v>1806</v>
      </c>
      <c r="D105">
        <v>-15</v>
      </c>
    </row>
    <row r="106" spans="1:4" x14ac:dyDescent="0.25">
      <c r="A106" t="s">
        <v>123</v>
      </c>
      <c r="B106" t="s">
        <v>74</v>
      </c>
      <c r="C106" t="s">
        <v>1807</v>
      </c>
      <c r="D106">
        <v>-16</v>
      </c>
    </row>
    <row r="107" spans="1:4" x14ac:dyDescent="0.25">
      <c r="A107" t="s">
        <v>123</v>
      </c>
      <c r="B107" t="s">
        <v>74</v>
      </c>
      <c r="C107" t="s">
        <v>1808</v>
      </c>
      <c r="D107">
        <v>-17</v>
      </c>
    </row>
    <row r="108" spans="1:4" x14ac:dyDescent="0.25">
      <c r="A108" t="s">
        <v>123</v>
      </c>
      <c r="B108" t="s">
        <v>1809</v>
      </c>
      <c r="C108" t="s">
        <v>1810</v>
      </c>
      <c r="D108">
        <v>-14</v>
      </c>
    </row>
    <row r="109" spans="1:4" x14ac:dyDescent="0.25">
      <c r="A109" t="s">
        <v>123</v>
      </c>
      <c r="B109" t="s">
        <v>1646</v>
      </c>
      <c r="C109" t="s">
        <v>1811</v>
      </c>
      <c r="D109">
        <v>-15</v>
      </c>
    </row>
    <row r="110" spans="1:4" x14ac:dyDescent="0.25">
      <c r="A110" t="s">
        <v>123</v>
      </c>
      <c r="B110" t="s">
        <v>1646</v>
      </c>
      <c r="C110" t="s">
        <v>1812</v>
      </c>
      <c r="D110">
        <v>-16</v>
      </c>
    </row>
    <row r="111" spans="1:4" x14ac:dyDescent="0.25">
      <c r="A111" t="s">
        <v>123</v>
      </c>
      <c r="B111" t="s">
        <v>154</v>
      </c>
      <c r="C111" t="s">
        <v>1813</v>
      </c>
      <c r="D111">
        <v>-13</v>
      </c>
    </row>
    <row r="112" spans="1:4" x14ac:dyDescent="0.25">
      <c r="A112" t="s">
        <v>123</v>
      </c>
      <c r="B112" t="s">
        <v>537</v>
      </c>
      <c r="C112" t="s">
        <v>1814</v>
      </c>
      <c r="D112">
        <v>-14</v>
      </c>
    </row>
    <row r="113" spans="1:4" x14ac:dyDescent="0.25">
      <c r="A113" t="s">
        <v>123</v>
      </c>
      <c r="B113" t="s">
        <v>537</v>
      </c>
      <c r="C113" t="s">
        <v>1815</v>
      </c>
      <c r="D113">
        <v>-15</v>
      </c>
    </row>
    <row r="115" spans="1:4" x14ac:dyDescent="0.25">
      <c r="A115" s="2" t="s">
        <v>157</v>
      </c>
    </row>
    <row r="116" spans="1:4" x14ac:dyDescent="0.25">
      <c r="A116" t="s">
        <v>158</v>
      </c>
      <c r="D116">
        <f>AVERAGE(D2:D113)</f>
        <v>-5.7053571428571432</v>
      </c>
    </row>
    <row r="117" spans="1:4" x14ac:dyDescent="0.25">
      <c r="A117" t="s">
        <v>159</v>
      </c>
      <c r="D117">
        <f>MAX(D2:D113)</f>
        <v>7</v>
      </c>
    </row>
    <row r="118" spans="1:4" x14ac:dyDescent="0.25">
      <c r="A118" t="s">
        <v>160</v>
      </c>
      <c r="D118">
        <f>MIN(D2:D113)</f>
        <v>-17</v>
      </c>
    </row>
    <row r="119" spans="1:4" x14ac:dyDescent="0.25">
      <c r="A119" t="s">
        <v>161</v>
      </c>
      <c r="D119">
        <f>COUNTIF(D2:D113,"&gt;0")</f>
        <v>28</v>
      </c>
    </row>
    <row r="120" spans="1:4" x14ac:dyDescent="0.25">
      <c r="A120" t="s">
        <v>162</v>
      </c>
      <c r="D120">
        <f>COUNTIF(D2:D113,"=0")</f>
        <v>1</v>
      </c>
    </row>
    <row r="121" spans="1:4" x14ac:dyDescent="0.25">
      <c r="A121" t="s">
        <v>1428</v>
      </c>
      <c r="D121">
        <f>COUNTIF(D2:D113,"&lt;0")</f>
        <v>83</v>
      </c>
    </row>
    <row r="123" spans="1:4" x14ac:dyDescent="0.25">
      <c r="A123" s="2" t="s">
        <v>164</v>
      </c>
    </row>
    <row r="124" spans="1:4" x14ac:dyDescent="0.25">
      <c r="A124" t="s">
        <v>165</v>
      </c>
      <c r="D124">
        <f>AVERAGE(D2,D3,D4,D5,D6,D7,D8,D9,D10,D11,D12,D13,D14,D15,D16,D17,D18,D19,D20,D21,D22,D23,D24,D25,D26,D27,D28,D29)</f>
        <v>-0.25</v>
      </c>
    </row>
    <row r="125" spans="1:4" x14ac:dyDescent="0.25">
      <c r="A125" t="s">
        <v>166</v>
      </c>
      <c r="D125">
        <f>AVERAGE(D30,D31,D32,D33,D34,D35,D36,D37,D38,D39,D40,D41,D42,D43,D44,D45,D46,D47,D48,D49,D50,D51,D52,D53)</f>
        <v>0.75</v>
      </c>
    </row>
    <row r="126" spans="1:4" x14ac:dyDescent="0.25">
      <c r="A126" t="s">
        <v>167</v>
      </c>
      <c r="D126">
        <f>AVERAGE(D54,D55,D56,D57,D58,D59,D60,D61,D62,D63,D64,D65,D66,D67,D68,D69,D70,D71,D72,D73,D74,D75,D76,D77,D78)</f>
        <v>-6.96</v>
      </c>
    </row>
    <row r="127" spans="1:4" x14ac:dyDescent="0.25">
      <c r="A127" t="s">
        <v>168</v>
      </c>
      <c r="D127">
        <f>AVERAGE(D79,D80,D81,D82,D83,D84,D85,D86,D87,D88,D89,D90,D91,D92,D93,D94,D95,D96,D97,D98,D99,D100,D101,D102,D103,D104,D105,D106,D107,D108,D109,D110,D111,D112,D113)</f>
        <v>-13.6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1006</v>
      </c>
    </row>
    <row r="2" spans="1:4" x14ac:dyDescent="0.25">
      <c r="A2" t="s">
        <v>4</v>
      </c>
      <c r="B2" t="s">
        <v>1208</v>
      </c>
      <c r="C2" t="s">
        <v>6</v>
      </c>
      <c r="D2">
        <v>2</v>
      </c>
    </row>
    <row r="3" spans="1:4" x14ac:dyDescent="0.25">
      <c r="A3" t="s">
        <v>4</v>
      </c>
      <c r="B3" t="s">
        <v>1648</v>
      </c>
      <c r="C3" t="s">
        <v>8</v>
      </c>
      <c r="D3">
        <v>0</v>
      </c>
    </row>
    <row r="4" spans="1:4" x14ac:dyDescent="0.25">
      <c r="A4" t="s">
        <v>4</v>
      </c>
      <c r="B4" t="s">
        <v>128</v>
      </c>
      <c r="C4" t="s">
        <v>564</v>
      </c>
      <c r="D4">
        <v>2</v>
      </c>
    </row>
    <row r="5" spans="1:4" x14ac:dyDescent="0.25">
      <c r="A5" t="s">
        <v>4</v>
      </c>
      <c r="B5" t="s">
        <v>691</v>
      </c>
      <c r="C5" t="s">
        <v>12</v>
      </c>
      <c r="D5">
        <v>0</v>
      </c>
    </row>
    <row r="6" spans="1:4" x14ac:dyDescent="0.25">
      <c r="A6" t="s">
        <v>4</v>
      </c>
      <c r="B6" t="s">
        <v>954</v>
      </c>
      <c r="C6" t="s">
        <v>178</v>
      </c>
      <c r="D6">
        <v>2</v>
      </c>
    </row>
    <row r="7" spans="1:4" x14ac:dyDescent="0.25">
      <c r="A7" t="s">
        <v>4</v>
      </c>
      <c r="B7" t="s">
        <v>588</v>
      </c>
      <c r="C7" t="s">
        <v>16</v>
      </c>
      <c r="D7">
        <v>-1</v>
      </c>
    </row>
    <row r="8" spans="1:4" x14ac:dyDescent="0.25">
      <c r="A8" t="s">
        <v>4</v>
      </c>
      <c r="B8" t="s">
        <v>431</v>
      </c>
      <c r="C8" t="s">
        <v>569</v>
      </c>
      <c r="D8">
        <v>2</v>
      </c>
    </row>
    <row r="9" spans="1:4" x14ac:dyDescent="0.25">
      <c r="A9" t="s">
        <v>4</v>
      </c>
      <c r="B9" t="s">
        <v>572</v>
      </c>
      <c r="C9" t="s">
        <v>571</v>
      </c>
      <c r="D9">
        <v>0</v>
      </c>
    </row>
    <row r="10" spans="1:4" x14ac:dyDescent="0.25">
      <c r="A10" t="s">
        <v>4</v>
      </c>
      <c r="B10" t="s">
        <v>1816</v>
      </c>
      <c r="C10" t="s">
        <v>1744</v>
      </c>
      <c r="D10">
        <v>-2</v>
      </c>
    </row>
    <row r="11" spans="1:4" x14ac:dyDescent="0.25">
      <c r="A11" t="s">
        <v>4</v>
      </c>
      <c r="B11" t="s">
        <v>138</v>
      </c>
      <c r="C11" t="s">
        <v>574</v>
      </c>
      <c r="D11">
        <v>0</v>
      </c>
    </row>
    <row r="12" spans="1:4" x14ac:dyDescent="0.25">
      <c r="A12" t="s">
        <v>4</v>
      </c>
      <c r="B12" t="s">
        <v>1817</v>
      </c>
      <c r="C12" t="s">
        <v>1818</v>
      </c>
      <c r="D12">
        <v>2</v>
      </c>
    </row>
    <row r="13" spans="1:4" x14ac:dyDescent="0.25">
      <c r="A13" t="s">
        <v>4</v>
      </c>
      <c r="B13" t="s">
        <v>219</v>
      </c>
      <c r="C13" t="s">
        <v>1435</v>
      </c>
      <c r="D13">
        <v>-1</v>
      </c>
    </row>
    <row r="14" spans="1:4" x14ac:dyDescent="0.25">
      <c r="A14" t="s">
        <v>4</v>
      </c>
      <c r="B14" t="s">
        <v>1819</v>
      </c>
      <c r="C14" t="s">
        <v>921</v>
      </c>
      <c r="D14">
        <v>1</v>
      </c>
    </row>
    <row r="15" spans="1:4" x14ac:dyDescent="0.25">
      <c r="A15" t="s">
        <v>4</v>
      </c>
      <c r="B15" t="s">
        <v>144</v>
      </c>
      <c r="C15" t="s">
        <v>1505</v>
      </c>
      <c r="D15">
        <v>-2</v>
      </c>
    </row>
    <row r="16" spans="1:4" x14ac:dyDescent="0.25">
      <c r="A16" t="s">
        <v>4</v>
      </c>
      <c r="B16" t="s">
        <v>27</v>
      </c>
      <c r="C16" t="s">
        <v>1820</v>
      </c>
      <c r="D16">
        <v>0</v>
      </c>
    </row>
    <row r="17" spans="1:4" x14ac:dyDescent="0.25">
      <c r="A17" t="s">
        <v>4</v>
      </c>
      <c r="B17" t="s">
        <v>1750</v>
      </c>
      <c r="C17" t="s">
        <v>1821</v>
      </c>
      <c r="D17">
        <v>-2</v>
      </c>
    </row>
    <row r="18" spans="1:4" x14ac:dyDescent="0.25">
      <c r="A18" t="s">
        <v>4</v>
      </c>
      <c r="B18" t="s">
        <v>1622</v>
      </c>
      <c r="C18" t="s">
        <v>585</v>
      </c>
      <c r="D18">
        <v>0</v>
      </c>
    </row>
    <row r="19" spans="1:4" x14ac:dyDescent="0.25">
      <c r="A19" t="s">
        <v>4</v>
      </c>
      <c r="B19" t="s">
        <v>508</v>
      </c>
      <c r="C19" t="s">
        <v>1822</v>
      </c>
      <c r="D19">
        <v>2</v>
      </c>
    </row>
    <row r="20" spans="1:4" x14ac:dyDescent="0.25">
      <c r="A20" t="s">
        <v>40</v>
      </c>
      <c r="B20" t="s">
        <v>795</v>
      </c>
      <c r="C20" t="s">
        <v>1438</v>
      </c>
      <c r="D20">
        <v>0</v>
      </c>
    </row>
    <row r="21" spans="1:4" x14ac:dyDescent="0.25">
      <c r="A21" t="s">
        <v>40</v>
      </c>
      <c r="B21" t="s">
        <v>1648</v>
      </c>
      <c r="C21" t="s">
        <v>1823</v>
      </c>
      <c r="D21">
        <v>2</v>
      </c>
    </row>
    <row r="22" spans="1:4" x14ac:dyDescent="0.25">
      <c r="A22" t="s">
        <v>40</v>
      </c>
      <c r="B22" t="s">
        <v>777</v>
      </c>
      <c r="C22" t="s">
        <v>1439</v>
      </c>
      <c r="D22">
        <v>4</v>
      </c>
    </row>
    <row r="23" spans="1:4" x14ac:dyDescent="0.25">
      <c r="A23" t="s">
        <v>40</v>
      </c>
      <c r="B23" t="s">
        <v>1057</v>
      </c>
      <c r="C23" t="s">
        <v>1440</v>
      </c>
      <c r="D23">
        <v>2</v>
      </c>
    </row>
    <row r="24" spans="1:4" x14ac:dyDescent="0.25">
      <c r="A24" t="s">
        <v>40</v>
      </c>
      <c r="B24" t="s">
        <v>1027</v>
      </c>
      <c r="C24" t="s">
        <v>717</v>
      </c>
      <c r="D24">
        <v>4</v>
      </c>
    </row>
    <row r="25" spans="1:4" x14ac:dyDescent="0.25">
      <c r="A25" t="s">
        <v>40</v>
      </c>
      <c r="B25" t="s">
        <v>721</v>
      </c>
      <c r="C25" t="s">
        <v>718</v>
      </c>
      <c r="D25">
        <v>1</v>
      </c>
    </row>
    <row r="26" spans="1:4" x14ac:dyDescent="0.25">
      <c r="A26" t="s">
        <v>40</v>
      </c>
      <c r="B26" t="s">
        <v>1824</v>
      </c>
      <c r="C26" t="s">
        <v>1512</v>
      </c>
      <c r="D26">
        <v>-2</v>
      </c>
    </row>
    <row r="27" spans="1:4" x14ac:dyDescent="0.25">
      <c r="A27" t="s">
        <v>40</v>
      </c>
      <c r="B27" t="s">
        <v>132</v>
      </c>
      <c r="C27" t="s">
        <v>1825</v>
      </c>
      <c r="D27">
        <v>0</v>
      </c>
    </row>
    <row r="28" spans="1:4" x14ac:dyDescent="0.25">
      <c r="A28" t="s">
        <v>40</v>
      </c>
      <c r="B28" t="s">
        <v>1826</v>
      </c>
      <c r="C28" t="s">
        <v>1663</v>
      </c>
      <c r="D28">
        <v>-3</v>
      </c>
    </row>
    <row r="29" spans="1:4" x14ac:dyDescent="0.25">
      <c r="A29" t="s">
        <v>40</v>
      </c>
      <c r="B29" t="s">
        <v>333</v>
      </c>
      <c r="C29" t="s">
        <v>466</v>
      </c>
      <c r="D29">
        <v>0</v>
      </c>
    </row>
    <row r="30" spans="1:4" x14ac:dyDescent="0.25">
      <c r="A30" t="s">
        <v>40</v>
      </c>
      <c r="B30" t="s">
        <v>572</v>
      </c>
      <c r="C30" t="s">
        <v>1827</v>
      </c>
      <c r="D30">
        <v>-2</v>
      </c>
    </row>
    <row r="31" spans="1:4" x14ac:dyDescent="0.25">
      <c r="A31" t="s">
        <v>40</v>
      </c>
      <c r="B31" t="s">
        <v>868</v>
      </c>
      <c r="C31" t="s">
        <v>470</v>
      </c>
      <c r="D31">
        <v>0</v>
      </c>
    </row>
    <row r="32" spans="1:4" x14ac:dyDescent="0.25">
      <c r="A32" t="s">
        <v>40</v>
      </c>
      <c r="B32" t="s">
        <v>58</v>
      </c>
      <c r="C32" t="s">
        <v>1828</v>
      </c>
      <c r="D32">
        <v>-2</v>
      </c>
    </row>
    <row r="33" spans="1:4" x14ac:dyDescent="0.25">
      <c r="A33" t="s">
        <v>40</v>
      </c>
      <c r="B33" t="s">
        <v>1288</v>
      </c>
      <c r="C33" t="s">
        <v>1720</v>
      </c>
      <c r="D33">
        <v>-4</v>
      </c>
    </row>
    <row r="34" spans="1:4" x14ac:dyDescent="0.25">
      <c r="A34" t="s">
        <v>40</v>
      </c>
      <c r="B34" t="s">
        <v>1829</v>
      </c>
      <c r="C34" t="s">
        <v>1830</v>
      </c>
      <c r="D34">
        <v>-1</v>
      </c>
    </row>
    <row r="35" spans="1:4" x14ac:dyDescent="0.25">
      <c r="A35" t="s">
        <v>40</v>
      </c>
      <c r="B35" t="s">
        <v>1503</v>
      </c>
      <c r="C35" t="s">
        <v>1831</v>
      </c>
      <c r="D35">
        <v>-4</v>
      </c>
    </row>
    <row r="36" spans="1:4" x14ac:dyDescent="0.25">
      <c r="A36" t="s">
        <v>40</v>
      </c>
      <c r="B36" t="s">
        <v>341</v>
      </c>
      <c r="C36" t="s">
        <v>1832</v>
      </c>
      <c r="D36">
        <v>-6</v>
      </c>
    </row>
    <row r="37" spans="1:4" x14ac:dyDescent="0.25">
      <c r="A37" t="s">
        <v>40</v>
      </c>
      <c r="B37" t="s">
        <v>25</v>
      </c>
      <c r="C37" t="s">
        <v>617</v>
      </c>
      <c r="D37">
        <v>-4</v>
      </c>
    </row>
    <row r="38" spans="1:4" x14ac:dyDescent="0.25">
      <c r="A38" t="s">
        <v>40</v>
      </c>
      <c r="B38" t="s">
        <v>25</v>
      </c>
      <c r="C38" t="s">
        <v>1521</v>
      </c>
      <c r="D38">
        <v>-3</v>
      </c>
    </row>
    <row r="39" spans="1:4" x14ac:dyDescent="0.25">
      <c r="A39" t="s">
        <v>40</v>
      </c>
      <c r="B39" t="s">
        <v>442</v>
      </c>
      <c r="C39" t="s">
        <v>1833</v>
      </c>
      <c r="D39">
        <v>-5</v>
      </c>
    </row>
    <row r="40" spans="1:4" x14ac:dyDescent="0.25">
      <c r="A40" t="s">
        <v>40</v>
      </c>
      <c r="B40" t="s">
        <v>442</v>
      </c>
      <c r="C40" t="s">
        <v>818</v>
      </c>
      <c r="D40">
        <v>-6</v>
      </c>
    </row>
    <row r="41" spans="1:4" x14ac:dyDescent="0.25">
      <c r="A41" t="s">
        <v>40</v>
      </c>
      <c r="B41" t="s">
        <v>813</v>
      </c>
      <c r="C41" t="s">
        <v>820</v>
      </c>
      <c r="D41">
        <v>-8</v>
      </c>
    </row>
    <row r="42" spans="1:4" x14ac:dyDescent="0.25">
      <c r="A42" t="s">
        <v>40</v>
      </c>
      <c r="B42" t="s">
        <v>389</v>
      </c>
      <c r="C42" t="s">
        <v>622</v>
      </c>
      <c r="D42">
        <v>-6</v>
      </c>
    </row>
    <row r="43" spans="1:4" x14ac:dyDescent="0.25">
      <c r="A43" t="s">
        <v>40</v>
      </c>
      <c r="B43" t="s">
        <v>296</v>
      </c>
      <c r="C43" t="s">
        <v>624</v>
      </c>
      <c r="D43">
        <v>-4</v>
      </c>
    </row>
    <row r="44" spans="1:4" x14ac:dyDescent="0.25">
      <c r="A44" t="s">
        <v>40</v>
      </c>
      <c r="B44" t="s">
        <v>296</v>
      </c>
      <c r="C44" t="s">
        <v>255</v>
      </c>
      <c r="D44">
        <v>-3</v>
      </c>
    </row>
    <row r="45" spans="1:4" x14ac:dyDescent="0.25">
      <c r="A45" t="s">
        <v>40</v>
      </c>
      <c r="B45" t="s">
        <v>972</v>
      </c>
      <c r="C45" t="s">
        <v>258</v>
      </c>
      <c r="D45">
        <v>-1</v>
      </c>
    </row>
    <row r="46" spans="1:4" x14ac:dyDescent="0.25">
      <c r="A46" t="s">
        <v>40</v>
      </c>
      <c r="B46" t="s">
        <v>817</v>
      </c>
      <c r="C46" t="s">
        <v>742</v>
      </c>
      <c r="D46">
        <v>-2</v>
      </c>
    </row>
    <row r="47" spans="1:4" x14ac:dyDescent="0.25">
      <c r="A47" t="s">
        <v>40</v>
      </c>
      <c r="B47" t="s">
        <v>817</v>
      </c>
      <c r="C47" t="s">
        <v>260</v>
      </c>
      <c r="D47">
        <v>-3</v>
      </c>
    </row>
    <row r="48" spans="1:4" x14ac:dyDescent="0.25">
      <c r="A48" t="s">
        <v>80</v>
      </c>
      <c r="B48" t="s">
        <v>1055</v>
      </c>
      <c r="C48" t="s">
        <v>262</v>
      </c>
      <c r="D48">
        <v>-1</v>
      </c>
    </row>
    <row r="49" spans="1:4" x14ac:dyDescent="0.25">
      <c r="A49" t="s">
        <v>80</v>
      </c>
      <c r="B49" t="s">
        <v>428</v>
      </c>
      <c r="C49" t="s">
        <v>1834</v>
      </c>
      <c r="D49">
        <v>2</v>
      </c>
    </row>
    <row r="50" spans="1:4" x14ac:dyDescent="0.25">
      <c r="A50" t="s">
        <v>80</v>
      </c>
      <c r="B50" t="s">
        <v>9</v>
      </c>
      <c r="C50" t="s">
        <v>1835</v>
      </c>
      <c r="D50">
        <v>4</v>
      </c>
    </row>
    <row r="51" spans="1:4" x14ac:dyDescent="0.25">
      <c r="A51" t="s">
        <v>80</v>
      </c>
      <c r="B51" t="s">
        <v>1836</v>
      </c>
      <c r="C51" t="s">
        <v>495</v>
      </c>
      <c r="D51">
        <v>5</v>
      </c>
    </row>
    <row r="52" spans="1:4" x14ac:dyDescent="0.25">
      <c r="A52" t="s">
        <v>80</v>
      </c>
      <c r="B52" t="s">
        <v>1836</v>
      </c>
      <c r="C52" t="s">
        <v>1837</v>
      </c>
      <c r="D52">
        <v>6</v>
      </c>
    </row>
    <row r="53" spans="1:4" x14ac:dyDescent="0.25">
      <c r="A53" t="s">
        <v>80</v>
      </c>
      <c r="B53" t="s">
        <v>361</v>
      </c>
      <c r="C53" t="s">
        <v>1531</v>
      </c>
      <c r="D53">
        <v>4</v>
      </c>
    </row>
    <row r="54" spans="1:4" x14ac:dyDescent="0.25">
      <c r="A54" t="s">
        <v>80</v>
      </c>
      <c r="B54" t="s">
        <v>937</v>
      </c>
      <c r="C54" t="s">
        <v>1838</v>
      </c>
      <c r="D54">
        <v>6</v>
      </c>
    </row>
    <row r="55" spans="1:4" x14ac:dyDescent="0.25">
      <c r="A55" t="s">
        <v>80</v>
      </c>
      <c r="B55" t="s">
        <v>651</v>
      </c>
      <c r="C55" t="s">
        <v>1839</v>
      </c>
      <c r="D55">
        <v>4</v>
      </c>
    </row>
    <row r="56" spans="1:4" x14ac:dyDescent="0.25">
      <c r="A56" t="s">
        <v>80</v>
      </c>
      <c r="B56" t="s">
        <v>870</v>
      </c>
      <c r="C56" t="s">
        <v>1606</v>
      </c>
      <c r="D56">
        <v>7</v>
      </c>
    </row>
    <row r="57" spans="1:4" x14ac:dyDescent="0.25">
      <c r="A57" t="s">
        <v>80</v>
      </c>
      <c r="B57" t="s">
        <v>186</v>
      </c>
      <c r="C57" t="s">
        <v>502</v>
      </c>
      <c r="D57">
        <v>4</v>
      </c>
    </row>
    <row r="58" spans="1:4" x14ac:dyDescent="0.25">
      <c r="A58" t="s">
        <v>80</v>
      </c>
      <c r="B58" t="s">
        <v>261</v>
      </c>
      <c r="C58" t="s">
        <v>1840</v>
      </c>
      <c r="D58">
        <v>2</v>
      </c>
    </row>
    <row r="59" spans="1:4" x14ac:dyDescent="0.25">
      <c r="A59" t="s">
        <v>80</v>
      </c>
      <c r="B59" t="s">
        <v>1231</v>
      </c>
      <c r="C59" t="s">
        <v>1841</v>
      </c>
      <c r="D59">
        <v>4</v>
      </c>
    </row>
    <row r="60" spans="1:4" x14ac:dyDescent="0.25">
      <c r="A60" t="s">
        <v>80</v>
      </c>
      <c r="B60" t="s">
        <v>108</v>
      </c>
      <c r="C60" t="s">
        <v>1736</v>
      </c>
      <c r="D60">
        <v>2</v>
      </c>
    </row>
    <row r="61" spans="1:4" x14ac:dyDescent="0.25">
      <c r="A61" t="s">
        <v>80</v>
      </c>
      <c r="B61" t="s">
        <v>317</v>
      </c>
      <c r="C61" t="s">
        <v>1842</v>
      </c>
      <c r="D61">
        <v>5</v>
      </c>
    </row>
    <row r="62" spans="1:4" x14ac:dyDescent="0.25">
      <c r="A62" t="s">
        <v>80</v>
      </c>
      <c r="B62" t="s">
        <v>1638</v>
      </c>
      <c r="C62" t="s">
        <v>760</v>
      </c>
      <c r="D62">
        <v>3</v>
      </c>
    </row>
    <row r="63" spans="1:4" x14ac:dyDescent="0.25">
      <c r="A63" t="s">
        <v>80</v>
      </c>
      <c r="B63" t="s">
        <v>1739</v>
      </c>
      <c r="C63" t="s">
        <v>761</v>
      </c>
      <c r="D63">
        <v>5</v>
      </c>
    </row>
    <row r="64" spans="1:4" x14ac:dyDescent="0.25">
      <c r="A64" t="s">
        <v>80</v>
      </c>
      <c r="B64" t="s">
        <v>1843</v>
      </c>
      <c r="C64" t="s">
        <v>404</v>
      </c>
      <c r="D64">
        <v>7</v>
      </c>
    </row>
    <row r="65" spans="1:4" x14ac:dyDescent="0.25">
      <c r="A65" t="s">
        <v>80</v>
      </c>
      <c r="B65" t="s">
        <v>1844</v>
      </c>
      <c r="C65" t="s">
        <v>1178</v>
      </c>
      <c r="D65">
        <v>4</v>
      </c>
    </row>
    <row r="66" spans="1:4" x14ac:dyDescent="0.25">
      <c r="A66" t="s">
        <v>80</v>
      </c>
      <c r="B66" t="s">
        <v>233</v>
      </c>
      <c r="C66" t="s">
        <v>1179</v>
      </c>
      <c r="D66">
        <v>6</v>
      </c>
    </row>
    <row r="67" spans="1:4" x14ac:dyDescent="0.25">
      <c r="A67" t="s">
        <v>80</v>
      </c>
      <c r="B67" t="s">
        <v>1845</v>
      </c>
      <c r="C67" t="s">
        <v>765</v>
      </c>
      <c r="D67">
        <v>7</v>
      </c>
    </row>
    <row r="68" spans="1:4" x14ac:dyDescent="0.25">
      <c r="A68" t="s">
        <v>80</v>
      </c>
      <c r="B68" t="s">
        <v>350</v>
      </c>
      <c r="C68" t="s">
        <v>1846</v>
      </c>
      <c r="D68">
        <v>6</v>
      </c>
    </row>
    <row r="69" spans="1:4" x14ac:dyDescent="0.25">
      <c r="A69" t="s">
        <v>80</v>
      </c>
      <c r="B69" t="s">
        <v>350</v>
      </c>
      <c r="C69" t="s">
        <v>1847</v>
      </c>
      <c r="D69">
        <v>5</v>
      </c>
    </row>
    <row r="70" spans="1:4" x14ac:dyDescent="0.25">
      <c r="A70" t="s">
        <v>80</v>
      </c>
      <c r="B70" t="s">
        <v>817</v>
      </c>
      <c r="C70" t="s">
        <v>1848</v>
      </c>
      <c r="D70">
        <v>8</v>
      </c>
    </row>
    <row r="71" spans="1:4" x14ac:dyDescent="0.25">
      <c r="A71" t="s">
        <v>123</v>
      </c>
      <c r="B71" t="s">
        <v>124</v>
      </c>
      <c r="C71" t="s">
        <v>1182</v>
      </c>
      <c r="D71">
        <v>7</v>
      </c>
    </row>
    <row r="72" spans="1:4" x14ac:dyDescent="0.25">
      <c r="A72" t="s">
        <v>123</v>
      </c>
      <c r="B72" t="s">
        <v>124</v>
      </c>
      <c r="C72" t="s">
        <v>1618</v>
      </c>
      <c r="D72">
        <v>6</v>
      </c>
    </row>
    <row r="73" spans="1:4" x14ac:dyDescent="0.25">
      <c r="A73" t="s">
        <v>123</v>
      </c>
      <c r="B73" t="s">
        <v>1849</v>
      </c>
      <c r="C73" t="s">
        <v>666</v>
      </c>
      <c r="D73">
        <v>3</v>
      </c>
    </row>
    <row r="74" spans="1:4" x14ac:dyDescent="0.25">
      <c r="A74" t="s">
        <v>123</v>
      </c>
      <c r="B74" t="s">
        <v>1117</v>
      </c>
      <c r="C74" t="s">
        <v>1850</v>
      </c>
      <c r="D74">
        <v>4</v>
      </c>
    </row>
    <row r="75" spans="1:4" x14ac:dyDescent="0.25">
      <c r="A75" t="s">
        <v>123</v>
      </c>
      <c r="B75" t="s">
        <v>1851</v>
      </c>
      <c r="C75" t="s">
        <v>1852</v>
      </c>
      <c r="D75">
        <v>7</v>
      </c>
    </row>
    <row r="76" spans="1:4" x14ac:dyDescent="0.25">
      <c r="A76" t="s">
        <v>123</v>
      </c>
      <c r="B76" t="s">
        <v>916</v>
      </c>
      <c r="C76" t="s">
        <v>1853</v>
      </c>
      <c r="D76">
        <v>10</v>
      </c>
    </row>
    <row r="77" spans="1:4" x14ac:dyDescent="0.25">
      <c r="A77" t="s">
        <v>123</v>
      </c>
      <c r="B77" t="s">
        <v>1033</v>
      </c>
      <c r="C77" t="s">
        <v>678</v>
      </c>
      <c r="D77">
        <v>7</v>
      </c>
    </row>
    <row r="78" spans="1:4" x14ac:dyDescent="0.25">
      <c r="A78" t="s">
        <v>123</v>
      </c>
      <c r="B78" t="s">
        <v>465</v>
      </c>
      <c r="C78" t="s">
        <v>1854</v>
      </c>
      <c r="D78">
        <v>4</v>
      </c>
    </row>
    <row r="79" spans="1:4" x14ac:dyDescent="0.25">
      <c r="A79" t="s">
        <v>123</v>
      </c>
      <c r="B79" t="s">
        <v>1855</v>
      </c>
      <c r="C79" t="s">
        <v>1856</v>
      </c>
      <c r="D79">
        <v>7</v>
      </c>
    </row>
    <row r="80" spans="1:4" x14ac:dyDescent="0.25">
      <c r="A80" t="s">
        <v>123</v>
      </c>
      <c r="B80" t="s">
        <v>1536</v>
      </c>
      <c r="C80" t="s">
        <v>1857</v>
      </c>
      <c r="D80">
        <v>9</v>
      </c>
    </row>
    <row r="81" spans="1:4" x14ac:dyDescent="0.25">
      <c r="A81" t="s">
        <v>123</v>
      </c>
      <c r="B81" t="s">
        <v>440</v>
      </c>
      <c r="C81" t="s">
        <v>1858</v>
      </c>
      <c r="D81">
        <v>11</v>
      </c>
    </row>
    <row r="82" spans="1:4" x14ac:dyDescent="0.25">
      <c r="A82" t="s">
        <v>123</v>
      </c>
      <c r="B82" t="s">
        <v>114</v>
      </c>
      <c r="C82" t="s">
        <v>1859</v>
      </c>
      <c r="D82">
        <v>8</v>
      </c>
    </row>
    <row r="83" spans="1:4" x14ac:dyDescent="0.25">
      <c r="A83" t="s">
        <v>123</v>
      </c>
      <c r="B83" t="s">
        <v>503</v>
      </c>
      <c r="C83" t="s">
        <v>1860</v>
      </c>
      <c r="D83">
        <v>10</v>
      </c>
    </row>
    <row r="84" spans="1:4" x14ac:dyDescent="0.25">
      <c r="A84" t="s">
        <v>123</v>
      </c>
      <c r="B84" t="s">
        <v>1076</v>
      </c>
      <c r="C84" t="s">
        <v>1861</v>
      </c>
      <c r="D84">
        <v>8</v>
      </c>
    </row>
    <row r="85" spans="1:4" x14ac:dyDescent="0.25">
      <c r="A85" t="s">
        <v>123</v>
      </c>
      <c r="B85" t="s">
        <v>202</v>
      </c>
      <c r="C85" t="s">
        <v>1862</v>
      </c>
      <c r="D85">
        <v>9</v>
      </c>
    </row>
    <row r="86" spans="1:4" x14ac:dyDescent="0.25">
      <c r="A86" t="s">
        <v>123</v>
      </c>
      <c r="B86" t="s">
        <v>202</v>
      </c>
      <c r="C86" t="s">
        <v>1863</v>
      </c>
      <c r="D86">
        <v>10</v>
      </c>
    </row>
    <row r="87" spans="1:4" x14ac:dyDescent="0.25">
      <c r="A87" t="s">
        <v>123</v>
      </c>
      <c r="B87" t="s">
        <v>1002</v>
      </c>
      <c r="C87" t="s">
        <v>1864</v>
      </c>
      <c r="D87">
        <v>8</v>
      </c>
    </row>
    <row r="88" spans="1:4" x14ac:dyDescent="0.25">
      <c r="A88" t="s">
        <v>123</v>
      </c>
      <c r="B88" t="s">
        <v>1568</v>
      </c>
      <c r="C88" t="s">
        <v>1865</v>
      </c>
      <c r="D88">
        <v>9</v>
      </c>
    </row>
    <row r="89" spans="1:4" x14ac:dyDescent="0.25">
      <c r="A89" t="s">
        <v>123</v>
      </c>
      <c r="B89" t="s">
        <v>1568</v>
      </c>
      <c r="C89" t="s">
        <v>1866</v>
      </c>
      <c r="D89">
        <v>10</v>
      </c>
    </row>
    <row r="90" spans="1:4" x14ac:dyDescent="0.25">
      <c r="A90" t="s">
        <v>123</v>
      </c>
      <c r="B90" t="s">
        <v>584</v>
      </c>
      <c r="C90" t="s">
        <v>1867</v>
      </c>
      <c r="D90">
        <v>8</v>
      </c>
    </row>
    <row r="91" spans="1:4" x14ac:dyDescent="0.25">
      <c r="A91" t="s">
        <v>123</v>
      </c>
      <c r="B91" t="s">
        <v>584</v>
      </c>
      <c r="C91" t="s">
        <v>1868</v>
      </c>
      <c r="D91">
        <v>7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2.4</v>
      </c>
    </row>
    <row r="95" spans="1:4" x14ac:dyDescent="0.25">
      <c r="A95" t="s">
        <v>159</v>
      </c>
      <c r="D95">
        <f>MAX(D2:D91)</f>
        <v>11</v>
      </c>
    </row>
    <row r="96" spans="1:4" x14ac:dyDescent="0.25">
      <c r="A96" t="s">
        <v>160</v>
      </c>
      <c r="D96">
        <f>MIN(D2:D91)</f>
        <v>-8</v>
      </c>
    </row>
    <row r="97" spans="1:4" x14ac:dyDescent="0.25">
      <c r="A97" t="s">
        <v>161</v>
      </c>
      <c r="D97">
        <f>COUNTIF(D2:D91,"&gt;0")</f>
        <v>55</v>
      </c>
    </row>
    <row r="98" spans="1:4" x14ac:dyDescent="0.25">
      <c r="A98" t="s">
        <v>162</v>
      </c>
      <c r="D98">
        <f>COUNTIF(D2:D91,"=0")</f>
        <v>10</v>
      </c>
    </row>
    <row r="99" spans="1:4" x14ac:dyDescent="0.25">
      <c r="A99" t="s">
        <v>1103</v>
      </c>
      <c r="D99">
        <f>COUNTIF(D2:D91,"&lt;0")</f>
        <v>25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AVERAGE(D2,D3,D4,D5,D6,D7,D8,D9,D10,D11,D12,D13,D14,D15,D16,D17,D18,D19)</f>
        <v>0.27777777777777779</v>
      </c>
    </row>
    <row r="103" spans="1:4" x14ac:dyDescent="0.25">
      <c r="A103" t="s">
        <v>166</v>
      </c>
      <c r="D103">
        <f>AVERAGE(D20,D21,D22,D23,D24,D25,D26,D27,D28,D29,D30,D31,D32,D33,D34,D35,D36,D37,D38,D39,D40,D41,D42,D43,D44,D45,D46,D47)</f>
        <v>-2</v>
      </c>
    </row>
    <row r="104" spans="1:4" x14ac:dyDescent="0.25">
      <c r="A104" t="s">
        <v>167</v>
      </c>
      <c r="D104">
        <f>AVERAGE(D48,D49,D50,D51,D52,D53,D54,D55,D56,D57,D58,D59,D60,D61,D62,D63,D64,D65,D66,D67,D68,D69,D70)</f>
        <v>4.5652173913043477</v>
      </c>
    </row>
    <row r="105" spans="1:4" x14ac:dyDescent="0.25">
      <c r="A105" t="s">
        <v>168</v>
      </c>
      <c r="D105">
        <f>AVERAGE(D71,D72,D73,D74,D75,D76,D77,D78,D79,D80,D81,D82,D83,D84,D85,D86,D87,D88,D89,D90,D91)</f>
        <v>7.7142857142857144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9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1431</v>
      </c>
      <c r="C2" t="s">
        <v>908</v>
      </c>
      <c r="D2">
        <v>-2</v>
      </c>
    </row>
    <row r="3" spans="1:4" x14ac:dyDescent="0.25">
      <c r="A3" t="s">
        <v>4</v>
      </c>
      <c r="B3" t="s">
        <v>691</v>
      </c>
      <c r="C3" t="s">
        <v>909</v>
      </c>
      <c r="D3">
        <v>-5</v>
      </c>
    </row>
    <row r="4" spans="1:4" x14ac:dyDescent="0.25">
      <c r="A4" t="s">
        <v>4</v>
      </c>
      <c r="B4" t="s">
        <v>566</v>
      </c>
      <c r="C4" t="s">
        <v>1869</v>
      </c>
      <c r="D4">
        <v>-3</v>
      </c>
    </row>
    <row r="5" spans="1:4" x14ac:dyDescent="0.25">
      <c r="A5" t="s">
        <v>4</v>
      </c>
      <c r="B5" t="s">
        <v>280</v>
      </c>
      <c r="C5" t="s">
        <v>1870</v>
      </c>
      <c r="D5">
        <v>-5</v>
      </c>
    </row>
    <row r="6" spans="1:4" x14ac:dyDescent="0.25">
      <c r="A6" t="s">
        <v>4</v>
      </c>
      <c r="B6" t="s">
        <v>700</v>
      </c>
      <c r="C6" t="s">
        <v>14</v>
      </c>
      <c r="D6">
        <v>-3</v>
      </c>
    </row>
    <row r="7" spans="1:4" x14ac:dyDescent="0.25">
      <c r="A7" t="s">
        <v>4</v>
      </c>
      <c r="B7" t="s">
        <v>729</v>
      </c>
      <c r="C7" t="s">
        <v>16</v>
      </c>
      <c r="D7">
        <v>-1</v>
      </c>
    </row>
    <row r="8" spans="1:4" x14ac:dyDescent="0.25">
      <c r="A8" t="s">
        <v>4</v>
      </c>
      <c r="B8" t="s">
        <v>747</v>
      </c>
      <c r="C8" t="s">
        <v>567</v>
      </c>
      <c r="D8">
        <v>0</v>
      </c>
    </row>
    <row r="9" spans="1:4" x14ac:dyDescent="0.25">
      <c r="A9" t="s">
        <v>4</v>
      </c>
      <c r="B9" t="s">
        <v>747</v>
      </c>
      <c r="C9" t="s">
        <v>696</v>
      </c>
      <c r="D9">
        <v>1</v>
      </c>
    </row>
    <row r="10" spans="1:4" x14ac:dyDescent="0.25">
      <c r="A10" t="s">
        <v>4</v>
      </c>
      <c r="B10" t="s">
        <v>987</v>
      </c>
      <c r="C10" t="s">
        <v>1351</v>
      </c>
      <c r="D10">
        <v>3</v>
      </c>
    </row>
    <row r="11" spans="1:4" x14ac:dyDescent="0.25">
      <c r="A11" t="s">
        <v>4</v>
      </c>
      <c r="B11" t="s">
        <v>442</v>
      </c>
      <c r="C11" t="s">
        <v>699</v>
      </c>
      <c r="D11">
        <v>1</v>
      </c>
    </row>
    <row r="12" spans="1:4" x14ac:dyDescent="0.25">
      <c r="A12" t="s">
        <v>4</v>
      </c>
      <c r="B12" t="s">
        <v>1043</v>
      </c>
      <c r="C12" t="s">
        <v>26</v>
      </c>
      <c r="D12">
        <v>3</v>
      </c>
    </row>
    <row r="13" spans="1:4" x14ac:dyDescent="0.25">
      <c r="A13" t="s">
        <v>4</v>
      </c>
      <c r="B13" t="s">
        <v>1640</v>
      </c>
      <c r="C13" t="s">
        <v>1354</v>
      </c>
      <c r="D13">
        <v>4</v>
      </c>
    </row>
    <row r="14" spans="1:4" x14ac:dyDescent="0.25">
      <c r="A14" t="s">
        <v>4</v>
      </c>
      <c r="B14" t="s">
        <v>292</v>
      </c>
      <c r="C14" t="s">
        <v>1871</v>
      </c>
      <c r="D14">
        <v>5</v>
      </c>
    </row>
    <row r="15" spans="1:4" x14ac:dyDescent="0.25">
      <c r="A15" t="s">
        <v>4</v>
      </c>
      <c r="B15" t="s">
        <v>1437</v>
      </c>
      <c r="C15" t="s">
        <v>1872</v>
      </c>
      <c r="D15">
        <v>2</v>
      </c>
    </row>
    <row r="16" spans="1:4" x14ac:dyDescent="0.25">
      <c r="A16" t="s">
        <v>4</v>
      </c>
      <c r="B16" t="s">
        <v>675</v>
      </c>
      <c r="C16" t="s">
        <v>1873</v>
      </c>
      <c r="D16">
        <v>4</v>
      </c>
    </row>
    <row r="17" spans="1:4" x14ac:dyDescent="0.25">
      <c r="A17" t="s">
        <v>4</v>
      </c>
      <c r="B17" t="s">
        <v>1874</v>
      </c>
      <c r="C17" t="s">
        <v>1875</v>
      </c>
      <c r="D17">
        <v>2</v>
      </c>
    </row>
    <row r="18" spans="1:4" x14ac:dyDescent="0.25">
      <c r="A18" t="s">
        <v>4</v>
      </c>
      <c r="B18" t="s">
        <v>1874</v>
      </c>
      <c r="C18" t="s">
        <v>446</v>
      </c>
      <c r="D18">
        <v>1</v>
      </c>
    </row>
    <row r="19" spans="1:4" x14ac:dyDescent="0.25">
      <c r="A19" t="s">
        <v>40</v>
      </c>
      <c r="B19" t="s">
        <v>1007</v>
      </c>
      <c r="C19" t="s">
        <v>1876</v>
      </c>
      <c r="D19">
        <v>3</v>
      </c>
    </row>
    <row r="20" spans="1:4" x14ac:dyDescent="0.25">
      <c r="A20" t="s">
        <v>40</v>
      </c>
      <c r="B20" t="s">
        <v>126</v>
      </c>
      <c r="C20" t="s">
        <v>200</v>
      </c>
      <c r="D20">
        <v>5</v>
      </c>
    </row>
    <row r="21" spans="1:4" x14ac:dyDescent="0.25">
      <c r="A21" t="s">
        <v>40</v>
      </c>
      <c r="B21" t="s">
        <v>1877</v>
      </c>
      <c r="C21" t="s">
        <v>791</v>
      </c>
      <c r="D21">
        <v>2</v>
      </c>
    </row>
    <row r="22" spans="1:4" x14ac:dyDescent="0.25">
      <c r="A22" t="s">
        <v>40</v>
      </c>
      <c r="B22" t="s">
        <v>51</v>
      </c>
      <c r="C22" t="s">
        <v>452</v>
      </c>
      <c r="D22">
        <v>0</v>
      </c>
    </row>
    <row r="23" spans="1:4" x14ac:dyDescent="0.25">
      <c r="A23" t="s">
        <v>40</v>
      </c>
      <c r="B23" t="s">
        <v>1771</v>
      </c>
      <c r="C23" t="s">
        <v>794</v>
      </c>
      <c r="D23">
        <v>-1</v>
      </c>
    </row>
    <row r="24" spans="1:4" x14ac:dyDescent="0.25">
      <c r="A24" t="s">
        <v>40</v>
      </c>
      <c r="B24" t="s">
        <v>1771</v>
      </c>
      <c r="C24" t="s">
        <v>454</v>
      </c>
      <c r="D24">
        <v>-2</v>
      </c>
    </row>
    <row r="25" spans="1:4" x14ac:dyDescent="0.25">
      <c r="A25" t="s">
        <v>40</v>
      </c>
      <c r="B25" t="s">
        <v>568</v>
      </c>
      <c r="C25" t="s">
        <v>1878</v>
      </c>
      <c r="D25">
        <v>-3</v>
      </c>
    </row>
    <row r="26" spans="1:4" x14ac:dyDescent="0.25">
      <c r="A26" t="s">
        <v>40</v>
      </c>
      <c r="B26" t="s">
        <v>568</v>
      </c>
      <c r="C26" t="s">
        <v>796</v>
      </c>
      <c r="D26">
        <v>-4</v>
      </c>
    </row>
    <row r="27" spans="1:4" x14ac:dyDescent="0.25">
      <c r="A27" t="s">
        <v>40</v>
      </c>
      <c r="B27" t="s">
        <v>1013</v>
      </c>
      <c r="C27" t="s">
        <v>1510</v>
      </c>
      <c r="D27">
        <v>-2</v>
      </c>
    </row>
    <row r="28" spans="1:4" x14ac:dyDescent="0.25">
      <c r="A28" t="s">
        <v>40</v>
      </c>
      <c r="B28" t="s">
        <v>435</v>
      </c>
      <c r="C28" t="s">
        <v>52</v>
      </c>
      <c r="D28">
        <v>-4</v>
      </c>
    </row>
    <row r="29" spans="1:4" x14ac:dyDescent="0.25">
      <c r="A29" t="s">
        <v>40</v>
      </c>
      <c r="B29" t="s">
        <v>1151</v>
      </c>
      <c r="C29" t="s">
        <v>53</v>
      </c>
      <c r="D29">
        <v>-3</v>
      </c>
    </row>
    <row r="30" spans="1:4" x14ac:dyDescent="0.25">
      <c r="A30" t="s">
        <v>40</v>
      </c>
      <c r="B30" t="s">
        <v>1151</v>
      </c>
      <c r="C30" t="s">
        <v>592</v>
      </c>
      <c r="D30">
        <v>-2</v>
      </c>
    </row>
    <row r="31" spans="1:4" x14ac:dyDescent="0.25">
      <c r="A31" t="s">
        <v>40</v>
      </c>
      <c r="B31" t="s">
        <v>743</v>
      </c>
      <c r="C31" t="s">
        <v>1879</v>
      </c>
      <c r="D31">
        <v>-5</v>
      </c>
    </row>
    <row r="32" spans="1:4" x14ac:dyDescent="0.25">
      <c r="A32" t="s">
        <v>40</v>
      </c>
      <c r="B32" t="s">
        <v>378</v>
      </c>
      <c r="C32" t="s">
        <v>1661</v>
      </c>
      <c r="D32">
        <v>-8</v>
      </c>
    </row>
    <row r="33" spans="1:4" x14ac:dyDescent="0.25">
      <c r="A33" t="s">
        <v>40</v>
      </c>
      <c r="B33" t="s">
        <v>766</v>
      </c>
      <c r="C33" t="s">
        <v>1880</v>
      </c>
      <c r="D33">
        <v>-5</v>
      </c>
    </row>
    <row r="34" spans="1:4" x14ac:dyDescent="0.25">
      <c r="A34" t="s">
        <v>40</v>
      </c>
      <c r="B34" t="s">
        <v>25</v>
      </c>
      <c r="C34" t="s">
        <v>1881</v>
      </c>
      <c r="D34">
        <v>-8</v>
      </c>
    </row>
    <row r="35" spans="1:4" x14ac:dyDescent="0.25">
      <c r="A35" t="s">
        <v>40</v>
      </c>
      <c r="B35" t="s">
        <v>144</v>
      </c>
      <c r="C35" t="s">
        <v>604</v>
      </c>
      <c r="D35">
        <v>-7</v>
      </c>
    </row>
    <row r="36" spans="1:4" x14ac:dyDescent="0.25">
      <c r="A36" t="s">
        <v>40</v>
      </c>
      <c r="B36" t="s">
        <v>144</v>
      </c>
      <c r="C36" t="s">
        <v>606</v>
      </c>
      <c r="D36">
        <v>-6</v>
      </c>
    </row>
    <row r="37" spans="1:4" x14ac:dyDescent="0.25">
      <c r="A37" t="s">
        <v>40</v>
      </c>
      <c r="B37" t="s">
        <v>1882</v>
      </c>
      <c r="C37" t="s">
        <v>608</v>
      </c>
      <c r="D37">
        <v>-8</v>
      </c>
    </row>
    <row r="38" spans="1:4" x14ac:dyDescent="0.25">
      <c r="A38" t="s">
        <v>40</v>
      </c>
      <c r="B38" t="s">
        <v>529</v>
      </c>
      <c r="C38" t="s">
        <v>1883</v>
      </c>
      <c r="D38">
        <v>-11</v>
      </c>
    </row>
    <row r="39" spans="1:4" x14ac:dyDescent="0.25">
      <c r="A39" t="s">
        <v>40</v>
      </c>
      <c r="B39" t="s">
        <v>582</v>
      </c>
      <c r="C39" t="s">
        <v>1884</v>
      </c>
      <c r="D39">
        <v>-14</v>
      </c>
    </row>
    <row r="40" spans="1:4" x14ac:dyDescent="0.25">
      <c r="A40" t="s">
        <v>40</v>
      </c>
      <c r="B40" t="s">
        <v>1568</v>
      </c>
      <c r="C40" t="s">
        <v>1885</v>
      </c>
      <c r="D40">
        <v>-16</v>
      </c>
    </row>
    <row r="41" spans="1:4" x14ac:dyDescent="0.25">
      <c r="A41" t="s">
        <v>40</v>
      </c>
      <c r="B41" t="s">
        <v>1568</v>
      </c>
      <c r="C41" t="s">
        <v>1886</v>
      </c>
      <c r="D41">
        <v>-17</v>
      </c>
    </row>
    <row r="42" spans="1:4" x14ac:dyDescent="0.25">
      <c r="A42" t="s">
        <v>80</v>
      </c>
      <c r="B42" t="s">
        <v>1524</v>
      </c>
      <c r="C42" t="s">
        <v>1887</v>
      </c>
      <c r="D42">
        <v>-20</v>
      </c>
    </row>
    <row r="43" spans="1:4" x14ac:dyDescent="0.25">
      <c r="A43" t="s">
        <v>80</v>
      </c>
      <c r="B43" t="s">
        <v>1011</v>
      </c>
      <c r="C43" t="s">
        <v>1888</v>
      </c>
      <c r="D43">
        <v>-17</v>
      </c>
    </row>
    <row r="44" spans="1:4" x14ac:dyDescent="0.25">
      <c r="A44" t="s">
        <v>80</v>
      </c>
      <c r="B44" t="s">
        <v>181</v>
      </c>
      <c r="C44" t="s">
        <v>1889</v>
      </c>
      <c r="D44">
        <v>-19</v>
      </c>
    </row>
    <row r="45" spans="1:4" x14ac:dyDescent="0.25">
      <c r="A45" t="s">
        <v>80</v>
      </c>
      <c r="B45" t="s">
        <v>700</v>
      </c>
      <c r="C45" t="s">
        <v>1890</v>
      </c>
      <c r="D45">
        <v>-17</v>
      </c>
    </row>
    <row r="46" spans="1:4" x14ac:dyDescent="0.25">
      <c r="A46" t="s">
        <v>80</v>
      </c>
      <c r="B46" t="s">
        <v>1231</v>
      </c>
      <c r="C46" t="s">
        <v>1891</v>
      </c>
      <c r="D46">
        <v>-20</v>
      </c>
    </row>
    <row r="47" spans="1:4" x14ac:dyDescent="0.25">
      <c r="A47" t="s">
        <v>80</v>
      </c>
      <c r="B47" t="s">
        <v>223</v>
      </c>
      <c r="C47" t="s">
        <v>1892</v>
      </c>
      <c r="D47">
        <v>-17</v>
      </c>
    </row>
    <row r="48" spans="1:4" x14ac:dyDescent="0.25">
      <c r="A48" t="s">
        <v>80</v>
      </c>
      <c r="B48" t="s">
        <v>702</v>
      </c>
      <c r="C48" t="s">
        <v>1893</v>
      </c>
      <c r="D48">
        <v>-19</v>
      </c>
    </row>
    <row r="49" spans="1:4" x14ac:dyDescent="0.25">
      <c r="A49" t="s">
        <v>80</v>
      </c>
      <c r="B49" t="s">
        <v>414</v>
      </c>
      <c r="C49" t="s">
        <v>1894</v>
      </c>
      <c r="D49">
        <v>-18</v>
      </c>
    </row>
    <row r="50" spans="1:4" x14ac:dyDescent="0.25">
      <c r="A50" t="s">
        <v>80</v>
      </c>
      <c r="B50" t="s">
        <v>996</v>
      </c>
      <c r="C50" t="s">
        <v>1895</v>
      </c>
      <c r="D50">
        <v>-20</v>
      </c>
    </row>
    <row r="51" spans="1:4" x14ac:dyDescent="0.25">
      <c r="A51" t="s">
        <v>80</v>
      </c>
      <c r="B51" t="s">
        <v>1845</v>
      </c>
      <c r="C51" t="s">
        <v>1896</v>
      </c>
      <c r="D51">
        <v>-19</v>
      </c>
    </row>
    <row r="52" spans="1:4" x14ac:dyDescent="0.25">
      <c r="A52" t="s">
        <v>80</v>
      </c>
      <c r="B52" t="s">
        <v>1845</v>
      </c>
      <c r="C52" t="s">
        <v>1897</v>
      </c>
      <c r="D52">
        <v>-18</v>
      </c>
    </row>
    <row r="53" spans="1:4" x14ac:dyDescent="0.25">
      <c r="A53" t="s">
        <v>80</v>
      </c>
      <c r="B53" t="s">
        <v>348</v>
      </c>
      <c r="C53" t="s">
        <v>1898</v>
      </c>
      <c r="D53">
        <v>-17</v>
      </c>
    </row>
    <row r="54" spans="1:4" x14ac:dyDescent="0.25">
      <c r="A54" t="s">
        <v>80</v>
      </c>
      <c r="B54" t="s">
        <v>396</v>
      </c>
      <c r="C54" t="s">
        <v>1899</v>
      </c>
      <c r="D54">
        <v>-20</v>
      </c>
    </row>
    <row r="55" spans="1:4" x14ac:dyDescent="0.25">
      <c r="A55" t="s">
        <v>123</v>
      </c>
      <c r="B55" t="s">
        <v>7</v>
      </c>
      <c r="C55" t="s">
        <v>1900</v>
      </c>
      <c r="D55">
        <v>-23</v>
      </c>
    </row>
    <row r="56" spans="1:4" x14ac:dyDescent="0.25">
      <c r="A56" t="s">
        <v>123</v>
      </c>
      <c r="B56" t="s">
        <v>565</v>
      </c>
      <c r="C56" t="s">
        <v>1901</v>
      </c>
      <c r="D56">
        <v>-21</v>
      </c>
    </row>
    <row r="57" spans="1:4" x14ac:dyDescent="0.25">
      <c r="A57" t="s">
        <v>123</v>
      </c>
      <c r="B57" t="s">
        <v>1735</v>
      </c>
      <c r="C57" t="s">
        <v>1902</v>
      </c>
      <c r="D57">
        <v>-18</v>
      </c>
    </row>
    <row r="58" spans="1:4" x14ac:dyDescent="0.25">
      <c r="A58" t="s">
        <v>123</v>
      </c>
      <c r="B58" t="s">
        <v>862</v>
      </c>
      <c r="C58" t="s">
        <v>1903</v>
      </c>
      <c r="D58">
        <v>-20</v>
      </c>
    </row>
    <row r="59" spans="1:4" x14ac:dyDescent="0.25">
      <c r="A59" t="s">
        <v>123</v>
      </c>
      <c r="B59" t="s">
        <v>862</v>
      </c>
      <c r="C59" t="s">
        <v>1904</v>
      </c>
      <c r="D59">
        <v>-18</v>
      </c>
    </row>
    <row r="60" spans="1:4" x14ac:dyDescent="0.25">
      <c r="A60" t="s">
        <v>123</v>
      </c>
      <c r="B60" t="s">
        <v>1146</v>
      </c>
      <c r="C60" t="s">
        <v>1905</v>
      </c>
      <c r="D60">
        <v>-20</v>
      </c>
    </row>
    <row r="61" spans="1:4" x14ac:dyDescent="0.25">
      <c r="A61" t="s">
        <v>123</v>
      </c>
      <c r="B61" t="s">
        <v>140</v>
      </c>
      <c r="C61" t="s">
        <v>1906</v>
      </c>
      <c r="D61">
        <v>-23</v>
      </c>
    </row>
    <row r="62" spans="1:4" x14ac:dyDescent="0.25">
      <c r="A62" t="s">
        <v>123</v>
      </c>
      <c r="B62" t="s">
        <v>284</v>
      </c>
      <c r="C62" t="s">
        <v>1907</v>
      </c>
      <c r="D62">
        <v>-24</v>
      </c>
    </row>
    <row r="63" spans="1:4" x14ac:dyDescent="0.25">
      <c r="A63" t="s">
        <v>123</v>
      </c>
      <c r="B63" t="s">
        <v>284</v>
      </c>
      <c r="C63" t="s">
        <v>1908</v>
      </c>
      <c r="D63">
        <v>-25</v>
      </c>
    </row>
    <row r="64" spans="1:4" x14ac:dyDescent="0.25">
      <c r="A64" t="s">
        <v>123</v>
      </c>
      <c r="B64" t="s">
        <v>729</v>
      </c>
      <c r="C64" t="s">
        <v>1909</v>
      </c>
      <c r="D64">
        <v>-23</v>
      </c>
    </row>
    <row r="65" spans="1:4" x14ac:dyDescent="0.25">
      <c r="A65" t="s">
        <v>123</v>
      </c>
      <c r="B65" t="s">
        <v>108</v>
      </c>
      <c r="C65" t="s">
        <v>1910</v>
      </c>
      <c r="D65">
        <v>-26</v>
      </c>
    </row>
    <row r="66" spans="1:4" x14ac:dyDescent="0.25">
      <c r="A66" t="s">
        <v>123</v>
      </c>
      <c r="B66" t="s">
        <v>67</v>
      </c>
      <c r="C66" t="s">
        <v>1911</v>
      </c>
      <c r="D66">
        <v>-24</v>
      </c>
    </row>
    <row r="67" spans="1:4" x14ac:dyDescent="0.25">
      <c r="A67" t="s">
        <v>123</v>
      </c>
      <c r="B67" t="s">
        <v>524</v>
      </c>
      <c r="C67" t="s">
        <v>1912</v>
      </c>
      <c r="D67">
        <v>-26</v>
      </c>
    </row>
    <row r="68" spans="1:4" x14ac:dyDescent="0.25">
      <c r="A68" t="s">
        <v>123</v>
      </c>
      <c r="B68" t="s">
        <v>1422</v>
      </c>
      <c r="C68" t="s">
        <v>1913</v>
      </c>
      <c r="D68">
        <v>-25</v>
      </c>
    </row>
    <row r="69" spans="1:4" x14ac:dyDescent="0.25">
      <c r="A69" t="s">
        <v>123</v>
      </c>
      <c r="B69" t="s">
        <v>1422</v>
      </c>
      <c r="C69" t="s">
        <v>1914</v>
      </c>
      <c r="D69">
        <v>-24</v>
      </c>
    </row>
    <row r="70" spans="1:4" x14ac:dyDescent="0.25">
      <c r="A70" t="s">
        <v>123</v>
      </c>
      <c r="B70" t="s">
        <v>1844</v>
      </c>
      <c r="C70" t="s">
        <v>1915</v>
      </c>
      <c r="D70">
        <v>-22</v>
      </c>
    </row>
    <row r="71" spans="1:4" x14ac:dyDescent="0.25">
      <c r="A71" t="s">
        <v>123</v>
      </c>
      <c r="B71" t="s">
        <v>294</v>
      </c>
      <c r="C71" t="s">
        <v>1916</v>
      </c>
      <c r="D71">
        <v>-20</v>
      </c>
    </row>
    <row r="72" spans="1:4" x14ac:dyDescent="0.25">
      <c r="A72" t="s">
        <v>123</v>
      </c>
      <c r="B72" t="s">
        <v>294</v>
      </c>
      <c r="C72" t="s">
        <v>1917</v>
      </c>
      <c r="D72">
        <v>-19</v>
      </c>
    </row>
    <row r="73" spans="1:4" x14ac:dyDescent="0.25">
      <c r="A73" t="s">
        <v>123</v>
      </c>
      <c r="B73" t="s">
        <v>927</v>
      </c>
      <c r="C73" t="s">
        <v>1918</v>
      </c>
      <c r="D73">
        <v>-18</v>
      </c>
    </row>
    <row r="74" spans="1:4" x14ac:dyDescent="0.25">
      <c r="A74" t="s">
        <v>123</v>
      </c>
      <c r="B74" t="s">
        <v>927</v>
      </c>
      <c r="C74" t="s">
        <v>1919</v>
      </c>
      <c r="D74">
        <v>-17</v>
      </c>
    </row>
    <row r="75" spans="1:4" x14ac:dyDescent="0.25">
      <c r="A75" t="s">
        <v>123</v>
      </c>
      <c r="B75" t="s">
        <v>508</v>
      </c>
      <c r="C75" t="s">
        <v>1249</v>
      </c>
      <c r="D75">
        <v>-16</v>
      </c>
    </row>
    <row r="76" spans="1:4" x14ac:dyDescent="0.25">
      <c r="A76" t="s">
        <v>123</v>
      </c>
      <c r="B76" t="s">
        <v>508</v>
      </c>
      <c r="C76" t="s">
        <v>1920</v>
      </c>
      <c r="D76">
        <v>-15</v>
      </c>
    </row>
    <row r="77" spans="1:4" x14ac:dyDescent="0.25">
      <c r="A77" t="s">
        <v>123</v>
      </c>
      <c r="B77" t="s">
        <v>235</v>
      </c>
      <c r="C77" t="s">
        <v>1921</v>
      </c>
      <c r="D77">
        <v>-17</v>
      </c>
    </row>
    <row r="79" spans="1:4" x14ac:dyDescent="0.25">
      <c r="A79" s="2" t="s">
        <v>157</v>
      </c>
    </row>
    <row r="80" spans="1:4" x14ac:dyDescent="0.25">
      <c r="A80" t="s">
        <v>158</v>
      </c>
      <c r="D80">
        <f>AVERAGE(D2:D77)</f>
        <v>-10.973684210526315</v>
      </c>
    </row>
    <row r="81" spans="1:4" x14ac:dyDescent="0.25">
      <c r="A81" t="s">
        <v>159</v>
      </c>
      <c r="D81">
        <f>MAX(D2:D77)</f>
        <v>5</v>
      </c>
    </row>
    <row r="82" spans="1:4" x14ac:dyDescent="0.25">
      <c r="A82" t="s">
        <v>160</v>
      </c>
      <c r="D82">
        <f>MIN(D2:D77)</f>
        <v>-26</v>
      </c>
    </row>
    <row r="83" spans="1:4" x14ac:dyDescent="0.25">
      <c r="A83" t="s">
        <v>161</v>
      </c>
      <c r="D83">
        <f>COUNTIF(D2:D77,"&gt;0")</f>
        <v>13</v>
      </c>
    </row>
    <row r="84" spans="1:4" x14ac:dyDescent="0.25">
      <c r="A84" t="s">
        <v>162</v>
      </c>
      <c r="D84">
        <f>COUNTIF(D2:D77,"=0")</f>
        <v>2</v>
      </c>
    </row>
    <row r="85" spans="1:4" x14ac:dyDescent="0.25">
      <c r="A85" t="s">
        <v>687</v>
      </c>
      <c r="D85">
        <f>COUNTIF(D2:D77,"&lt;0")</f>
        <v>61</v>
      </c>
    </row>
    <row r="87" spans="1:4" x14ac:dyDescent="0.25">
      <c r="A87" s="2" t="s">
        <v>164</v>
      </c>
    </row>
    <row r="88" spans="1:4" x14ac:dyDescent="0.25">
      <c r="A88" t="s">
        <v>165</v>
      </c>
      <c r="D88">
        <f>AVERAGE(D2,D3,D4,D5,D6,D7,D8,D9,D10,D11,D12,D13,D14,D15,D16,D17,D18)</f>
        <v>0.41176470588235292</v>
      </c>
    </row>
    <row r="89" spans="1:4" x14ac:dyDescent="0.25">
      <c r="A89" t="s">
        <v>166</v>
      </c>
      <c r="D89">
        <f>AVERAGE(D19,D20,D21,D22,D23,D24,D25,D26,D27,D28,D29,D30,D31,D32,D33,D34,D35,D36,D37,D38,D39,D40,D41)</f>
        <v>-5.0434782608695654</v>
      </c>
    </row>
    <row r="90" spans="1:4" x14ac:dyDescent="0.25">
      <c r="A90" t="s">
        <v>167</v>
      </c>
      <c r="D90">
        <f>AVERAGE(D42,D43,D44,D45,D46,D47,D48,D49,D50,D51,D52,D53,D54)</f>
        <v>-18.53846153846154</v>
      </c>
    </row>
    <row r="91" spans="1:4" x14ac:dyDescent="0.25">
      <c r="A91" t="s">
        <v>168</v>
      </c>
      <c r="D91">
        <f>AVERAGE(D55,D56,D57,D58,D59,D60,D61,D62,D63,D64,D65,D66,D67,D68,D69,D70,D71,D72,D73,D74,D75,D76,D77)</f>
        <v>-21.043478260869566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1922</v>
      </c>
      <c r="C2" t="s">
        <v>1923</v>
      </c>
      <c r="D2">
        <v>1</v>
      </c>
    </row>
    <row r="3" spans="1:4" x14ac:dyDescent="0.25">
      <c r="A3" t="s">
        <v>4</v>
      </c>
      <c r="B3" t="s">
        <v>1922</v>
      </c>
      <c r="C3" t="s">
        <v>6</v>
      </c>
      <c r="D3">
        <v>2</v>
      </c>
    </row>
    <row r="4" spans="1:4" x14ac:dyDescent="0.25">
      <c r="A4" t="s">
        <v>4</v>
      </c>
      <c r="B4" t="s">
        <v>1924</v>
      </c>
      <c r="C4" t="s">
        <v>306</v>
      </c>
      <c r="D4">
        <v>-1</v>
      </c>
    </row>
    <row r="5" spans="1:4" x14ac:dyDescent="0.25">
      <c r="A5" t="s">
        <v>4</v>
      </c>
      <c r="B5" t="s">
        <v>511</v>
      </c>
      <c r="C5" t="s">
        <v>1869</v>
      </c>
      <c r="D5">
        <v>-3</v>
      </c>
    </row>
    <row r="6" spans="1:4" x14ac:dyDescent="0.25">
      <c r="A6" t="s">
        <v>4</v>
      </c>
      <c r="B6" t="s">
        <v>1244</v>
      </c>
      <c r="C6" t="s">
        <v>309</v>
      </c>
      <c r="D6">
        <v>-1</v>
      </c>
    </row>
    <row r="7" spans="1:4" x14ac:dyDescent="0.25">
      <c r="A7" t="s">
        <v>4</v>
      </c>
      <c r="B7" t="s">
        <v>721</v>
      </c>
      <c r="C7" t="s">
        <v>1193</v>
      </c>
      <c r="D7">
        <v>1</v>
      </c>
    </row>
    <row r="8" spans="1:4" x14ac:dyDescent="0.25">
      <c r="A8" t="s">
        <v>4</v>
      </c>
      <c r="B8" t="s">
        <v>51</v>
      </c>
      <c r="C8" t="s">
        <v>695</v>
      </c>
      <c r="D8">
        <v>3</v>
      </c>
    </row>
    <row r="9" spans="1:4" x14ac:dyDescent="0.25">
      <c r="A9" t="s">
        <v>4</v>
      </c>
      <c r="B9" t="s">
        <v>641</v>
      </c>
      <c r="C9" t="s">
        <v>696</v>
      </c>
      <c r="D9">
        <v>1</v>
      </c>
    </row>
    <row r="10" spans="1:4" x14ac:dyDescent="0.25">
      <c r="A10" t="s">
        <v>4</v>
      </c>
      <c r="B10" t="s">
        <v>1755</v>
      </c>
      <c r="C10" t="s">
        <v>1351</v>
      </c>
      <c r="D10">
        <v>3</v>
      </c>
    </row>
    <row r="11" spans="1:4" x14ac:dyDescent="0.25">
      <c r="A11" t="s">
        <v>4</v>
      </c>
      <c r="B11" t="s">
        <v>645</v>
      </c>
      <c r="C11" t="s">
        <v>1110</v>
      </c>
      <c r="D11">
        <v>0</v>
      </c>
    </row>
    <row r="12" spans="1:4" x14ac:dyDescent="0.25">
      <c r="A12" t="s">
        <v>4</v>
      </c>
      <c r="B12" t="s">
        <v>58</v>
      </c>
      <c r="C12" t="s">
        <v>1925</v>
      </c>
      <c r="D12">
        <v>-3</v>
      </c>
    </row>
    <row r="13" spans="1:4" x14ac:dyDescent="0.25">
      <c r="A13" t="s">
        <v>4</v>
      </c>
      <c r="B13" t="s">
        <v>184</v>
      </c>
      <c r="C13" t="s">
        <v>441</v>
      </c>
      <c r="D13">
        <v>-2</v>
      </c>
    </row>
    <row r="14" spans="1:4" x14ac:dyDescent="0.25">
      <c r="A14" t="s">
        <v>4</v>
      </c>
      <c r="B14" t="s">
        <v>184</v>
      </c>
      <c r="C14" t="s">
        <v>30</v>
      </c>
      <c r="D14">
        <v>-1</v>
      </c>
    </row>
    <row r="15" spans="1:4" x14ac:dyDescent="0.25">
      <c r="A15" t="s">
        <v>4</v>
      </c>
      <c r="B15" t="s">
        <v>1349</v>
      </c>
      <c r="C15" t="s">
        <v>443</v>
      </c>
      <c r="D15">
        <v>0</v>
      </c>
    </row>
    <row r="16" spans="1:4" x14ac:dyDescent="0.25">
      <c r="A16" t="s">
        <v>4</v>
      </c>
      <c r="B16" t="s">
        <v>1151</v>
      </c>
      <c r="C16" t="s">
        <v>1926</v>
      </c>
      <c r="D16">
        <v>3</v>
      </c>
    </row>
    <row r="17" spans="1:4" x14ac:dyDescent="0.25">
      <c r="A17" t="s">
        <v>4</v>
      </c>
      <c r="B17" t="s">
        <v>764</v>
      </c>
      <c r="C17" t="s">
        <v>197</v>
      </c>
      <c r="D17">
        <v>5</v>
      </c>
    </row>
    <row r="18" spans="1:4" x14ac:dyDescent="0.25">
      <c r="A18" t="s">
        <v>4</v>
      </c>
      <c r="B18" t="s">
        <v>1602</v>
      </c>
      <c r="C18" t="s">
        <v>1876</v>
      </c>
      <c r="D18">
        <v>3</v>
      </c>
    </row>
    <row r="19" spans="1:4" x14ac:dyDescent="0.25">
      <c r="A19" t="s">
        <v>4</v>
      </c>
      <c r="B19" t="s">
        <v>1700</v>
      </c>
      <c r="C19" t="s">
        <v>200</v>
      </c>
      <c r="D19">
        <v>5</v>
      </c>
    </row>
    <row r="20" spans="1:4" x14ac:dyDescent="0.25">
      <c r="A20" t="s">
        <v>4</v>
      </c>
      <c r="B20" t="s">
        <v>386</v>
      </c>
      <c r="C20" t="s">
        <v>201</v>
      </c>
      <c r="D20">
        <v>7</v>
      </c>
    </row>
    <row r="21" spans="1:4" x14ac:dyDescent="0.25">
      <c r="A21" t="s">
        <v>4</v>
      </c>
      <c r="B21" t="s">
        <v>386</v>
      </c>
      <c r="C21" t="s">
        <v>1205</v>
      </c>
      <c r="D21">
        <v>8</v>
      </c>
    </row>
    <row r="22" spans="1:4" x14ac:dyDescent="0.25">
      <c r="A22" t="s">
        <v>4</v>
      </c>
      <c r="B22" t="s">
        <v>451</v>
      </c>
      <c r="C22" t="s">
        <v>203</v>
      </c>
      <c r="D22">
        <v>9</v>
      </c>
    </row>
    <row r="23" spans="1:4" x14ac:dyDescent="0.25">
      <c r="A23" t="s">
        <v>4</v>
      </c>
      <c r="B23" t="s">
        <v>451</v>
      </c>
      <c r="C23" t="s">
        <v>1927</v>
      </c>
      <c r="D23">
        <v>10</v>
      </c>
    </row>
    <row r="24" spans="1:4" x14ac:dyDescent="0.25">
      <c r="A24" t="s">
        <v>4</v>
      </c>
      <c r="B24" t="s">
        <v>78</v>
      </c>
      <c r="C24" t="s">
        <v>1928</v>
      </c>
      <c r="D24">
        <v>8</v>
      </c>
    </row>
    <row r="25" spans="1:4" x14ac:dyDescent="0.25">
      <c r="A25" t="s">
        <v>40</v>
      </c>
      <c r="B25" t="s">
        <v>1929</v>
      </c>
      <c r="C25" t="s">
        <v>209</v>
      </c>
      <c r="D25">
        <v>6</v>
      </c>
    </row>
    <row r="26" spans="1:4" x14ac:dyDescent="0.25">
      <c r="A26" t="s">
        <v>40</v>
      </c>
      <c r="B26" t="s">
        <v>757</v>
      </c>
      <c r="C26" t="s">
        <v>210</v>
      </c>
      <c r="D26">
        <v>7</v>
      </c>
    </row>
    <row r="27" spans="1:4" x14ac:dyDescent="0.25">
      <c r="A27" t="s">
        <v>40</v>
      </c>
      <c r="B27" t="s">
        <v>1027</v>
      </c>
      <c r="C27" t="s">
        <v>1930</v>
      </c>
      <c r="D27">
        <v>9</v>
      </c>
    </row>
    <row r="28" spans="1:4" x14ac:dyDescent="0.25">
      <c r="A28" t="s">
        <v>40</v>
      </c>
      <c r="B28" t="s">
        <v>400</v>
      </c>
      <c r="C28" t="s">
        <v>1931</v>
      </c>
      <c r="D28">
        <v>11</v>
      </c>
    </row>
    <row r="29" spans="1:4" x14ac:dyDescent="0.25">
      <c r="A29" t="s">
        <v>40</v>
      </c>
      <c r="B29" t="s">
        <v>514</v>
      </c>
      <c r="C29" t="s">
        <v>1932</v>
      </c>
      <c r="D29">
        <v>9</v>
      </c>
    </row>
    <row r="30" spans="1:4" x14ac:dyDescent="0.25">
      <c r="A30" t="s">
        <v>40</v>
      </c>
      <c r="B30" t="s">
        <v>1826</v>
      </c>
      <c r="C30" t="s">
        <v>1933</v>
      </c>
      <c r="D30">
        <v>12</v>
      </c>
    </row>
    <row r="31" spans="1:4" x14ac:dyDescent="0.25">
      <c r="A31" t="s">
        <v>40</v>
      </c>
      <c r="B31" t="s">
        <v>307</v>
      </c>
      <c r="C31" t="s">
        <v>1934</v>
      </c>
      <c r="D31">
        <v>9</v>
      </c>
    </row>
    <row r="32" spans="1:4" x14ac:dyDescent="0.25">
      <c r="A32" t="s">
        <v>40</v>
      </c>
      <c r="B32" t="s">
        <v>1194</v>
      </c>
      <c r="C32" t="s">
        <v>1935</v>
      </c>
      <c r="D32">
        <v>8</v>
      </c>
    </row>
    <row r="33" spans="1:4" x14ac:dyDescent="0.25">
      <c r="A33" t="s">
        <v>40</v>
      </c>
      <c r="B33" t="s">
        <v>363</v>
      </c>
      <c r="C33" t="s">
        <v>1936</v>
      </c>
      <c r="D33">
        <v>10</v>
      </c>
    </row>
    <row r="34" spans="1:4" x14ac:dyDescent="0.25">
      <c r="A34" t="s">
        <v>40</v>
      </c>
      <c r="B34" t="s">
        <v>651</v>
      </c>
      <c r="C34" t="s">
        <v>1443</v>
      </c>
      <c r="D34">
        <v>7</v>
      </c>
    </row>
    <row r="35" spans="1:4" x14ac:dyDescent="0.25">
      <c r="A35" t="s">
        <v>40</v>
      </c>
      <c r="B35" t="s">
        <v>805</v>
      </c>
      <c r="C35" t="s">
        <v>1444</v>
      </c>
      <c r="D35">
        <v>5</v>
      </c>
    </row>
    <row r="36" spans="1:4" x14ac:dyDescent="0.25">
      <c r="A36" t="s">
        <v>40</v>
      </c>
      <c r="B36" t="s">
        <v>339</v>
      </c>
      <c r="C36" t="s">
        <v>1937</v>
      </c>
      <c r="D36">
        <v>8</v>
      </c>
    </row>
    <row r="37" spans="1:4" x14ac:dyDescent="0.25">
      <c r="A37" t="s">
        <v>40</v>
      </c>
      <c r="B37" t="s">
        <v>25</v>
      </c>
      <c r="C37" t="s">
        <v>1938</v>
      </c>
      <c r="D37">
        <v>7</v>
      </c>
    </row>
    <row r="38" spans="1:4" x14ac:dyDescent="0.25">
      <c r="A38" t="s">
        <v>40</v>
      </c>
      <c r="B38" t="s">
        <v>1739</v>
      </c>
      <c r="C38" t="s">
        <v>1939</v>
      </c>
      <c r="D38">
        <v>10</v>
      </c>
    </row>
    <row r="39" spans="1:4" x14ac:dyDescent="0.25">
      <c r="A39" t="s">
        <v>40</v>
      </c>
      <c r="B39" t="s">
        <v>1940</v>
      </c>
      <c r="C39" t="s">
        <v>1941</v>
      </c>
      <c r="D39">
        <v>12</v>
      </c>
    </row>
    <row r="40" spans="1:4" x14ac:dyDescent="0.25">
      <c r="A40" t="s">
        <v>40</v>
      </c>
      <c r="B40" t="s">
        <v>29</v>
      </c>
      <c r="C40" t="s">
        <v>1140</v>
      </c>
      <c r="D40">
        <v>9</v>
      </c>
    </row>
    <row r="41" spans="1:4" x14ac:dyDescent="0.25">
      <c r="A41" t="s">
        <v>40</v>
      </c>
      <c r="B41" t="s">
        <v>152</v>
      </c>
      <c r="C41" t="s">
        <v>1942</v>
      </c>
      <c r="D41">
        <v>11</v>
      </c>
    </row>
    <row r="42" spans="1:4" x14ac:dyDescent="0.25">
      <c r="A42" t="s">
        <v>40</v>
      </c>
      <c r="B42" t="s">
        <v>1733</v>
      </c>
      <c r="C42" t="s">
        <v>1943</v>
      </c>
      <c r="D42">
        <v>9</v>
      </c>
    </row>
    <row r="43" spans="1:4" x14ac:dyDescent="0.25">
      <c r="A43" t="s">
        <v>40</v>
      </c>
      <c r="B43" t="s">
        <v>770</v>
      </c>
      <c r="C43" t="s">
        <v>1944</v>
      </c>
      <c r="D43">
        <v>11</v>
      </c>
    </row>
    <row r="44" spans="1:4" x14ac:dyDescent="0.25">
      <c r="A44" t="s">
        <v>80</v>
      </c>
      <c r="B44" t="s">
        <v>795</v>
      </c>
      <c r="C44" t="s">
        <v>1945</v>
      </c>
      <c r="D44">
        <v>14</v>
      </c>
    </row>
    <row r="45" spans="1:4" x14ac:dyDescent="0.25">
      <c r="A45" t="s">
        <v>80</v>
      </c>
      <c r="B45" t="s">
        <v>1057</v>
      </c>
      <c r="C45" t="s">
        <v>1946</v>
      </c>
      <c r="D45">
        <v>16</v>
      </c>
    </row>
    <row r="46" spans="1:4" x14ac:dyDescent="0.25">
      <c r="A46" t="s">
        <v>80</v>
      </c>
      <c r="B46" t="s">
        <v>827</v>
      </c>
      <c r="C46" t="s">
        <v>1947</v>
      </c>
      <c r="D46">
        <v>14</v>
      </c>
    </row>
    <row r="47" spans="1:4" x14ac:dyDescent="0.25">
      <c r="A47" t="s">
        <v>80</v>
      </c>
      <c r="B47" t="s">
        <v>307</v>
      </c>
      <c r="C47" t="s">
        <v>1948</v>
      </c>
      <c r="D47">
        <v>15</v>
      </c>
    </row>
    <row r="48" spans="1:4" x14ac:dyDescent="0.25">
      <c r="A48" t="s">
        <v>80</v>
      </c>
      <c r="B48" t="s">
        <v>307</v>
      </c>
      <c r="C48" t="s">
        <v>1949</v>
      </c>
      <c r="D48">
        <v>16</v>
      </c>
    </row>
    <row r="49" spans="1:4" x14ac:dyDescent="0.25">
      <c r="A49" t="s">
        <v>80</v>
      </c>
      <c r="B49" t="s">
        <v>179</v>
      </c>
      <c r="C49" t="s">
        <v>1150</v>
      </c>
      <c r="D49">
        <v>14</v>
      </c>
    </row>
    <row r="50" spans="1:4" x14ac:dyDescent="0.25">
      <c r="A50" t="s">
        <v>80</v>
      </c>
      <c r="B50" t="s">
        <v>93</v>
      </c>
      <c r="C50" t="s">
        <v>1950</v>
      </c>
      <c r="D50">
        <v>16</v>
      </c>
    </row>
    <row r="51" spans="1:4" x14ac:dyDescent="0.25">
      <c r="A51" t="s">
        <v>80</v>
      </c>
      <c r="B51" t="s">
        <v>19</v>
      </c>
      <c r="C51" t="s">
        <v>1951</v>
      </c>
      <c r="D51">
        <v>13</v>
      </c>
    </row>
    <row r="52" spans="1:4" x14ac:dyDescent="0.25">
      <c r="A52" t="s">
        <v>80</v>
      </c>
      <c r="B52" t="s">
        <v>1819</v>
      </c>
      <c r="C52" t="s">
        <v>1952</v>
      </c>
      <c r="D52">
        <v>11</v>
      </c>
    </row>
    <row r="53" spans="1:4" x14ac:dyDescent="0.25">
      <c r="A53" t="s">
        <v>80</v>
      </c>
      <c r="B53" t="s">
        <v>943</v>
      </c>
      <c r="C53" t="s">
        <v>1953</v>
      </c>
      <c r="D53">
        <v>13</v>
      </c>
    </row>
    <row r="54" spans="1:4" x14ac:dyDescent="0.25">
      <c r="A54" t="s">
        <v>80</v>
      </c>
      <c r="B54" t="s">
        <v>1503</v>
      </c>
      <c r="C54" t="s">
        <v>1158</v>
      </c>
      <c r="D54">
        <v>10</v>
      </c>
    </row>
    <row r="55" spans="1:4" x14ac:dyDescent="0.25">
      <c r="A55" t="s">
        <v>80</v>
      </c>
      <c r="B55" t="s">
        <v>984</v>
      </c>
      <c r="C55" t="s">
        <v>1954</v>
      </c>
      <c r="D55">
        <v>11</v>
      </c>
    </row>
    <row r="56" spans="1:4" x14ac:dyDescent="0.25">
      <c r="A56" t="s">
        <v>80</v>
      </c>
      <c r="B56" t="s">
        <v>1698</v>
      </c>
      <c r="C56" t="s">
        <v>1160</v>
      </c>
      <c r="D56">
        <v>9</v>
      </c>
    </row>
    <row r="57" spans="1:4" x14ac:dyDescent="0.25">
      <c r="A57" t="s">
        <v>80</v>
      </c>
      <c r="B57" t="s">
        <v>70</v>
      </c>
      <c r="C57" t="s">
        <v>1161</v>
      </c>
      <c r="D57">
        <v>10</v>
      </c>
    </row>
    <row r="58" spans="1:4" x14ac:dyDescent="0.25">
      <c r="A58" t="s">
        <v>80</v>
      </c>
      <c r="B58" t="s">
        <v>503</v>
      </c>
      <c r="C58" t="s">
        <v>1163</v>
      </c>
      <c r="D58">
        <v>8</v>
      </c>
    </row>
    <row r="59" spans="1:4" x14ac:dyDescent="0.25">
      <c r="A59" t="s">
        <v>80</v>
      </c>
      <c r="B59" t="s">
        <v>900</v>
      </c>
      <c r="C59" t="s">
        <v>1164</v>
      </c>
      <c r="D59">
        <v>6</v>
      </c>
    </row>
    <row r="60" spans="1:4" x14ac:dyDescent="0.25">
      <c r="A60" t="s">
        <v>80</v>
      </c>
      <c r="B60" t="s">
        <v>772</v>
      </c>
      <c r="C60" t="s">
        <v>1165</v>
      </c>
      <c r="D60">
        <v>8</v>
      </c>
    </row>
    <row r="61" spans="1:4" x14ac:dyDescent="0.25">
      <c r="A61" t="s">
        <v>80</v>
      </c>
      <c r="B61" t="s">
        <v>772</v>
      </c>
      <c r="C61" t="s">
        <v>1955</v>
      </c>
      <c r="D61">
        <v>9</v>
      </c>
    </row>
    <row r="62" spans="1:4" x14ac:dyDescent="0.25">
      <c r="A62" t="s">
        <v>123</v>
      </c>
      <c r="B62" t="s">
        <v>563</v>
      </c>
      <c r="C62" t="s">
        <v>1956</v>
      </c>
      <c r="D62">
        <v>7</v>
      </c>
    </row>
    <row r="63" spans="1:4" x14ac:dyDescent="0.25">
      <c r="A63" t="s">
        <v>123</v>
      </c>
      <c r="B63" t="s">
        <v>719</v>
      </c>
      <c r="C63" t="s">
        <v>1841</v>
      </c>
      <c r="D63">
        <v>4</v>
      </c>
    </row>
    <row r="64" spans="1:4" x14ac:dyDescent="0.25">
      <c r="A64" t="s">
        <v>123</v>
      </c>
      <c r="B64" t="s">
        <v>693</v>
      </c>
      <c r="C64" t="s">
        <v>1736</v>
      </c>
      <c r="D64">
        <v>2</v>
      </c>
    </row>
    <row r="65" spans="1:4" x14ac:dyDescent="0.25">
      <c r="A65" t="s">
        <v>123</v>
      </c>
      <c r="B65" t="s">
        <v>827</v>
      </c>
      <c r="C65" t="s">
        <v>1957</v>
      </c>
      <c r="D65">
        <v>4</v>
      </c>
    </row>
    <row r="66" spans="1:4" x14ac:dyDescent="0.25">
      <c r="A66" t="s">
        <v>123</v>
      </c>
      <c r="B66" t="s">
        <v>827</v>
      </c>
      <c r="C66" t="s">
        <v>1842</v>
      </c>
      <c r="D66">
        <v>5</v>
      </c>
    </row>
    <row r="67" spans="1:4" x14ac:dyDescent="0.25">
      <c r="A67" t="s">
        <v>123</v>
      </c>
      <c r="B67" t="s">
        <v>590</v>
      </c>
      <c r="C67" t="s">
        <v>1614</v>
      </c>
      <c r="D67">
        <v>7</v>
      </c>
    </row>
    <row r="68" spans="1:4" x14ac:dyDescent="0.25">
      <c r="A68" t="s">
        <v>123</v>
      </c>
      <c r="B68" t="s">
        <v>1958</v>
      </c>
      <c r="C68" t="s">
        <v>761</v>
      </c>
      <c r="D68">
        <v>5</v>
      </c>
    </row>
    <row r="69" spans="1:4" x14ac:dyDescent="0.25">
      <c r="A69" t="s">
        <v>123</v>
      </c>
      <c r="B69" t="s">
        <v>1529</v>
      </c>
      <c r="C69" t="s">
        <v>1959</v>
      </c>
      <c r="D69">
        <v>6</v>
      </c>
    </row>
    <row r="70" spans="1:4" x14ac:dyDescent="0.25">
      <c r="A70" t="s">
        <v>123</v>
      </c>
      <c r="B70" t="s">
        <v>1742</v>
      </c>
      <c r="C70" t="s">
        <v>1176</v>
      </c>
      <c r="D70">
        <v>3</v>
      </c>
    </row>
    <row r="71" spans="1:4" x14ac:dyDescent="0.25">
      <c r="A71" t="s">
        <v>123</v>
      </c>
      <c r="B71" t="s">
        <v>1775</v>
      </c>
      <c r="C71" t="s">
        <v>1178</v>
      </c>
      <c r="D71">
        <v>4</v>
      </c>
    </row>
    <row r="72" spans="1:4" x14ac:dyDescent="0.25">
      <c r="A72" t="s">
        <v>123</v>
      </c>
      <c r="B72" t="s">
        <v>19</v>
      </c>
      <c r="C72" t="s">
        <v>1960</v>
      </c>
      <c r="D72">
        <v>1</v>
      </c>
    </row>
    <row r="73" spans="1:4" x14ac:dyDescent="0.25">
      <c r="A73" t="s">
        <v>123</v>
      </c>
      <c r="B73" t="s">
        <v>961</v>
      </c>
      <c r="C73" t="s">
        <v>1961</v>
      </c>
      <c r="D73">
        <v>4</v>
      </c>
    </row>
    <row r="74" spans="1:4" x14ac:dyDescent="0.25">
      <c r="A74" t="s">
        <v>123</v>
      </c>
      <c r="B74" t="s">
        <v>524</v>
      </c>
      <c r="C74" t="s">
        <v>1962</v>
      </c>
      <c r="D74">
        <v>3</v>
      </c>
    </row>
    <row r="75" spans="1:4" x14ac:dyDescent="0.25">
      <c r="A75" t="s">
        <v>123</v>
      </c>
      <c r="B75" t="s">
        <v>524</v>
      </c>
      <c r="C75" t="s">
        <v>1963</v>
      </c>
      <c r="D75">
        <v>2</v>
      </c>
    </row>
    <row r="76" spans="1:4" x14ac:dyDescent="0.25">
      <c r="A76" t="s">
        <v>123</v>
      </c>
      <c r="B76" t="s">
        <v>524</v>
      </c>
      <c r="C76" t="s">
        <v>1964</v>
      </c>
      <c r="D76">
        <v>1</v>
      </c>
    </row>
    <row r="77" spans="1:4" x14ac:dyDescent="0.25">
      <c r="A77" t="s">
        <v>123</v>
      </c>
      <c r="B77" t="s">
        <v>1396</v>
      </c>
      <c r="C77" t="s">
        <v>769</v>
      </c>
      <c r="D77">
        <v>3</v>
      </c>
    </row>
    <row r="78" spans="1:4" x14ac:dyDescent="0.25">
      <c r="A78" t="s">
        <v>123</v>
      </c>
      <c r="B78" t="s">
        <v>473</v>
      </c>
      <c r="C78" t="s">
        <v>1965</v>
      </c>
      <c r="D78">
        <v>4</v>
      </c>
    </row>
    <row r="79" spans="1:4" x14ac:dyDescent="0.25">
      <c r="A79" t="s">
        <v>123</v>
      </c>
      <c r="B79" t="s">
        <v>671</v>
      </c>
      <c r="C79" t="s">
        <v>668</v>
      </c>
      <c r="D79">
        <v>2</v>
      </c>
    </row>
    <row r="80" spans="1:4" x14ac:dyDescent="0.25">
      <c r="A80" t="s">
        <v>123</v>
      </c>
      <c r="B80" t="s">
        <v>529</v>
      </c>
      <c r="C80" t="s">
        <v>669</v>
      </c>
      <c r="D80">
        <v>3</v>
      </c>
    </row>
    <row r="81" spans="1:4" x14ac:dyDescent="0.25">
      <c r="A81" t="s">
        <v>123</v>
      </c>
      <c r="B81" t="s">
        <v>529</v>
      </c>
      <c r="C81" t="s">
        <v>670</v>
      </c>
      <c r="D81">
        <v>4</v>
      </c>
    </row>
    <row r="82" spans="1:4" x14ac:dyDescent="0.25">
      <c r="A82" t="s">
        <v>123</v>
      </c>
      <c r="B82" t="s">
        <v>900</v>
      </c>
      <c r="C82" t="s">
        <v>1966</v>
      </c>
      <c r="D82">
        <v>1</v>
      </c>
    </row>
    <row r="83" spans="1:4" x14ac:dyDescent="0.25">
      <c r="A83" t="s">
        <v>123</v>
      </c>
      <c r="B83" t="s">
        <v>772</v>
      </c>
      <c r="C83" t="s">
        <v>1967</v>
      </c>
      <c r="D83">
        <v>2</v>
      </c>
    </row>
    <row r="84" spans="1:4" x14ac:dyDescent="0.25">
      <c r="A84" t="s">
        <v>123</v>
      </c>
      <c r="B84" t="s">
        <v>1276</v>
      </c>
      <c r="C84" t="s">
        <v>1968</v>
      </c>
      <c r="D84">
        <v>3</v>
      </c>
    </row>
    <row r="85" spans="1:4" x14ac:dyDescent="0.25">
      <c r="A85" t="s">
        <v>123</v>
      </c>
      <c r="B85" t="s">
        <v>1276</v>
      </c>
      <c r="C85" t="s">
        <v>1969</v>
      </c>
      <c r="D85">
        <v>4</v>
      </c>
    </row>
    <row r="86" spans="1:4" x14ac:dyDescent="0.25">
      <c r="A86" t="s">
        <v>123</v>
      </c>
      <c r="B86" t="s">
        <v>584</v>
      </c>
      <c r="C86" t="s">
        <v>1970</v>
      </c>
      <c r="D86">
        <v>3</v>
      </c>
    </row>
    <row r="87" spans="1:4" x14ac:dyDescent="0.25">
      <c r="A87" t="s">
        <v>123</v>
      </c>
      <c r="B87" t="s">
        <v>584</v>
      </c>
      <c r="C87" t="s">
        <v>1971</v>
      </c>
      <c r="D87">
        <v>4</v>
      </c>
    </row>
    <row r="89" spans="1:4" x14ac:dyDescent="0.25">
      <c r="A89" s="2" t="s">
        <v>157</v>
      </c>
    </row>
    <row r="90" spans="1:4" x14ac:dyDescent="0.25">
      <c r="A90" t="s">
        <v>158</v>
      </c>
      <c r="D90">
        <f>AVERAGE(D2:D87)</f>
        <v>6.1860465116279073</v>
      </c>
    </row>
    <row r="91" spans="1:4" x14ac:dyDescent="0.25">
      <c r="A91" t="s">
        <v>159</v>
      </c>
      <c r="D91">
        <f>MAX(D2:D87)</f>
        <v>16</v>
      </c>
    </row>
    <row r="92" spans="1:4" x14ac:dyDescent="0.25">
      <c r="A92" t="s">
        <v>160</v>
      </c>
      <c r="D92">
        <f>MIN(D2:D87)</f>
        <v>-3</v>
      </c>
    </row>
    <row r="93" spans="1:4" x14ac:dyDescent="0.25">
      <c r="A93" t="s">
        <v>161</v>
      </c>
      <c r="D93">
        <f>COUNTIF(D2:D87,"&gt;0")</f>
        <v>78</v>
      </c>
    </row>
    <row r="94" spans="1:4" x14ac:dyDescent="0.25">
      <c r="A94" t="s">
        <v>162</v>
      </c>
      <c r="D94">
        <f>COUNTIF(D2:D87,"=0")</f>
        <v>2</v>
      </c>
    </row>
    <row r="95" spans="1:4" x14ac:dyDescent="0.25">
      <c r="A95" t="s">
        <v>775</v>
      </c>
      <c r="D95">
        <f>COUNTIF(D2:D87,"&lt;0")</f>
        <v>6</v>
      </c>
    </row>
    <row r="97" spans="1:4" x14ac:dyDescent="0.25">
      <c r="A97" s="2" t="s">
        <v>164</v>
      </c>
    </row>
    <row r="98" spans="1:4" x14ac:dyDescent="0.25">
      <c r="A98" t="s">
        <v>165</v>
      </c>
      <c r="D98">
        <f>AVERAGE(D2,D3,D4,D5,D6,D7,D8,D9,D10,D11,D12,D13,D14,D15,D16,D17,D18,D19,D20,D21,D22,D23,D24)</f>
        <v>2.5217391304347827</v>
      </c>
    </row>
    <row r="99" spans="1:4" x14ac:dyDescent="0.25">
      <c r="A99" t="s">
        <v>166</v>
      </c>
      <c r="D99">
        <f>AVERAGE(D25,D26,D27,D28,D29,D30,D31,D32,D33,D34,D35,D36,D37,D38,D39,D40,D41,D42,D43)</f>
        <v>8.9473684210526319</v>
      </c>
    </row>
    <row r="100" spans="1:4" x14ac:dyDescent="0.25">
      <c r="A100" t="s">
        <v>167</v>
      </c>
      <c r="D100">
        <f>AVERAGE(D44,D45,D46,D47,D48,D49,D50,D51,D52,D53,D54,D55,D56,D57,D58,D59,D60,D61)</f>
        <v>11.833333333333334</v>
      </c>
    </row>
    <row r="101" spans="1:4" x14ac:dyDescent="0.25">
      <c r="A101" t="s">
        <v>168</v>
      </c>
      <c r="D101">
        <f>AVERAGE(D62,D63,D64,D65,D66,D67,D68,D69,D70,D71,D72,D73,D74,D75,D76,D77,D78,D79,D80,D81,D82,D83,D84,D85,D86,D87)</f>
        <v>3.5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776</v>
      </c>
    </row>
    <row r="2" spans="1:4" x14ac:dyDescent="0.25">
      <c r="A2" t="s">
        <v>4</v>
      </c>
      <c r="B2" t="s">
        <v>563</v>
      </c>
      <c r="C2" t="s">
        <v>1923</v>
      </c>
      <c r="D2">
        <v>1</v>
      </c>
    </row>
    <row r="3" spans="1:4" x14ac:dyDescent="0.25">
      <c r="A3" t="s">
        <v>4</v>
      </c>
      <c r="B3" t="s">
        <v>563</v>
      </c>
      <c r="C3" t="s">
        <v>6</v>
      </c>
      <c r="D3">
        <v>2</v>
      </c>
    </row>
    <row r="4" spans="1:4" x14ac:dyDescent="0.25">
      <c r="A4" t="s">
        <v>4</v>
      </c>
      <c r="B4" t="s">
        <v>563</v>
      </c>
      <c r="C4" t="s">
        <v>171</v>
      </c>
      <c r="D4">
        <v>3</v>
      </c>
    </row>
    <row r="5" spans="1:4" x14ac:dyDescent="0.25">
      <c r="A5" t="s">
        <v>4</v>
      </c>
      <c r="B5" t="s">
        <v>1924</v>
      </c>
      <c r="C5" t="s">
        <v>1572</v>
      </c>
      <c r="D5">
        <v>5</v>
      </c>
    </row>
    <row r="6" spans="1:4" x14ac:dyDescent="0.25">
      <c r="A6" t="s">
        <v>4</v>
      </c>
      <c r="B6" t="s">
        <v>933</v>
      </c>
      <c r="C6" t="s">
        <v>1347</v>
      </c>
      <c r="D6">
        <v>3</v>
      </c>
    </row>
    <row r="7" spans="1:4" x14ac:dyDescent="0.25">
      <c r="A7" t="s">
        <v>4</v>
      </c>
      <c r="B7" t="s">
        <v>565</v>
      </c>
      <c r="C7" t="s">
        <v>1972</v>
      </c>
      <c r="D7">
        <v>6</v>
      </c>
    </row>
    <row r="8" spans="1:4" x14ac:dyDescent="0.25">
      <c r="A8" t="s">
        <v>4</v>
      </c>
      <c r="B8" t="s">
        <v>1973</v>
      </c>
      <c r="C8" t="s">
        <v>695</v>
      </c>
      <c r="D8">
        <v>3</v>
      </c>
    </row>
    <row r="9" spans="1:4" x14ac:dyDescent="0.25">
      <c r="A9" t="s">
        <v>4</v>
      </c>
      <c r="B9" t="s">
        <v>935</v>
      </c>
      <c r="C9" t="s">
        <v>1974</v>
      </c>
      <c r="D9">
        <v>5</v>
      </c>
    </row>
    <row r="10" spans="1:4" x14ac:dyDescent="0.25">
      <c r="A10" t="s">
        <v>4</v>
      </c>
      <c r="B10" t="s">
        <v>800</v>
      </c>
      <c r="C10" t="s">
        <v>783</v>
      </c>
      <c r="D10">
        <v>7</v>
      </c>
    </row>
    <row r="11" spans="1:4" x14ac:dyDescent="0.25">
      <c r="A11" t="s">
        <v>4</v>
      </c>
      <c r="B11" t="s">
        <v>361</v>
      </c>
      <c r="C11" t="s">
        <v>1195</v>
      </c>
      <c r="D11">
        <v>9</v>
      </c>
    </row>
    <row r="12" spans="1:4" x14ac:dyDescent="0.25">
      <c r="A12" t="s">
        <v>4</v>
      </c>
      <c r="B12" t="s">
        <v>1011</v>
      </c>
      <c r="C12" t="s">
        <v>1975</v>
      </c>
      <c r="D12">
        <v>11</v>
      </c>
    </row>
    <row r="13" spans="1:4" x14ac:dyDescent="0.25">
      <c r="A13" t="s">
        <v>4</v>
      </c>
      <c r="B13" t="s">
        <v>179</v>
      </c>
      <c r="C13" t="s">
        <v>1976</v>
      </c>
      <c r="D13">
        <v>14</v>
      </c>
    </row>
    <row r="14" spans="1:4" x14ac:dyDescent="0.25">
      <c r="A14" t="s">
        <v>4</v>
      </c>
      <c r="B14" t="s">
        <v>217</v>
      </c>
      <c r="C14" t="s">
        <v>1977</v>
      </c>
      <c r="D14">
        <v>17</v>
      </c>
    </row>
    <row r="15" spans="1:4" x14ac:dyDescent="0.25">
      <c r="A15" t="s">
        <v>4</v>
      </c>
      <c r="B15" t="s">
        <v>62</v>
      </c>
      <c r="C15" t="s">
        <v>1978</v>
      </c>
      <c r="D15">
        <v>19</v>
      </c>
    </row>
    <row r="16" spans="1:4" x14ac:dyDescent="0.25">
      <c r="A16" t="s">
        <v>4</v>
      </c>
      <c r="B16" t="s">
        <v>221</v>
      </c>
      <c r="C16" t="s">
        <v>1979</v>
      </c>
      <c r="D16">
        <v>16</v>
      </c>
    </row>
    <row r="17" spans="1:4" x14ac:dyDescent="0.25">
      <c r="A17" t="s">
        <v>4</v>
      </c>
      <c r="B17" t="s">
        <v>261</v>
      </c>
      <c r="C17" t="s">
        <v>1980</v>
      </c>
      <c r="D17">
        <v>17</v>
      </c>
    </row>
    <row r="18" spans="1:4" x14ac:dyDescent="0.25">
      <c r="A18" t="s">
        <v>4</v>
      </c>
      <c r="B18" t="s">
        <v>261</v>
      </c>
      <c r="C18" t="s">
        <v>1981</v>
      </c>
      <c r="D18">
        <v>18</v>
      </c>
    </row>
    <row r="19" spans="1:4" x14ac:dyDescent="0.25">
      <c r="A19" t="s">
        <v>4</v>
      </c>
      <c r="B19" t="s">
        <v>1602</v>
      </c>
      <c r="C19" t="s">
        <v>1982</v>
      </c>
      <c r="D19">
        <v>20</v>
      </c>
    </row>
    <row r="20" spans="1:4" x14ac:dyDescent="0.25">
      <c r="A20" t="s">
        <v>4</v>
      </c>
      <c r="B20" t="s">
        <v>702</v>
      </c>
      <c r="C20" t="s">
        <v>1983</v>
      </c>
      <c r="D20">
        <v>18</v>
      </c>
    </row>
    <row r="21" spans="1:4" x14ac:dyDescent="0.25">
      <c r="A21" t="s">
        <v>4</v>
      </c>
      <c r="B21" t="s">
        <v>1882</v>
      </c>
      <c r="C21" t="s">
        <v>1984</v>
      </c>
      <c r="D21">
        <v>21</v>
      </c>
    </row>
    <row r="22" spans="1:4" x14ac:dyDescent="0.25">
      <c r="A22" t="s">
        <v>4</v>
      </c>
      <c r="B22" t="s">
        <v>228</v>
      </c>
      <c r="C22" t="s">
        <v>1985</v>
      </c>
      <c r="D22">
        <v>23</v>
      </c>
    </row>
    <row r="23" spans="1:4" x14ac:dyDescent="0.25">
      <c r="A23" t="s">
        <v>4</v>
      </c>
      <c r="B23" t="s">
        <v>29</v>
      </c>
      <c r="C23" t="s">
        <v>1986</v>
      </c>
      <c r="D23">
        <v>21</v>
      </c>
    </row>
    <row r="24" spans="1:4" x14ac:dyDescent="0.25">
      <c r="A24" t="s">
        <v>4</v>
      </c>
      <c r="B24" t="s">
        <v>1356</v>
      </c>
      <c r="C24" t="s">
        <v>1987</v>
      </c>
      <c r="D24">
        <v>19</v>
      </c>
    </row>
    <row r="25" spans="1:4" x14ac:dyDescent="0.25">
      <c r="A25" t="s">
        <v>4</v>
      </c>
      <c r="B25" t="s">
        <v>1988</v>
      </c>
      <c r="C25" t="s">
        <v>1989</v>
      </c>
      <c r="D25">
        <v>21</v>
      </c>
    </row>
    <row r="26" spans="1:4" x14ac:dyDescent="0.25">
      <c r="A26" t="s">
        <v>4</v>
      </c>
      <c r="B26" t="s">
        <v>1990</v>
      </c>
      <c r="C26" t="s">
        <v>1991</v>
      </c>
      <c r="D26">
        <v>22</v>
      </c>
    </row>
    <row r="27" spans="1:4" x14ac:dyDescent="0.25">
      <c r="A27" t="s">
        <v>4</v>
      </c>
      <c r="B27" t="s">
        <v>1990</v>
      </c>
      <c r="C27" t="s">
        <v>1992</v>
      </c>
      <c r="D27">
        <v>23</v>
      </c>
    </row>
    <row r="28" spans="1:4" x14ac:dyDescent="0.25">
      <c r="A28" t="s">
        <v>4</v>
      </c>
      <c r="B28" t="s">
        <v>683</v>
      </c>
      <c r="C28" t="s">
        <v>1993</v>
      </c>
      <c r="D28">
        <v>20</v>
      </c>
    </row>
    <row r="29" spans="1:4" x14ac:dyDescent="0.25">
      <c r="A29" t="s">
        <v>4</v>
      </c>
      <c r="B29" t="s">
        <v>584</v>
      </c>
      <c r="C29" t="s">
        <v>1994</v>
      </c>
      <c r="D29">
        <v>22</v>
      </c>
    </row>
    <row r="30" spans="1:4" x14ac:dyDescent="0.25">
      <c r="A30" t="s">
        <v>40</v>
      </c>
      <c r="B30" t="s">
        <v>1524</v>
      </c>
      <c r="C30" t="s">
        <v>1995</v>
      </c>
      <c r="D30">
        <v>25</v>
      </c>
    </row>
    <row r="31" spans="1:4" x14ac:dyDescent="0.25">
      <c r="A31" t="s">
        <v>40</v>
      </c>
      <c r="B31" t="s">
        <v>205</v>
      </c>
      <c r="C31" t="s">
        <v>1996</v>
      </c>
      <c r="D31">
        <v>26</v>
      </c>
    </row>
    <row r="32" spans="1:4" x14ac:dyDescent="0.25">
      <c r="A32" t="s">
        <v>40</v>
      </c>
      <c r="B32" t="s">
        <v>1735</v>
      </c>
      <c r="C32" t="s">
        <v>1997</v>
      </c>
      <c r="D32">
        <v>24</v>
      </c>
    </row>
    <row r="33" spans="1:4" x14ac:dyDescent="0.25">
      <c r="A33" t="s">
        <v>40</v>
      </c>
      <c r="B33" t="s">
        <v>721</v>
      </c>
      <c r="C33" t="s">
        <v>1998</v>
      </c>
      <c r="D33">
        <v>26</v>
      </c>
    </row>
    <row r="34" spans="1:4" x14ac:dyDescent="0.25">
      <c r="A34" t="s">
        <v>40</v>
      </c>
      <c r="B34" t="s">
        <v>1573</v>
      </c>
      <c r="C34" t="s">
        <v>1999</v>
      </c>
      <c r="D34">
        <v>24</v>
      </c>
    </row>
    <row r="35" spans="1:4" x14ac:dyDescent="0.25">
      <c r="A35" t="s">
        <v>40</v>
      </c>
      <c r="B35" t="s">
        <v>1029</v>
      </c>
      <c r="C35" t="s">
        <v>2000</v>
      </c>
      <c r="D35">
        <v>25</v>
      </c>
    </row>
    <row r="36" spans="1:4" x14ac:dyDescent="0.25">
      <c r="A36" t="s">
        <v>40</v>
      </c>
      <c r="B36" t="s">
        <v>1771</v>
      </c>
      <c r="C36" t="s">
        <v>2001</v>
      </c>
      <c r="D36">
        <v>27</v>
      </c>
    </row>
    <row r="37" spans="1:4" x14ac:dyDescent="0.25">
      <c r="A37" t="s">
        <v>40</v>
      </c>
      <c r="B37" t="s">
        <v>1958</v>
      </c>
      <c r="C37" t="s">
        <v>1044</v>
      </c>
      <c r="D37">
        <v>24</v>
      </c>
    </row>
    <row r="38" spans="1:4" x14ac:dyDescent="0.25">
      <c r="A38" t="s">
        <v>40</v>
      </c>
      <c r="B38" t="s">
        <v>832</v>
      </c>
      <c r="C38" t="s">
        <v>2002</v>
      </c>
      <c r="D38">
        <v>26</v>
      </c>
    </row>
    <row r="39" spans="1:4" x14ac:dyDescent="0.25">
      <c r="A39" t="s">
        <v>40</v>
      </c>
      <c r="B39" t="s">
        <v>56</v>
      </c>
      <c r="C39" t="s">
        <v>2003</v>
      </c>
      <c r="D39">
        <v>23</v>
      </c>
    </row>
    <row r="40" spans="1:4" x14ac:dyDescent="0.25">
      <c r="A40" t="s">
        <v>40</v>
      </c>
      <c r="B40" t="s">
        <v>135</v>
      </c>
      <c r="C40" t="s">
        <v>2004</v>
      </c>
      <c r="D40">
        <v>25</v>
      </c>
    </row>
    <row r="41" spans="1:4" x14ac:dyDescent="0.25">
      <c r="A41" t="s">
        <v>40</v>
      </c>
      <c r="B41" t="s">
        <v>221</v>
      </c>
      <c r="C41" t="s">
        <v>2005</v>
      </c>
      <c r="D41">
        <v>23</v>
      </c>
    </row>
    <row r="42" spans="1:4" x14ac:dyDescent="0.25">
      <c r="A42" t="s">
        <v>40</v>
      </c>
      <c r="B42" t="s">
        <v>764</v>
      </c>
      <c r="C42" t="s">
        <v>2006</v>
      </c>
      <c r="D42">
        <v>25</v>
      </c>
    </row>
    <row r="43" spans="1:4" x14ac:dyDescent="0.25">
      <c r="A43" t="s">
        <v>40</v>
      </c>
      <c r="B43" t="s">
        <v>546</v>
      </c>
      <c r="C43" t="s">
        <v>2007</v>
      </c>
      <c r="D43">
        <v>24</v>
      </c>
    </row>
    <row r="44" spans="1:4" x14ac:dyDescent="0.25">
      <c r="A44" t="s">
        <v>40</v>
      </c>
      <c r="B44" t="s">
        <v>546</v>
      </c>
      <c r="C44" t="s">
        <v>2008</v>
      </c>
      <c r="D44">
        <v>23</v>
      </c>
    </row>
    <row r="45" spans="1:4" x14ac:dyDescent="0.25">
      <c r="A45" t="s">
        <v>40</v>
      </c>
      <c r="B45" t="s">
        <v>894</v>
      </c>
      <c r="C45" t="s">
        <v>2009</v>
      </c>
      <c r="D45">
        <v>26</v>
      </c>
    </row>
    <row r="46" spans="1:4" x14ac:dyDescent="0.25">
      <c r="A46" t="s">
        <v>40</v>
      </c>
      <c r="B46" t="s">
        <v>1356</v>
      </c>
      <c r="C46" t="s">
        <v>1390</v>
      </c>
      <c r="D46">
        <v>29</v>
      </c>
    </row>
    <row r="47" spans="1:4" x14ac:dyDescent="0.25">
      <c r="A47" t="s">
        <v>40</v>
      </c>
      <c r="B47" t="s">
        <v>683</v>
      </c>
      <c r="C47" t="s">
        <v>2010</v>
      </c>
      <c r="D47">
        <v>26</v>
      </c>
    </row>
    <row r="48" spans="1:4" x14ac:dyDescent="0.25">
      <c r="A48" t="s">
        <v>40</v>
      </c>
      <c r="B48" t="s">
        <v>38</v>
      </c>
      <c r="C48" t="s">
        <v>2011</v>
      </c>
      <c r="D48">
        <v>29</v>
      </c>
    </row>
    <row r="49" spans="1:4" x14ac:dyDescent="0.25">
      <c r="A49" t="s">
        <v>80</v>
      </c>
      <c r="B49" t="s">
        <v>352</v>
      </c>
      <c r="C49" t="s">
        <v>2012</v>
      </c>
      <c r="D49">
        <v>31</v>
      </c>
    </row>
    <row r="50" spans="1:4" x14ac:dyDescent="0.25">
      <c r="A50" t="s">
        <v>80</v>
      </c>
      <c r="B50" t="s">
        <v>1691</v>
      </c>
      <c r="C50" t="s">
        <v>2013</v>
      </c>
      <c r="D50">
        <v>29</v>
      </c>
    </row>
    <row r="51" spans="1:4" x14ac:dyDescent="0.25">
      <c r="A51" t="s">
        <v>80</v>
      </c>
      <c r="B51" t="s">
        <v>175</v>
      </c>
      <c r="C51" t="s">
        <v>2014</v>
      </c>
      <c r="D51">
        <v>27</v>
      </c>
    </row>
    <row r="52" spans="1:4" x14ac:dyDescent="0.25">
      <c r="A52" t="s">
        <v>80</v>
      </c>
      <c r="B52" t="s">
        <v>621</v>
      </c>
      <c r="C52" t="s">
        <v>1397</v>
      </c>
      <c r="D52">
        <v>29</v>
      </c>
    </row>
    <row r="53" spans="1:4" x14ac:dyDescent="0.25">
      <c r="A53" t="s">
        <v>80</v>
      </c>
      <c r="B53" t="s">
        <v>1773</v>
      </c>
      <c r="C53" t="s">
        <v>2015</v>
      </c>
      <c r="D53">
        <v>27</v>
      </c>
    </row>
    <row r="54" spans="1:4" x14ac:dyDescent="0.25">
      <c r="A54" t="s">
        <v>80</v>
      </c>
      <c r="B54" t="s">
        <v>56</v>
      </c>
      <c r="C54" t="s">
        <v>2016</v>
      </c>
      <c r="D54">
        <v>30</v>
      </c>
    </row>
    <row r="55" spans="1:4" x14ac:dyDescent="0.25">
      <c r="A55" t="s">
        <v>80</v>
      </c>
      <c r="B55" t="s">
        <v>654</v>
      </c>
      <c r="C55" t="s">
        <v>1401</v>
      </c>
      <c r="D55">
        <v>33</v>
      </c>
    </row>
    <row r="56" spans="1:4" x14ac:dyDescent="0.25">
      <c r="A56" t="s">
        <v>80</v>
      </c>
      <c r="B56" t="s">
        <v>62</v>
      </c>
      <c r="C56" t="s">
        <v>2017</v>
      </c>
      <c r="D56">
        <v>31</v>
      </c>
    </row>
    <row r="57" spans="1:4" x14ac:dyDescent="0.25">
      <c r="A57" t="s">
        <v>80</v>
      </c>
      <c r="B57" t="s">
        <v>1349</v>
      </c>
      <c r="C57" t="s">
        <v>2018</v>
      </c>
      <c r="D57">
        <v>33</v>
      </c>
    </row>
    <row r="58" spans="1:4" x14ac:dyDescent="0.25">
      <c r="A58" t="s">
        <v>80</v>
      </c>
      <c r="B58" t="s">
        <v>1230</v>
      </c>
      <c r="C58" t="s">
        <v>2019</v>
      </c>
      <c r="D58">
        <v>30</v>
      </c>
    </row>
    <row r="59" spans="1:4" x14ac:dyDescent="0.25">
      <c r="A59" t="s">
        <v>80</v>
      </c>
      <c r="B59" t="s">
        <v>805</v>
      </c>
      <c r="C59" t="s">
        <v>2020</v>
      </c>
      <c r="D59">
        <v>31</v>
      </c>
    </row>
    <row r="60" spans="1:4" x14ac:dyDescent="0.25">
      <c r="A60" t="s">
        <v>80</v>
      </c>
      <c r="B60" t="s">
        <v>805</v>
      </c>
      <c r="C60" t="s">
        <v>2021</v>
      </c>
      <c r="D60">
        <v>32</v>
      </c>
    </row>
    <row r="61" spans="1:4" x14ac:dyDescent="0.25">
      <c r="A61" t="s">
        <v>80</v>
      </c>
      <c r="B61" t="s">
        <v>1503</v>
      </c>
      <c r="C61" t="s">
        <v>2022</v>
      </c>
      <c r="D61">
        <v>29</v>
      </c>
    </row>
    <row r="62" spans="1:4" x14ac:dyDescent="0.25">
      <c r="A62" t="s">
        <v>80</v>
      </c>
      <c r="B62" t="s">
        <v>629</v>
      </c>
      <c r="C62" t="s">
        <v>2023</v>
      </c>
      <c r="D62">
        <v>31</v>
      </c>
    </row>
    <row r="63" spans="1:4" x14ac:dyDescent="0.25">
      <c r="A63" t="s">
        <v>80</v>
      </c>
      <c r="B63" t="s">
        <v>1112</v>
      </c>
      <c r="C63" t="s">
        <v>1412</v>
      </c>
      <c r="D63">
        <v>29</v>
      </c>
    </row>
    <row r="64" spans="1:4" x14ac:dyDescent="0.25">
      <c r="A64" t="s">
        <v>80</v>
      </c>
      <c r="B64" t="s">
        <v>1204</v>
      </c>
      <c r="C64" t="s">
        <v>2024</v>
      </c>
      <c r="D64">
        <v>31</v>
      </c>
    </row>
    <row r="65" spans="1:4" x14ac:dyDescent="0.25">
      <c r="A65" t="s">
        <v>80</v>
      </c>
      <c r="B65" t="s">
        <v>322</v>
      </c>
      <c r="C65" t="s">
        <v>2025</v>
      </c>
      <c r="D65">
        <v>33</v>
      </c>
    </row>
    <row r="66" spans="1:4" x14ac:dyDescent="0.25">
      <c r="A66" t="s">
        <v>123</v>
      </c>
      <c r="B66" t="s">
        <v>777</v>
      </c>
      <c r="C66" t="s">
        <v>2026</v>
      </c>
      <c r="D66">
        <v>31</v>
      </c>
    </row>
    <row r="67" spans="1:4" x14ac:dyDescent="0.25">
      <c r="A67" t="s">
        <v>123</v>
      </c>
      <c r="B67" t="s">
        <v>1573</v>
      </c>
      <c r="C67" t="s">
        <v>2027</v>
      </c>
      <c r="D67">
        <v>28</v>
      </c>
    </row>
    <row r="68" spans="1:4" x14ac:dyDescent="0.25">
      <c r="A68" t="s">
        <v>123</v>
      </c>
      <c r="B68" t="s">
        <v>357</v>
      </c>
      <c r="C68" t="s">
        <v>2028</v>
      </c>
      <c r="D68">
        <v>30</v>
      </c>
    </row>
    <row r="69" spans="1:4" x14ac:dyDescent="0.25">
      <c r="A69" t="s">
        <v>123</v>
      </c>
      <c r="B69" t="s">
        <v>1118</v>
      </c>
      <c r="C69" t="s">
        <v>1337</v>
      </c>
      <c r="D69">
        <v>29</v>
      </c>
    </row>
    <row r="70" spans="1:4" x14ac:dyDescent="0.25">
      <c r="A70" t="s">
        <v>123</v>
      </c>
      <c r="B70" t="s">
        <v>1742</v>
      </c>
      <c r="C70" t="s">
        <v>2029</v>
      </c>
      <c r="D70">
        <v>27</v>
      </c>
    </row>
    <row r="71" spans="1:4" x14ac:dyDescent="0.25">
      <c r="A71" t="s">
        <v>123</v>
      </c>
      <c r="B71" t="s">
        <v>625</v>
      </c>
      <c r="C71" t="s">
        <v>2030</v>
      </c>
      <c r="D71">
        <v>25</v>
      </c>
    </row>
    <row r="72" spans="1:4" x14ac:dyDescent="0.25">
      <c r="A72" t="s">
        <v>123</v>
      </c>
      <c r="B72" t="s">
        <v>138</v>
      </c>
      <c r="C72" t="s">
        <v>2031</v>
      </c>
      <c r="D72">
        <v>23</v>
      </c>
    </row>
    <row r="73" spans="1:4" x14ac:dyDescent="0.25">
      <c r="A73" t="s">
        <v>123</v>
      </c>
      <c r="B73" t="s">
        <v>2032</v>
      </c>
      <c r="C73" t="s">
        <v>2033</v>
      </c>
      <c r="D73">
        <v>25</v>
      </c>
    </row>
    <row r="74" spans="1:4" x14ac:dyDescent="0.25">
      <c r="A74" t="s">
        <v>123</v>
      </c>
      <c r="B74" t="s">
        <v>99</v>
      </c>
      <c r="C74" t="s">
        <v>2034</v>
      </c>
      <c r="D74">
        <v>24</v>
      </c>
    </row>
    <row r="75" spans="1:4" x14ac:dyDescent="0.25">
      <c r="A75" t="s">
        <v>123</v>
      </c>
      <c r="B75" t="s">
        <v>1434</v>
      </c>
      <c r="C75" t="s">
        <v>2035</v>
      </c>
      <c r="D75">
        <v>26</v>
      </c>
    </row>
    <row r="76" spans="1:4" x14ac:dyDescent="0.25">
      <c r="A76" t="s">
        <v>123</v>
      </c>
      <c r="B76" t="s">
        <v>519</v>
      </c>
      <c r="C76" t="s">
        <v>2036</v>
      </c>
      <c r="D76">
        <v>28</v>
      </c>
    </row>
    <row r="77" spans="1:4" x14ac:dyDescent="0.25">
      <c r="A77" t="s">
        <v>123</v>
      </c>
      <c r="B77" t="s">
        <v>1016</v>
      </c>
      <c r="C77" t="s">
        <v>2037</v>
      </c>
      <c r="D77">
        <v>25</v>
      </c>
    </row>
    <row r="78" spans="1:4" x14ac:dyDescent="0.25">
      <c r="A78" t="s">
        <v>123</v>
      </c>
      <c r="B78" t="s">
        <v>990</v>
      </c>
      <c r="C78" t="s">
        <v>2038</v>
      </c>
      <c r="D78">
        <v>27</v>
      </c>
    </row>
    <row r="79" spans="1:4" x14ac:dyDescent="0.25">
      <c r="A79" t="s">
        <v>123</v>
      </c>
      <c r="B79" t="s">
        <v>1619</v>
      </c>
      <c r="C79" t="s">
        <v>2039</v>
      </c>
      <c r="D79">
        <v>26</v>
      </c>
    </row>
    <row r="80" spans="1:4" x14ac:dyDescent="0.25">
      <c r="A80" t="s">
        <v>123</v>
      </c>
      <c r="B80" t="s">
        <v>231</v>
      </c>
      <c r="C80" t="s">
        <v>2040</v>
      </c>
      <c r="D80">
        <v>29</v>
      </c>
    </row>
    <row r="81" spans="1:4" x14ac:dyDescent="0.25">
      <c r="A81" t="s">
        <v>123</v>
      </c>
      <c r="B81" t="s">
        <v>552</v>
      </c>
      <c r="C81" t="s">
        <v>2041</v>
      </c>
      <c r="D81">
        <v>26</v>
      </c>
    </row>
    <row r="82" spans="1:4" x14ac:dyDescent="0.25">
      <c r="A82" t="s">
        <v>123</v>
      </c>
      <c r="B82" t="s">
        <v>2042</v>
      </c>
      <c r="C82" t="s">
        <v>2043</v>
      </c>
      <c r="D82">
        <v>29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22.716049382716051</v>
      </c>
    </row>
    <row r="86" spans="1:4" x14ac:dyDescent="0.25">
      <c r="A86" t="s">
        <v>159</v>
      </c>
      <c r="D86">
        <f>MAX(D2:D82)</f>
        <v>33</v>
      </c>
    </row>
    <row r="87" spans="1:4" x14ac:dyDescent="0.25">
      <c r="A87" t="s">
        <v>160</v>
      </c>
      <c r="D87">
        <f>MIN(D2:D82)</f>
        <v>1</v>
      </c>
    </row>
    <row r="88" spans="1:4" x14ac:dyDescent="0.25">
      <c r="A88" t="s">
        <v>161</v>
      </c>
      <c r="D88">
        <f>COUNTIF(D2:D82,"&gt;0")</f>
        <v>81</v>
      </c>
    </row>
    <row r="89" spans="1:4" x14ac:dyDescent="0.25">
      <c r="A89" t="s">
        <v>162</v>
      </c>
      <c r="D89">
        <f>COUNTIF(D2:D82,"=0")</f>
        <v>0</v>
      </c>
    </row>
    <row r="90" spans="1:4" x14ac:dyDescent="0.25">
      <c r="A90" t="s">
        <v>905</v>
      </c>
      <c r="D90">
        <f>COUNTIF(D2:D82,"&lt;0")</f>
        <v>0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AVERAGE(D2,D3,D4,D5,D6,D7,D8,D9,D10,D11,D12,D13,D14,D15,D16,D17,D18,D19,D20,D21,D22,D23,D24,D25,D26,D27,D28,D29)</f>
        <v>13.785714285714286</v>
      </c>
    </row>
    <row r="94" spans="1:4" x14ac:dyDescent="0.25">
      <c r="A94" t="s">
        <v>166</v>
      </c>
      <c r="D94">
        <f>AVERAGE(D30,D31,D32,D33,D34,D35,D36,D37,D38,D39,D40,D41,D42,D43,D44,D45,D46,D47,D48)</f>
        <v>25.263157894736842</v>
      </c>
    </row>
    <row r="95" spans="1:4" x14ac:dyDescent="0.25">
      <c r="A95" t="s">
        <v>167</v>
      </c>
      <c r="D95">
        <f>AVERAGE(D49,D50,D51,D52,D53,D54,D55,D56,D57,D58,D59,D60,D61,D62,D63,D64,D65)</f>
        <v>30.352941176470587</v>
      </c>
    </row>
    <row r="96" spans="1:4" x14ac:dyDescent="0.25">
      <c r="A96" t="s">
        <v>168</v>
      </c>
      <c r="D96">
        <f>AVERAGE(D66,D67,D68,D69,D70,D71,D72,D73,D74,D75,D76,D77,D78,D79,D80,D81,D82)</f>
        <v>26.941176470588236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2044</v>
      </c>
    </row>
    <row r="2" spans="1:4" x14ac:dyDescent="0.25">
      <c r="A2" t="s">
        <v>4</v>
      </c>
      <c r="B2" t="s">
        <v>1664</v>
      </c>
      <c r="C2" t="s">
        <v>908</v>
      </c>
      <c r="D2">
        <v>-2</v>
      </c>
    </row>
    <row r="3" spans="1:4" x14ac:dyDescent="0.25">
      <c r="A3" t="s">
        <v>4</v>
      </c>
      <c r="B3" t="s">
        <v>1267</v>
      </c>
      <c r="C3" t="s">
        <v>174</v>
      </c>
      <c r="D3">
        <v>1</v>
      </c>
    </row>
    <row r="4" spans="1:4" x14ac:dyDescent="0.25">
      <c r="A4" t="s">
        <v>4</v>
      </c>
      <c r="B4" t="s">
        <v>1735</v>
      </c>
      <c r="C4" t="s">
        <v>2045</v>
      </c>
      <c r="D4">
        <v>-1</v>
      </c>
    </row>
    <row r="5" spans="1:4" x14ac:dyDescent="0.25">
      <c r="A5" t="s">
        <v>4</v>
      </c>
      <c r="B5" t="s">
        <v>49</v>
      </c>
      <c r="C5" t="s">
        <v>178</v>
      </c>
      <c r="D5">
        <v>2</v>
      </c>
    </row>
    <row r="6" spans="1:4" x14ac:dyDescent="0.25">
      <c r="A6" t="s">
        <v>4</v>
      </c>
      <c r="B6" t="s">
        <v>618</v>
      </c>
      <c r="C6" t="s">
        <v>2046</v>
      </c>
      <c r="D6">
        <v>0</v>
      </c>
    </row>
    <row r="7" spans="1:4" x14ac:dyDescent="0.25">
      <c r="A7" t="s">
        <v>4</v>
      </c>
      <c r="B7" t="s">
        <v>1493</v>
      </c>
      <c r="C7" t="s">
        <v>1574</v>
      </c>
      <c r="D7">
        <v>2</v>
      </c>
    </row>
    <row r="8" spans="1:4" x14ac:dyDescent="0.25">
      <c r="A8" t="s">
        <v>4</v>
      </c>
      <c r="B8" t="s">
        <v>1824</v>
      </c>
      <c r="C8" t="s">
        <v>20</v>
      </c>
      <c r="D8">
        <v>0</v>
      </c>
    </row>
    <row r="9" spans="1:4" x14ac:dyDescent="0.25">
      <c r="A9" t="s">
        <v>4</v>
      </c>
      <c r="B9" t="s">
        <v>643</v>
      </c>
      <c r="C9" t="s">
        <v>1353</v>
      </c>
      <c r="D9">
        <v>3</v>
      </c>
    </row>
    <row r="10" spans="1:4" x14ac:dyDescent="0.25">
      <c r="A10" t="s">
        <v>4</v>
      </c>
      <c r="B10" t="s">
        <v>181</v>
      </c>
      <c r="C10" t="s">
        <v>785</v>
      </c>
      <c r="D10">
        <v>5</v>
      </c>
    </row>
    <row r="11" spans="1:4" x14ac:dyDescent="0.25">
      <c r="A11" t="s">
        <v>4</v>
      </c>
      <c r="B11" t="s">
        <v>17</v>
      </c>
      <c r="C11" t="s">
        <v>786</v>
      </c>
      <c r="D11">
        <v>7</v>
      </c>
    </row>
    <row r="12" spans="1:4" x14ac:dyDescent="0.25">
      <c r="A12" t="s">
        <v>4</v>
      </c>
      <c r="B12" t="s">
        <v>870</v>
      </c>
      <c r="C12" t="s">
        <v>1111</v>
      </c>
      <c r="D12">
        <v>5</v>
      </c>
    </row>
    <row r="13" spans="1:4" x14ac:dyDescent="0.25">
      <c r="A13" t="s">
        <v>4</v>
      </c>
      <c r="B13" t="s">
        <v>1475</v>
      </c>
      <c r="C13" t="s">
        <v>1576</v>
      </c>
      <c r="D13">
        <v>7</v>
      </c>
    </row>
    <row r="14" spans="1:4" x14ac:dyDescent="0.25">
      <c r="A14" t="s">
        <v>4</v>
      </c>
      <c r="B14" t="s">
        <v>370</v>
      </c>
      <c r="C14" t="s">
        <v>1577</v>
      </c>
      <c r="D14">
        <v>5</v>
      </c>
    </row>
    <row r="15" spans="1:4" x14ac:dyDescent="0.25">
      <c r="A15" t="s">
        <v>4</v>
      </c>
      <c r="B15" t="s">
        <v>519</v>
      </c>
      <c r="C15" t="s">
        <v>324</v>
      </c>
      <c r="D15">
        <v>7</v>
      </c>
    </row>
    <row r="16" spans="1:4" x14ac:dyDescent="0.25">
      <c r="A16" t="s">
        <v>4</v>
      </c>
      <c r="B16" t="s">
        <v>1442</v>
      </c>
      <c r="C16" t="s">
        <v>1579</v>
      </c>
      <c r="D16">
        <v>6</v>
      </c>
    </row>
    <row r="17" spans="1:4" x14ac:dyDescent="0.25">
      <c r="A17" t="s">
        <v>4</v>
      </c>
      <c r="B17" t="s">
        <v>1536</v>
      </c>
      <c r="C17" t="s">
        <v>2047</v>
      </c>
      <c r="D17">
        <v>8</v>
      </c>
    </row>
    <row r="18" spans="1:4" x14ac:dyDescent="0.25">
      <c r="A18" t="s">
        <v>4</v>
      </c>
      <c r="B18" t="s">
        <v>704</v>
      </c>
      <c r="C18" t="s">
        <v>1203</v>
      </c>
      <c r="D18">
        <v>6</v>
      </c>
    </row>
    <row r="19" spans="1:4" x14ac:dyDescent="0.25">
      <c r="A19" t="s">
        <v>4</v>
      </c>
      <c r="B19" t="s">
        <v>2048</v>
      </c>
      <c r="C19" t="s">
        <v>1205</v>
      </c>
      <c r="D19">
        <v>8</v>
      </c>
    </row>
    <row r="20" spans="1:4" x14ac:dyDescent="0.25">
      <c r="A20" t="s">
        <v>4</v>
      </c>
      <c r="B20" t="s">
        <v>1048</v>
      </c>
      <c r="C20" t="s">
        <v>1927</v>
      </c>
      <c r="D20">
        <v>10</v>
      </c>
    </row>
    <row r="21" spans="1:4" x14ac:dyDescent="0.25">
      <c r="A21" t="s">
        <v>4</v>
      </c>
      <c r="B21" t="s">
        <v>1113</v>
      </c>
      <c r="C21" t="s">
        <v>2049</v>
      </c>
      <c r="D21">
        <v>12</v>
      </c>
    </row>
    <row r="22" spans="1:4" x14ac:dyDescent="0.25">
      <c r="A22" t="s">
        <v>4</v>
      </c>
      <c r="B22" t="s">
        <v>33</v>
      </c>
      <c r="C22" t="s">
        <v>2050</v>
      </c>
      <c r="D22">
        <v>15</v>
      </c>
    </row>
    <row r="23" spans="1:4" x14ac:dyDescent="0.25">
      <c r="A23" t="s">
        <v>4</v>
      </c>
      <c r="B23" t="s">
        <v>817</v>
      </c>
      <c r="C23" t="s">
        <v>2051</v>
      </c>
      <c r="D23">
        <v>17</v>
      </c>
    </row>
    <row r="24" spans="1:4" x14ac:dyDescent="0.25">
      <c r="A24" t="s">
        <v>40</v>
      </c>
      <c r="B24" t="s">
        <v>2052</v>
      </c>
      <c r="C24" t="s">
        <v>2053</v>
      </c>
      <c r="D24">
        <v>15</v>
      </c>
    </row>
    <row r="25" spans="1:4" x14ac:dyDescent="0.25">
      <c r="A25" t="s">
        <v>40</v>
      </c>
      <c r="B25" t="s">
        <v>43</v>
      </c>
      <c r="C25" t="s">
        <v>2054</v>
      </c>
      <c r="D25">
        <v>17</v>
      </c>
    </row>
    <row r="26" spans="1:4" x14ac:dyDescent="0.25">
      <c r="A26" t="s">
        <v>40</v>
      </c>
      <c r="B26" t="s">
        <v>43</v>
      </c>
      <c r="C26" t="s">
        <v>2055</v>
      </c>
      <c r="D26">
        <v>18</v>
      </c>
    </row>
    <row r="27" spans="1:4" x14ac:dyDescent="0.25">
      <c r="A27" t="s">
        <v>40</v>
      </c>
      <c r="B27" t="s">
        <v>1545</v>
      </c>
      <c r="C27" t="s">
        <v>2056</v>
      </c>
      <c r="D27">
        <v>16</v>
      </c>
    </row>
    <row r="28" spans="1:4" x14ac:dyDescent="0.25">
      <c r="A28" t="s">
        <v>40</v>
      </c>
      <c r="B28" t="s">
        <v>305</v>
      </c>
      <c r="C28" t="s">
        <v>1032</v>
      </c>
      <c r="D28">
        <v>15</v>
      </c>
    </row>
    <row r="29" spans="1:4" x14ac:dyDescent="0.25">
      <c r="A29" t="s">
        <v>40</v>
      </c>
      <c r="B29" t="s">
        <v>1408</v>
      </c>
      <c r="C29" t="s">
        <v>1295</v>
      </c>
      <c r="D29">
        <v>18</v>
      </c>
    </row>
    <row r="30" spans="1:4" x14ac:dyDescent="0.25">
      <c r="A30" t="s">
        <v>40</v>
      </c>
      <c r="B30" t="s">
        <v>211</v>
      </c>
      <c r="C30" t="s">
        <v>2057</v>
      </c>
      <c r="D30">
        <v>15</v>
      </c>
    </row>
    <row r="31" spans="1:4" x14ac:dyDescent="0.25">
      <c r="A31" t="s">
        <v>40</v>
      </c>
      <c r="B31" t="s">
        <v>132</v>
      </c>
      <c r="C31" t="s">
        <v>2058</v>
      </c>
      <c r="D31">
        <v>17</v>
      </c>
    </row>
    <row r="32" spans="1:4" x14ac:dyDescent="0.25">
      <c r="A32" t="s">
        <v>40</v>
      </c>
      <c r="B32" t="s">
        <v>568</v>
      </c>
      <c r="C32" t="s">
        <v>2059</v>
      </c>
      <c r="D32">
        <v>15</v>
      </c>
    </row>
    <row r="33" spans="1:4" x14ac:dyDescent="0.25">
      <c r="A33" t="s">
        <v>40</v>
      </c>
      <c r="B33" t="s">
        <v>914</v>
      </c>
      <c r="C33" t="s">
        <v>2060</v>
      </c>
      <c r="D33">
        <v>18</v>
      </c>
    </row>
    <row r="34" spans="1:4" x14ac:dyDescent="0.25">
      <c r="A34" t="s">
        <v>40</v>
      </c>
      <c r="B34" t="s">
        <v>280</v>
      </c>
      <c r="C34" t="s">
        <v>2061</v>
      </c>
      <c r="D34">
        <v>16</v>
      </c>
    </row>
    <row r="35" spans="1:4" x14ac:dyDescent="0.25">
      <c r="A35" t="s">
        <v>40</v>
      </c>
      <c r="B35" t="s">
        <v>651</v>
      </c>
      <c r="C35" t="s">
        <v>2062</v>
      </c>
      <c r="D35">
        <v>19</v>
      </c>
    </row>
    <row r="36" spans="1:4" x14ac:dyDescent="0.25">
      <c r="A36" t="s">
        <v>40</v>
      </c>
      <c r="B36" t="s">
        <v>368</v>
      </c>
      <c r="C36" t="s">
        <v>1449</v>
      </c>
      <c r="D36">
        <v>16</v>
      </c>
    </row>
    <row r="37" spans="1:4" x14ac:dyDescent="0.25">
      <c r="A37" t="s">
        <v>40</v>
      </c>
      <c r="B37" t="s">
        <v>743</v>
      </c>
      <c r="C37" t="s">
        <v>1450</v>
      </c>
      <c r="D37">
        <v>14</v>
      </c>
    </row>
    <row r="38" spans="1:4" x14ac:dyDescent="0.25">
      <c r="A38" t="s">
        <v>40</v>
      </c>
      <c r="B38" t="s">
        <v>1442</v>
      </c>
      <c r="C38" t="s">
        <v>2063</v>
      </c>
      <c r="D38">
        <v>17</v>
      </c>
    </row>
    <row r="39" spans="1:4" x14ac:dyDescent="0.25">
      <c r="A39" t="s">
        <v>40</v>
      </c>
      <c r="B39" t="s">
        <v>631</v>
      </c>
      <c r="C39" t="s">
        <v>2064</v>
      </c>
      <c r="D39">
        <v>20</v>
      </c>
    </row>
    <row r="40" spans="1:4" x14ac:dyDescent="0.25">
      <c r="A40" t="s">
        <v>40</v>
      </c>
      <c r="B40" t="s">
        <v>898</v>
      </c>
      <c r="C40" t="s">
        <v>2065</v>
      </c>
      <c r="D40">
        <v>18</v>
      </c>
    </row>
    <row r="41" spans="1:4" x14ac:dyDescent="0.25">
      <c r="A41" t="s">
        <v>40</v>
      </c>
      <c r="B41" t="s">
        <v>120</v>
      </c>
      <c r="C41" t="s">
        <v>2066</v>
      </c>
      <c r="D41">
        <v>20</v>
      </c>
    </row>
    <row r="42" spans="1:4" x14ac:dyDescent="0.25">
      <c r="A42" t="s">
        <v>40</v>
      </c>
      <c r="B42" t="s">
        <v>999</v>
      </c>
      <c r="C42" t="s">
        <v>2067</v>
      </c>
      <c r="D42">
        <v>19</v>
      </c>
    </row>
    <row r="43" spans="1:4" x14ac:dyDescent="0.25">
      <c r="A43" t="s">
        <v>40</v>
      </c>
      <c r="B43" t="s">
        <v>999</v>
      </c>
      <c r="C43" t="s">
        <v>2068</v>
      </c>
      <c r="D43">
        <v>18</v>
      </c>
    </row>
    <row r="44" spans="1:4" x14ac:dyDescent="0.25">
      <c r="A44" t="s">
        <v>40</v>
      </c>
      <c r="B44" t="s">
        <v>483</v>
      </c>
      <c r="C44" t="s">
        <v>2069</v>
      </c>
      <c r="D44">
        <v>20</v>
      </c>
    </row>
    <row r="45" spans="1:4" x14ac:dyDescent="0.25">
      <c r="A45" t="s">
        <v>40</v>
      </c>
      <c r="B45" t="s">
        <v>483</v>
      </c>
      <c r="C45" t="s">
        <v>2070</v>
      </c>
      <c r="D45">
        <v>21</v>
      </c>
    </row>
    <row r="46" spans="1:4" x14ac:dyDescent="0.25">
      <c r="A46" t="s">
        <v>40</v>
      </c>
      <c r="B46" t="s">
        <v>559</v>
      </c>
      <c r="C46" t="s">
        <v>2071</v>
      </c>
      <c r="D46">
        <v>24</v>
      </c>
    </row>
    <row r="47" spans="1:4" x14ac:dyDescent="0.25">
      <c r="A47" t="s">
        <v>80</v>
      </c>
      <c r="B47" t="s">
        <v>1430</v>
      </c>
      <c r="C47" t="s">
        <v>2072</v>
      </c>
      <c r="D47">
        <v>27</v>
      </c>
    </row>
    <row r="48" spans="1:4" x14ac:dyDescent="0.25">
      <c r="A48" t="s">
        <v>80</v>
      </c>
      <c r="B48" t="s">
        <v>487</v>
      </c>
      <c r="C48" t="s">
        <v>2013</v>
      </c>
      <c r="D48">
        <v>29</v>
      </c>
    </row>
    <row r="49" spans="1:4" x14ac:dyDescent="0.25">
      <c r="A49" t="s">
        <v>80</v>
      </c>
      <c r="B49" t="s">
        <v>1431</v>
      </c>
      <c r="C49" t="s">
        <v>2073</v>
      </c>
      <c r="D49">
        <v>32</v>
      </c>
    </row>
    <row r="50" spans="1:4" x14ac:dyDescent="0.25">
      <c r="A50" t="s">
        <v>80</v>
      </c>
      <c r="B50" t="s">
        <v>2074</v>
      </c>
      <c r="C50" t="s">
        <v>2075</v>
      </c>
      <c r="D50">
        <v>31</v>
      </c>
    </row>
    <row r="51" spans="1:4" x14ac:dyDescent="0.25">
      <c r="A51" t="s">
        <v>80</v>
      </c>
      <c r="B51" t="s">
        <v>2074</v>
      </c>
      <c r="C51" t="s">
        <v>2076</v>
      </c>
      <c r="D51">
        <v>30</v>
      </c>
    </row>
    <row r="52" spans="1:4" x14ac:dyDescent="0.25">
      <c r="A52" t="s">
        <v>80</v>
      </c>
      <c r="B52" t="s">
        <v>621</v>
      </c>
      <c r="C52" t="s">
        <v>2077</v>
      </c>
      <c r="D52">
        <v>32</v>
      </c>
    </row>
    <row r="53" spans="1:4" x14ac:dyDescent="0.25">
      <c r="A53" t="s">
        <v>80</v>
      </c>
      <c r="B53" t="s">
        <v>1194</v>
      </c>
      <c r="C53" t="s">
        <v>2078</v>
      </c>
      <c r="D53">
        <v>31</v>
      </c>
    </row>
    <row r="54" spans="1:4" x14ac:dyDescent="0.25">
      <c r="A54" t="s">
        <v>80</v>
      </c>
      <c r="B54" t="s">
        <v>54</v>
      </c>
      <c r="C54" t="s">
        <v>2079</v>
      </c>
      <c r="D54">
        <v>29</v>
      </c>
    </row>
    <row r="55" spans="1:4" x14ac:dyDescent="0.25">
      <c r="A55" t="s">
        <v>80</v>
      </c>
      <c r="B55" t="s">
        <v>2080</v>
      </c>
      <c r="C55" t="s">
        <v>2081</v>
      </c>
      <c r="D55">
        <v>27</v>
      </c>
    </row>
    <row r="56" spans="1:4" x14ac:dyDescent="0.25">
      <c r="A56" t="s">
        <v>80</v>
      </c>
      <c r="B56" t="s">
        <v>186</v>
      </c>
      <c r="C56" t="s">
        <v>2082</v>
      </c>
      <c r="D56">
        <v>24</v>
      </c>
    </row>
    <row r="57" spans="1:4" x14ac:dyDescent="0.25">
      <c r="A57" t="s">
        <v>80</v>
      </c>
      <c r="B57" t="s">
        <v>598</v>
      </c>
      <c r="C57" t="s">
        <v>2083</v>
      </c>
      <c r="D57">
        <v>26</v>
      </c>
    </row>
    <row r="58" spans="1:4" x14ac:dyDescent="0.25">
      <c r="A58" t="s">
        <v>80</v>
      </c>
      <c r="B58" t="s">
        <v>1350</v>
      </c>
      <c r="C58" t="s">
        <v>2084</v>
      </c>
      <c r="D58">
        <v>24</v>
      </c>
    </row>
    <row r="59" spans="1:4" x14ac:dyDescent="0.25">
      <c r="A59" t="s">
        <v>80</v>
      </c>
      <c r="B59" t="s">
        <v>285</v>
      </c>
      <c r="C59" t="s">
        <v>2085</v>
      </c>
      <c r="D59">
        <v>26</v>
      </c>
    </row>
    <row r="60" spans="1:4" x14ac:dyDescent="0.25">
      <c r="A60" t="s">
        <v>80</v>
      </c>
      <c r="B60" t="s">
        <v>704</v>
      </c>
      <c r="C60" t="s">
        <v>2086</v>
      </c>
      <c r="D60">
        <v>24</v>
      </c>
    </row>
    <row r="61" spans="1:4" x14ac:dyDescent="0.25">
      <c r="A61" t="s">
        <v>80</v>
      </c>
      <c r="B61" t="s">
        <v>631</v>
      </c>
      <c r="C61" t="s">
        <v>2087</v>
      </c>
      <c r="D61">
        <v>23</v>
      </c>
    </row>
    <row r="62" spans="1:4" x14ac:dyDescent="0.25">
      <c r="A62" t="s">
        <v>80</v>
      </c>
      <c r="B62" t="s">
        <v>27</v>
      </c>
      <c r="C62" t="s">
        <v>2088</v>
      </c>
      <c r="D62">
        <v>24</v>
      </c>
    </row>
    <row r="63" spans="1:4" x14ac:dyDescent="0.25">
      <c r="A63" t="s">
        <v>80</v>
      </c>
      <c r="B63" t="s">
        <v>198</v>
      </c>
      <c r="C63" t="s">
        <v>2089</v>
      </c>
      <c r="D63">
        <v>22</v>
      </c>
    </row>
    <row r="64" spans="1:4" x14ac:dyDescent="0.25">
      <c r="A64" t="s">
        <v>80</v>
      </c>
      <c r="B64" t="s">
        <v>1019</v>
      </c>
      <c r="C64" t="s">
        <v>2090</v>
      </c>
      <c r="D64">
        <v>23</v>
      </c>
    </row>
    <row r="65" spans="1:4" x14ac:dyDescent="0.25">
      <c r="A65" t="s">
        <v>80</v>
      </c>
      <c r="B65" t="s">
        <v>710</v>
      </c>
      <c r="C65" t="s">
        <v>2091</v>
      </c>
      <c r="D65">
        <v>21</v>
      </c>
    </row>
    <row r="66" spans="1:4" x14ac:dyDescent="0.25">
      <c r="A66" t="s">
        <v>80</v>
      </c>
      <c r="B66" t="s">
        <v>1874</v>
      </c>
      <c r="C66" t="s">
        <v>2092</v>
      </c>
      <c r="D66">
        <v>19</v>
      </c>
    </row>
    <row r="67" spans="1:4" x14ac:dyDescent="0.25">
      <c r="A67" t="s">
        <v>80</v>
      </c>
      <c r="B67" t="s">
        <v>1002</v>
      </c>
      <c r="C67" t="s">
        <v>2093</v>
      </c>
      <c r="D67">
        <v>22</v>
      </c>
    </row>
    <row r="68" spans="1:4" x14ac:dyDescent="0.25">
      <c r="A68" t="s">
        <v>80</v>
      </c>
      <c r="B68" t="s">
        <v>78</v>
      </c>
      <c r="C68" t="s">
        <v>2094</v>
      </c>
      <c r="D68">
        <v>19</v>
      </c>
    </row>
    <row r="69" spans="1:4" x14ac:dyDescent="0.25">
      <c r="A69" t="s">
        <v>123</v>
      </c>
      <c r="B69" t="s">
        <v>932</v>
      </c>
      <c r="C69" t="s">
        <v>2095</v>
      </c>
      <c r="D69">
        <v>20</v>
      </c>
    </row>
    <row r="70" spans="1:4" x14ac:dyDescent="0.25">
      <c r="A70" t="s">
        <v>123</v>
      </c>
      <c r="B70" t="s">
        <v>242</v>
      </c>
      <c r="C70" t="s">
        <v>2096</v>
      </c>
      <c r="D70">
        <v>22</v>
      </c>
    </row>
    <row r="71" spans="1:4" x14ac:dyDescent="0.25">
      <c r="A71" t="s">
        <v>123</v>
      </c>
      <c r="B71" t="s">
        <v>1057</v>
      </c>
      <c r="C71" t="s">
        <v>2030</v>
      </c>
      <c r="D71">
        <v>25</v>
      </c>
    </row>
    <row r="72" spans="1:4" x14ac:dyDescent="0.25">
      <c r="A72" t="s">
        <v>123</v>
      </c>
      <c r="B72" t="s">
        <v>355</v>
      </c>
      <c r="C72" t="s">
        <v>2097</v>
      </c>
      <c r="D72">
        <v>27</v>
      </c>
    </row>
    <row r="73" spans="1:4" x14ac:dyDescent="0.25">
      <c r="A73" t="s">
        <v>123</v>
      </c>
      <c r="B73" t="s">
        <v>51</v>
      </c>
      <c r="C73" t="s">
        <v>2098</v>
      </c>
      <c r="D73">
        <v>26</v>
      </c>
    </row>
    <row r="74" spans="1:4" x14ac:dyDescent="0.25">
      <c r="A74" t="s">
        <v>123</v>
      </c>
      <c r="B74" t="s">
        <v>51</v>
      </c>
      <c r="C74" t="s">
        <v>2033</v>
      </c>
      <c r="D74">
        <v>25</v>
      </c>
    </row>
    <row r="75" spans="1:4" x14ac:dyDescent="0.25">
      <c r="A75" t="s">
        <v>123</v>
      </c>
      <c r="B75" t="s">
        <v>1824</v>
      </c>
      <c r="C75" t="s">
        <v>2099</v>
      </c>
      <c r="D75">
        <v>27</v>
      </c>
    </row>
    <row r="76" spans="1:4" x14ac:dyDescent="0.25">
      <c r="A76" t="s">
        <v>123</v>
      </c>
      <c r="B76" t="s">
        <v>494</v>
      </c>
      <c r="C76" t="s">
        <v>2100</v>
      </c>
      <c r="D76">
        <v>25</v>
      </c>
    </row>
    <row r="77" spans="1:4" x14ac:dyDescent="0.25">
      <c r="A77" t="s">
        <v>123</v>
      </c>
      <c r="B77" t="s">
        <v>1194</v>
      </c>
      <c r="C77" t="s">
        <v>2101</v>
      </c>
      <c r="D77">
        <v>28</v>
      </c>
    </row>
    <row r="78" spans="1:4" x14ac:dyDescent="0.25">
      <c r="A78" t="s">
        <v>123</v>
      </c>
      <c r="B78" t="s">
        <v>1742</v>
      </c>
      <c r="C78" t="s">
        <v>2102</v>
      </c>
      <c r="D78">
        <v>26</v>
      </c>
    </row>
    <row r="79" spans="1:4" x14ac:dyDescent="0.25">
      <c r="A79" t="s">
        <v>123</v>
      </c>
      <c r="B79" t="s">
        <v>802</v>
      </c>
      <c r="C79" t="s">
        <v>2103</v>
      </c>
      <c r="D79">
        <v>24</v>
      </c>
    </row>
    <row r="80" spans="1:4" x14ac:dyDescent="0.25">
      <c r="A80" t="s">
        <v>123</v>
      </c>
      <c r="B80" t="s">
        <v>408</v>
      </c>
      <c r="C80" t="s">
        <v>2104</v>
      </c>
      <c r="D80">
        <v>26</v>
      </c>
    </row>
    <row r="81" spans="1:4" x14ac:dyDescent="0.25">
      <c r="A81" t="s">
        <v>123</v>
      </c>
      <c r="B81" t="s">
        <v>594</v>
      </c>
      <c r="C81" t="s">
        <v>2105</v>
      </c>
      <c r="D81">
        <v>23</v>
      </c>
    </row>
    <row r="82" spans="1:4" x14ac:dyDescent="0.25">
      <c r="A82" t="s">
        <v>123</v>
      </c>
      <c r="B82" t="s">
        <v>596</v>
      </c>
      <c r="C82" t="s">
        <v>2106</v>
      </c>
      <c r="D82">
        <v>26</v>
      </c>
    </row>
    <row r="83" spans="1:4" x14ac:dyDescent="0.25">
      <c r="A83" t="s">
        <v>123</v>
      </c>
      <c r="B83" t="s">
        <v>435</v>
      </c>
      <c r="C83" t="s">
        <v>2107</v>
      </c>
      <c r="D83">
        <v>24</v>
      </c>
    </row>
    <row r="84" spans="1:4" x14ac:dyDescent="0.25">
      <c r="A84" t="s">
        <v>123</v>
      </c>
      <c r="B84" t="s">
        <v>1829</v>
      </c>
      <c r="C84" t="s">
        <v>2108</v>
      </c>
      <c r="D84">
        <v>21</v>
      </c>
    </row>
    <row r="85" spans="1:4" x14ac:dyDescent="0.25">
      <c r="A85" t="s">
        <v>123</v>
      </c>
      <c r="B85" t="s">
        <v>701</v>
      </c>
      <c r="C85" t="s">
        <v>2109</v>
      </c>
      <c r="D85">
        <v>24</v>
      </c>
    </row>
    <row r="86" spans="1:4" x14ac:dyDescent="0.25">
      <c r="A86" t="s">
        <v>123</v>
      </c>
      <c r="B86" t="s">
        <v>890</v>
      </c>
      <c r="C86" t="s">
        <v>2110</v>
      </c>
      <c r="D86">
        <v>26</v>
      </c>
    </row>
    <row r="87" spans="1:4" x14ac:dyDescent="0.25">
      <c r="A87" t="s">
        <v>123</v>
      </c>
      <c r="B87" t="s">
        <v>25</v>
      </c>
      <c r="C87" t="s">
        <v>2111</v>
      </c>
      <c r="D87">
        <v>29</v>
      </c>
    </row>
    <row r="88" spans="1:4" x14ac:dyDescent="0.25">
      <c r="A88" t="s">
        <v>123</v>
      </c>
      <c r="B88" t="s">
        <v>2112</v>
      </c>
      <c r="C88" t="s">
        <v>2113</v>
      </c>
      <c r="D88">
        <v>26</v>
      </c>
    </row>
    <row r="89" spans="1:4" x14ac:dyDescent="0.25">
      <c r="A89" t="s">
        <v>123</v>
      </c>
      <c r="B89" t="s">
        <v>292</v>
      </c>
      <c r="C89" t="s">
        <v>2114</v>
      </c>
      <c r="D89">
        <v>29</v>
      </c>
    </row>
    <row r="90" spans="1:4" x14ac:dyDescent="0.25">
      <c r="A90" t="s">
        <v>123</v>
      </c>
      <c r="B90" t="s">
        <v>1276</v>
      </c>
      <c r="C90" t="s">
        <v>2115</v>
      </c>
      <c r="D90">
        <v>31</v>
      </c>
    </row>
    <row r="92" spans="1:4" x14ac:dyDescent="0.25">
      <c r="A92" s="2" t="s">
        <v>157</v>
      </c>
    </row>
    <row r="93" spans="1:4" x14ac:dyDescent="0.25">
      <c r="A93" t="s">
        <v>158</v>
      </c>
      <c r="D93">
        <f>AVERAGE(D2:D90)</f>
        <v>18.584269662921347</v>
      </c>
    </row>
    <row r="94" spans="1:4" x14ac:dyDescent="0.25">
      <c r="A94" t="s">
        <v>159</v>
      </c>
      <c r="D94">
        <f>MAX(D2:D90)</f>
        <v>32</v>
      </c>
    </row>
    <row r="95" spans="1:4" x14ac:dyDescent="0.25">
      <c r="A95" t="s">
        <v>160</v>
      </c>
      <c r="D95">
        <f>MIN(D2:D90)</f>
        <v>-2</v>
      </c>
    </row>
    <row r="96" spans="1:4" x14ac:dyDescent="0.25">
      <c r="A96" t="s">
        <v>161</v>
      </c>
      <c r="D96">
        <f>COUNTIF(D2:D90,"&gt;0")</f>
        <v>85</v>
      </c>
    </row>
    <row r="97" spans="1:4" x14ac:dyDescent="0.25">
      <c r="A97" t="s">
        <v>162</v>
      </c>
      <c r="D97">
        <f>COUNTIF(D2:D90,"=0")</f>
        <v>2</v>
      </c>
    </row>
    <row r="98" spans="1:4" x14ac:dyDescent="0.25">
      <c r="A98" t="s">
        <v>2116</v>
      </c>
      <c r="D98">
        <f>COUNTIF(D2:D90,"&lt;0")</f>
        <v>2</v>
      </c>
    </row>
    <row r="100" spans="1:4" x14ac:dyDescent="0.25">
      <c r="A100" s="2" t="s">
        <v>164</v>
      </c>
    </row>
    <row r="101" spans="1:4" x14ac:dyDescent="0.25">
      <c r="A101" t="s">
        <v>165</v>
      </c>
      <c r="D101">
        <f>AVERAGE(D2,D3,D4,D5,D6,D7,D8,D9,D10,D11,D12,D13,D14,D15,D16,D17,D18,D19,D20,D21,D22,D23)</f>
        <v>5.5909090909090908</v>
      </c>
    </row>
    <row r="102" spans="1:4" x14ac:dyDescent="0.25">
      <c r="A102" t="s">
        <v>166</v>
      </c>
      <c r="D102">
        <f>AVERAGE(D24,D25,D26,D27,D28,D29,D30,D31,D32,D33,D34,D35,D36,D37,D38,D39,D40,D41,D42,D43,D44,D45,D46)</f>
        <v>17.652173913043477</v>
      </c>
    </row>
    <row r="103" spans="1:4" x14ac:dyDescent="0.25">
      <c r="A103" t="s">
        <v>167</v>
      </c>
      <c r="D103">
        <f>AVERAGE(D47,D48,D49,D50,D51,D52,D53,D54,D55,D56,D57,D58,D59,D60,D61,D62,D63,D64,D65,D66,D67,D68)</f>
        <v>25.681818181818183</v>
      </c>
    </row>
    <row r="104" spans="1:4" x14ac:dyDescent="0.25">
      <c r="A104" t="s">
        <v>168</v>
      </c>
      <c r="D104">
        <f>AVERAGE(D69,D70,D71,D72,D73,D74,D75,D76,D77,D78,D79,D80,D81,D82,D83,D84,D85,D86,D87,D88,D89,D90)</f>
        <v>25.454545454545453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7</v>
      </c>
      <c r="C2" t="s">
        <v>171</v>
      </c>
      <c r="D2">
        <v>3</v>
      </c>
    </row>
    <row r="3" spans="1:4" x14ac:dyDescent="0.25">
      <c r="A3" t="s">
        <v>4</v>
      </c>
      <c r="B3" t="s">
        <v>511</v>
      </c>
      <c r="C3" t="s">
        <v>690</v>
      </c>
      <c r="D3">
        <v>6</v>
      </c>
    </row>
    <row r="4" spans="1:4" x14ac:dyDescent="0.25">
      <c r="A4" t="s">
        <v>4</v>
      </c>
      <c r="B4" t="s">
        <v>1735</v>
      </c>
      <c r="C4" t="s">
        <v>692</v>
      </c>
      <c r="D4">
        <v>3</v>
      </c>
    </row>
    <row r="5" spans="1:4" x14ac:dyDescent="0.25">
      <c r="A5" t="s">
        <v>4</v>
      </c>
      <c r="B5" t="s">
        <v>274</v>
      </c>
      <c r="C5" t="s">
        <v>1193</v>
      </c>
      <c r="D5">
        <v>1</v>
      </c>
    </row>
    <row r="6" spans="1:4" x14ac:dyDescent="0.25">
      <c r="A6" t="s">
        <v>4</v>
      </c>
      <c r="B6" t="s">
        <v>2118</v>
      </c>
      <c r="C6" t="s">
        <v>695</v>
      </c>
      <c r="D6">
        <v>3</v>
      </c>
    </row>
    <row r="7" spans="1:4" x14ac:dyDescent="0.25">
      <c r="A7" t="s">
        <v>4</v>
      </c>
      <c r="B7" t="s">
        <v>868</v>
      </c>
      <c r="C7" t="s">
        <v>696</v>
      </c>
      <c r="D7">
        <v>1</v>
      </c>
    </row>
    <row r="8" spans="1:4" x14ac:dyDescent="0.25">
      <c r="A8" t="s">
        <v>4</v>
      </c>
      <c r="B8" t="s">
        <v>433</v>
      </c>
      <c r="C8" t="s">
        <v>1351</v>
      </c>
      <c r="D8">
        <v>3</v>
      </c>
    </row>
    <row r="9" spans="1:4" x14ac:dyDescent="0.25">
      <c r="A9" t="s">
        <v>4</v>
      </c>
      <c r="B9" t="s">
        <v>138</v>
      </c>
      <c r="C9" t="s">
        <v>22</v>
      </c>
      <c r="D9">
        <v>2</v>
      </c>
    </row>
    <row r="10" spans="1:4" x14ac:dyDescent="0.25">
      <c r="A10" t="s">
        <v>4</v>
      </c>
      <c r="B10" t="s">
        <v>138</v>
      </c>
      <c r="C10" t="s">
        <v>699</v>
      </c>
      <c r="D10">
        <v>1</v>
      </c>
    </row>
    <row r="11" spans="1:4" x14ac:dyDescent="0.25">
      <c r="A11" t="s">
        <v>4</v>
      </c>
      <c r="B11" t="s">
        <v>370</v>
      </c>
      <c r="C11" t="s">
        <v>1110</v>
      </c>
      <c r="D11">
        <v>0</v>
      </c>
    </row>
    <row r="12" spans="1:4" x14ac:dyDescent="0.25">
      <c r="A12" t="s">
        <v>4</v>
      </c>
      <c r="B12" t="s">
        <v>943</v>
      </c>
      <c r="C12" t="s">
        <v>1925</v>
      </c>
      <c r="D12">
        <v>-3</v>
      </c>
    </row>
    <row r="13" spans="1:4" x14ac:dyDescent="0.25">
      <c r="A13" t="s">
        <v>4</v>
      </c>
      <c r="B13" t="s">
        <v>663</v>
      </c>
      <c r="C13" t="s">
        <v>30</v>
      </c>
      <c r="D13">
        <v>-1</v>
      </c>
    </row>
    <row r="14" spans="1:4" x14ac:dyDescent="0.25">
      <c r="A14" t="s">
        <v>4</v>
      </c>
      <c r="B14" t="s">
        <v>701</v>
      </c>
      <c r="C14" t="s">
        <v>2119</v>
      </c>
      <c r="D14">
        <v>-2</v>
      </c>
    </row>
    <row r="15" spans="1:4" x14ac:dyDescent="0.25">
      <c r="A15" t="s">
        <v>4</v>
      </c>
      <c r="B15" t="s">
        <v>701</v>
      </c>
      <c r="C15" t="s">
        <v>1746</v>
      </c>
      <c r="D15">
        <v>-3</v>
      </c>
    </row>
    <row r="16" spans="1:4" x14ac:dyDescent="0.25">
      <c r="A16" t="s">
        <v>4</v>
      </c>
      <c r="B16" t="s">
        <v>2120</v>
      </c>
      <c r="C16" t="s">
        <v>2121</v>
      </c>
      <c r="D16">
        <v>0</v>
      </c>
    </row>
    <row r="17" spans="1:4" x14ac:dyDescent="0.25">
      <c r="A17" t="s">
        <v>4</v>
      </c>
      <c r="B17" t="s">
        <v>319</v>
      </c>
      <c r="C17" t="s">
        <v>705</v>
      </c>
      <c r="D17">
        <v>-1</v>
      </c>
    </row>
    <row r="18" spans="1:4" x14ac:dyDescent="0.25">
      <c r="A18" t="s">
        <v>4</v>
      </c>
      <c r="B18" t="s">
        <v>319</v>
      </c>
      <c r="C18" t="s">
        <v>1505</v>
      </c>
      <c r="D18">
        <v>-2</v>
      </c>
    </row>
    <row r="19" spans="1:4" x14ac:dyDescent="0.25">
      <c r="A19" t="s">
        <v>4</v>
      </c>
      <c r="B19" t="s">
        <v>876</v>
      </c>
      <c r="C19" t="s">
        <v>1820</v>
      </c>
      <c r="D19">
        <v>0</v>
      </c>
    </row>
    <row r="20" spans="1:4" x14ac:dyDescent="0.25">
      <c r="A20" t="s">
        <v>4</v>
      </c>
      <c r="B20" t="s">
        <v>876</v>
      </c>
      <c r="C20" t="s">
        <v>2122</v>
      </c>
      <c r="D20">
        <v>1</v>
      </c>
    </row>
    <row r="21" spans="1:4" x14ac:dyDescent="0.25">
      <c r="A21" t="s">
        <v>4</v>
      </c>
      <c r="B21" t="s">
        <v>290</v>
      </c>
      <c r="C21" t="s">
        <v>2123</v>
      </c>
      <c r="D21">
        <v>-1</v>
      </c>
    </row>
    <row r="22" spans="1:4" x14ac:dyDescent="0.25">
      <c r="A22" t="s">
        <v>4</v>
      </c>
      <c r="B22" t="s">
        <v>1339</v>
      </c>
      <c r="C22" t="s">
        <v>792</v>
      </c>
      <c r="D22">
        <v>1</v>
      </c>
    </row>
    <row r="23" spans="1:4" x14ac:dyDescent="0.25">
      <c r="A23" t="s">
        <v>4</v>
      </c>
      <c r="B23" t="s">
        <v>1339</v>
      </c>
      <c r="C23" t="s">
        <v>1822</v>
      </c>
      <c r="D23">
        <v>2</v>
      </c>
    </row>
    <row r="24" spans="1:4" x14ac:dyDescent="0.25">
      <c r="A24" t="s">
        <v>4</v>
      </c>
      <c r="B24" t="s">
        <v>422</v>
      </c>
      <c r="C24" t="s">
        <v>925</v>
      </c>
      <c r="D24">
        <v>4</v>
      </c>
    </row>
    <row r="25" spans="1:4" x14ac:dyDescent="0.25">
      <c r="A25" t="s">
        <v>40</v>
      </c>
      <c r="B25" t="s">
        <v>124</v>
      </c>
      <c r="C25" t="s">
        <v>209</v>
      </c>
      <c r="D25">
        <v>6</v>
      </c>
    </row>
    <row r="26" spans="1:4" x14ac:dyDescent="0.25">
      <c r="A26" t="s">
        <v>40</v>
      </c>
      <c r="B26" t="s">
        <v>689</v>
      </c>
      <c r="C26" t="s">
        <v>210</v>
      </c>
      <c r="D26">
        <v>7</v>
      </c>
    </row>
    <row r="27" spans="1:4" x14ac:dyDescent="0.25">
      <c r="A27" t="s">
        <v>40</v>
      </c>
      <c r="B27" t="s">
        <v>757</v>
      </c>
      <c r="C27" t="s">
        <v>212</v>
      </c>
      <c r="D27">
        <v>5</v>
      </c>
    </row>
    <row r="28" spans="1:4" x14ac:dyDescent="0.25">
      <c r="A28" t="s">
        <v>40</v>
      </c>
      <c r="B28" t="s">
        <v>757</v>
      </c>
      <c r="C28" t="s">
        <v>1752</v>
      </c>
      <c r="D28">
        <v>4</v>
      </c>
    </row>
    <row r="29" spans="1:4" x14ac:dyDescent="0.25">
      <c r="A29" t="s">
        <v>40</v>
      </c>
      <c r="B29" t="s">
        <v>49</v>
      </c>
      <c r="C29" t="s">
        <v>2124</v>
      </c>
      <c r="D29">
        <v>6</v>
      </c>
    </row>
    <row r="30" spans="1:4" x14ac:dyDescent="0.25">
      <c r="A30" t="s">
        <v>40</v>
      </c>
      <c r="B30" t="s">
        <v>800</v>
      </c>
      <c r="C30" t="s">
        <v>340</v>
      </c>
      <c r="D30">
        <v>3</v>
      </c>
    </row>
    <row r="31" spans="1:4" x14ac:dyDescent="0.25">
      <c r="A31" t="s">
        <v>40</v>
      </c>
      <c r="B31" t="s">
        <v>1086</v>
      </c>
      <c r="C31" t="s">
        <v>2125</v>
      </c>
      <c r="D31">
        <v>1</v>
      </c>
    </row>
    <row r="32" spans="1:4" x14ac:dyDescent="0.25">
      <c r="A32" t="s">
        <v>40</v>
      </c>
      <c r="B32" t="s">
        <v>517</v>
      </c>
      <c r="C32" t="s">
        <v>463</v>
      </c>
      <c r="D32">
        <v>-2</v>
      </c>
    </row>
    <row r="33" spans="1:4" x14ac:dyDescent="0.25">
      <c r="A33" t="s">
        <v>40</v>
      </c>
      <c r="B33" t="s">
        <v>1170</v>
      </c>
      <c r="C33" t="s">
        <v>2126</v>
      </c>
      <c r="D33">
        <v>-4</v>
      </c>
    </row>
    <row r="34" spans="1:4" x14ac:dyDescent="0.25">
      <c r="A34" t="s">
        <v>40</v>
      </c>
      <c r="B34" t="s">
        <v>762</v>
      </c>
      <c r="C34" t="s">
        <v>2127</v>
      </c>
      <c r="D34">
        <v>-1</v>
      </c>
    </row>
    <row r="35" spans="1:4" x14ac:dyDescent="0.25">
      <c r="A35" t="s">
        <v>40</v>
      </c>
      <c r="B35" t="s">
        <v>1198</v>
      </c>
      <c r="C35" t="s">
        <v>1515</v>
      </c>
      <c r="D35">
        <v>-3</v>
      </c>
    </row>
    <row r="36" spans="1:4" x14ac:dyDescent="0.25">
      <c r="A36" t="s">
        <v>40</v>
      </c>
      <c r="B36" t="s">
        <v>2048</v>
      </c>
      <c r="C36" t="s">
        <v>2128</v>
      </c>
      <c r="D36">
        <v>-5</v>
      </c>
    </row>
    <row r="37" spans="1:4" x14ac:dyDescent="0.25">
      <c r="A37" t="s">
        <v>40</v>
      </c>
      <c r="B37" t="s">
        <v>813</v>
      </c>
      <c r="C37" t="s">
        <v>2129</v>
      </c>
      <c r="D37">
        <v>-3</v>
      </c>
    </row>
    <row r="38" spans="1:4" x14ac:dyDescent="0.25">
      <c r="A38" t="s">
        <v>40</v>
      </c>
      <c r="B38" t="s">
        <v>671</v>
      </c>
      <c r="C38" t="s">
        <v>2130</v>
      </c>
      <c r="D38">
        <v>-6</v>
      </c>
    </row>
    <row r="39" spans="1:4" x14ac:dyDescent="0.25">
      <c r="A39" t="s">
        <v>40</v>
      </c>
      <c r="B39" t="s">
        <v>1177</v>
      </c>
      <c r="C39" t="s">
        <v>2131</v>
      </c>
      <c r="D39">
        <v>-4</v>
      </c>
    </row>
    <row r="40" spans="1:4" x14ac:dyDescent="0.25">
      <c r="A40" t="s">
        <v>40</v>
      </c>
      <c r="B40" t="s">
        <v>1177</v>
      </c>
      <c r="C40" t="s">
        <v>234</v>
      </c>
      <c r="D40">
        <v>-3</v>
      </c>
    </row>
    <row r="41" spans="1:4" x14ac:dyDescent="0.25">
      <c r="A41" t="s">
        <v>40</v>
      </c>
      <c r="B41" t="s">
        <v>1177</v>
      </c>
      <c r="C41" t="s">
        <v>2132</v>
      </c>
      <c r="D41">
        <v>-6</v>
      </c>
    </row>
    <row r="42" spans="1:4" x14ac:dyDescent="0.25">
      <c r="A42" t="s">
        <v>40</v>
      </c>
      <c r="B42" t="s">
        <v>320</v>
      </c>
      <c r="C42" t="s">
        <v>2133</v>
      </c>
      <c r="D42">
        <v>-5</v>
      </c>
    </row>
    <row r="43" spans="1:4" x14ac:dyDescent="0.25">
      <c r="A43" t="s">
        <v>80</v>
      </c>
      <c r="B43" t="s">
        <v>933</v>
      </c>
      <c r="C43" t="s">
        <v>2134</v>
      </c>
      <c r="D43">
        <v>-2</v>
      </c>
    </row>
    <row r="44" spans="1:4" x14ac:dyDescent="0.25">
      <c r="A44" t="s">
        <v>80</v>
      </c>
      <c r="B44" t="s">
        <v>205</v>
      </c>
      <c r="C44" t="s">
        <v>1833</v>
      </c>
      <c r="D44">
        <v>-5</v>
      </c>
    </row>
    <row r="45" spans="1:4" x14ac:dyDescent="0.25">
      <c r="A45" t="s">
        <v>80</v>
      </c>
      <c r="B45" t="s">
        <v>616</v>
      </c>
      <c r="C45" t="s">
        <v>249</v>
      </c>
      <c r="D45">
        <v>-3</v>
      </c>
    </row>
    <row r="46" spans="1:4" x14ac:dyDescent="0.25">
      <c r="A46" t="s">
        <v>80</v>
      </c>
      <c r="B46" t="s">
        <v>1190</v>
      </c>
      <c r="C46" t="s">
        <v>94</v>
      </c>
      <c r="D46">
        <v>-4</v>
      </c>
    </row>
    <row r="47" spans="1:4" x14ac:dyDescent="0.25">
      <c r="A47" t="s">
        <v>80</v>
      </c>
      <c r="B47" t="s">
        <v>1190</v>
      </c>
      <c r="C47" t="s">
        <v>96</v>
      </c>
      <c r="D47">
        <v>-5</v>
      </c>
    </row>
    <row r="48" spans="1:4" x14ac:dyDescent="0.25">
      <c r="A48" t="s">
        <v>80</v>
      </c>
      <c r="B48" t="s">
        <v>361</v>
      </c>
      <c r="C48" t="s">
        <v>2135</v>
      </c>
      <c r="D48">
        <v>-7</v>
      </c>
    </row>
    <row r="49" spans="1:4" x14ac:dyDescent="0.25">
      <c r="A49" t="s">
        <v>80</v>
      </c>
      <c r="B49" t="s">
        <v>177</v>
      </c>
      <c r="C49" t="s">
        <v>626</v>
      </c>
      <c r="D49">
        <v>-5</v>
      </c>
    </row>
    <row r="50" spans="1:4" x14ac:dyDescent="0.25">
      <c r="A50" t="s">
        <v>80</v>
      </c>
      <c r="B50" t="s">
        <v>95</v>
      </c>
      <c r="C50" t="s">
        <v>739</v>
      </c>
      <c r="D50">
        <v>-4</v>
      </c>
    </row>
    <row r="51" spans="1:4" x14ac:dyDescent="0.25">
      <c r="A51" t="s">
        <v>80</v>
      </c>
      <c r="B51" t="s">
        <v>95</v>
      </c>
      <c r="C51" t="s">
        <v>741</v>
      </c>
      <c r="D51">
        <v>-3</v>
      </c>
    </row>
    <row r="52" spans="1:4" x14ac:dyDescent="0.25">
      <c r="A52" t="s">
        <v>80</v>
      </c>
      <c r="B52" t="s">
        <v>596</v>
      </c>
      <c r="C52" t="s">
        <v>1766</v>
      </c>
      <c r="D52">
        <v>-6</v>
      </c>
    </row>
    <row r="53" spans="1:4" x14ac:dyDescent="0.25">
      <c r="A53" t="s">
        <v>80</v>
      </c>
      <c r="B53" t="s">
        <v>1090</v>
      </c>
      <c r="C53" t="s">
        <v>828</v>
      </c>
      <c r="D53">
        <v>-7</v>
      </c>
    </row>
    <row r="54" spans="1:4" x14ac:dyDescent="0.25">
      <c r="A54" t="s">
        <v>80</v>
      </c>
      <c r="B54" t="s">
        <v>1090</v>
      </c>
      <c r="C54" t="s">
        <v>829</v>
      </c>
      <c r="D54">
        <v>-8</v>
      </c>
    </row>
    <row r="55" spans="1:4" x14ac:dyDescent="0.25">
      <c r="A55" t="s">
        <v>80</v>
      </c>
      <c r="B55" t="s">
        <v>263</v>
      </c>
      <c r="C55" t="s">
        <v>2136</v>
      </c>
      <c r="D55">
        <v>-5</v>
      </c>
    </row>
    <row r="56" spans="1:4" x14ac:dyDescent="0.25">
      <c r="A56" t="s">
        <v>80</v>
      </c>
      <c r="B56" t="s">
        <v>743</v>
      </c>
      <c r="C56" t="s">
        <v>265</v>
      </c>
      <c r="D56">
        <v>-6</v>
      </c>
    </row>
    <row r="57" spans="1:4" x14ac:dyDescent="0.25">
      <c r="A57" t="s">
        <v>80</v>
      </c>
      <c r="B57" t="s">
        <v>629</v>
      </c>
      <c r="C57" t="s">
        <v>750</v>
      </c>
      <c r="D57">
        <v>-3</v>
      </c>
    </row>
    <row r="58" spans="1:4" x14ac:dyDescent="0.25">
      <c r="A58" t="s">
        <v>80</v>
      </c>
      <c r="B58" t="s">
        <v>876</v>
      </c>
      <c r="C58" t="s">
        <v>837</v>
      </c>
      <c r="D58">
        <v>-6</v>
      </c>
    </row>
    <row r="59" spans="1:4" x14ac:dyDescent="0.25">
      <c r="A59" t="s">
        <v>80</v>
      </c>
      <c r="B59" t="s">
        <v>898</v>
      </c>
      <c r="C59" t="s">
        <v>2137</v>
      </c>
      <c r="D59">
        <v>-8</v>
      </c>
    </row>
    <row r="60" spans="1:4" x14ac:dyDescent="0.25">
      <c r="A60" t="s">
        <v>80</v>
      </c>
      <c r="B60" t="s">
        <v>1845</v>
      </c>
      <c r="C60" t="s">
        <v>272</v>
      </c>
      <c r="D60">
        <v>-6</v>
      </c>
    </row>
    <row r="61" spans="1:4" x14ac:dyDescent="0.25">
      <c r="A61" t="s">
        <v>80</v>
      </c>
      <c r="B61" t="s">
        <v>681</v>
      </c>
      <c r="C61" t="s">
        <v>2138</v>
      </c>
      <c r="D61">
        <v>-7</v>
      </c>
    </row>
    <row r="62" spans="1:4" x14ac:dyDescent="0.25">
      <c r="A62" t="s">
        <v>80</v>
      </c>
      <c r="B62" t="s">
        <v>681</v>
      </c>
      <c r="C62" t="s">
        <v>2139</v>
      </c>
      <c r="D62">
        <v>-8</v>
      </c>
    </row>
    <row r="63" spans="1:4" x14ac:dyDescent="0.25">
      <c r="A63" t="s">
        <v>80</v>
      </c>
      <c r="B63" t="s">
        <v>1261</v>
      </c>
      <c r="C63" t="s">
        <v>122</v>
      </c>
      <c r="D63">
        <v>-6</v>
      </c>
    </row>
    <row r="64" spans="1:4" x14ac:dyDescent="0.25">
      <c r="A64" t="s">
        <v>80</v>
      </c>
      <c r="B64" t="s">
        <v>1261</v>
      </c>
      <c r="C64" t="s">
        <v>2140</v>
      </c>
      <c r="D64">
        <v>-5</v>
      </c>
    </row>
    <row r="65" spans="1:4" x14ac:dyDescent="0.25">
      <c r="A65" t="s">
        <v>123</v>
      </c>
      <c r="B65" t="s">
        <v>325</v>
      </c>
      <c r="C65" t="s">
        <v>2141</v>
      </c>
      <c r="D65">
        <v>-7</v>
      </c>
    </row>
    <row r="66" spans="1:4" x14ac:dyDescent="0.25">
      <c r="A66" t="s">
        <v>123</v>
      </c>
      <c r="B66" t="s">
        <v>1057</v>
      </c>
      <c r="C66" t="s">
        <v>2142</v>
      </c>
      <c r="D66">
        <v>-6</v>
      </c>
    </row>
    <row r="67" spans="1:4" x14ac:dyDescent="0.25">
      <c r="A67" t="s">
        <v>123</v>
      </c>
      <c r="B67" t="s">
        <v>1057</v>
      </c>
      <c r="C67" t="s">
        <v>279</v>
      </c>
      <c r="D67">
        <v>-5</v>
      </c>
    </row>
    <row r="68" spans="1:4" x14ac:dyDescent="0.25">
      <c r="A68" t="s">
        <v>123</v>
      </c>
      <c r="B68" t="s">
        <v>1768</v>
      </c>
      <c r="C68" t="s">
        <v>281</v>
      </c>
      <c r="D68">
        <v>-3</v>
      </c>
    </row>
    <row r="69" spans="1:4" x14ac:dyDescent="0.25">
      <c r="A69" t="s">
        <v>123</v>
      </c>
      <c r="B69" t="s">
        <v>2118</v>
      </c>
      <c r="C69" t="s">
        <v>282</v>
      </c>
      <c r="D69">
        <v>-6</v>
      </c>
    </row>
    <row r="70" spans="1:4" x14ac:dyDescent="0.25">
      <c r="A70" t="s">
        <v>123</v>
      </c>
      <c r="B70" t="s">
        <v>1013</v>
      </c>
      <c r="C70" t="s">
        <v>846</v>
      </c>
      <c r="D70">
        <v>-4</v>
      </c>
    </row>
    <row r="71" spans="1:4" x14ac:dyDescent="0.25">
      <c r="A71" t="s">
        <v>123</v>
      </c>
      <c r="B71" t="s">
        <v>2032</v>
      </c>
      <c r="C71" t="s">
        <v>2143</v>
      </c>
      <c r="D71">
        <v>-7</v>
      </c>
    </row>
    <row r="72" spans="1:4" x14ac:dyDescent="0.25">
      <c r="A72" t="s">
        <v>123</v>
      </c>
      <c r="B72" t="s">
        <v>1228</v>
      </c>
      <c r="C72" t="s">
        <v>2144</v>
      </c>
      <c r="D72">
        <v>-9</v>
      </c>
    </row>
    <row r="73" spans="1:4" x14ac:dyDescent="0.25">
      <c r="A73" t="s">
        <v>123</v>
      </c>
      <c r="B73" t="s">
        <v>941</v>
      </c>
      <c r="C73" t="s">
        <v>139</v>
      </c>
      <c r="D73">
        <v>-7</v>
      </c>
    </row>
    <row r="74" spans="1:4" x14ac:dyDescent="0.25">
      <c r="A74" t="s">
        <v>123</v>
      </c>
      <c r="B74" t="s">
        <v>600</v>
      </c>
      <c r="C74" t="s">
        <v>2145</v>
      </c>
      <c r="D74">
        <v>-5</v>
      </c>
    </row>
    <row r="75" spans="1:4" x14ac:dyDescent="0.25">
      <c r="A75" t="s">
        <v>123</v>
      </c>
      <c r="B75" t="s">
        <v>544</v>
      </c>
      <c r="C75" t="s">
        <v>2146</v>
      </c>
      <c r="D75">
        <v>-7</v>
      </c>
    </row>
    <row r="76" spans="1:4" x14ac:dyDescent="0.25">
      <c r="A76" t="s">
        <v>123</v>
      </c>
      <c r="B76" t="s">
        <v>2112</v>
      </c>
      <c r="C76" t="s">
        <v>291</v>
      </c>
      <c r="D76">
        <v>-10</v>
      </c>
    </row>
    <row r="77" spans="1:4" x14ac:dyDescent="0.25">
      <c r="A77" t="s">
        <v>123</v>
      </c>
      <c r="B77" t="s">
        <v>475</v>
      </c>
      <c r="C77" t="s">
        <v>293</v>
      </c>
      <c r="D77">
        <v>-7</v>
      </c>
    </row>
    <row r="78" spans="1:4" x14ac:dyDescent="0.25">
      <c r="A78" t="s">
        <v>123</v>
      </c>
      <c r="B78" t="s">
        <v>2147</v>
      </c>
      <c r="C78" t="s">
        <v>295</v>
      </c>
      <c r="D78">
        <v>-5</v>
      </c>
    </row>
    <row r="79" spans="1:4" x14ac:dyDescent="0.25">
      <c r="A79" t="s">
        <v>123</v>
      </c>
      <c r="B79" t="s">
        <v>1356</v>
      </c>
      <c r="C79" t="s">
        <v>299</v>
      </c>
      <c r="D79">
        <v>-7</v>
      </c>
    </row>
    <row r="80" spans="1:4" x14ac:dyDescent="0.25">
      <c r="A80" t="s">
        <v>123</v>
      </c>
      <c r="B80" t="s">
        <v>344</v>
      </c>
      <c r="C80" t="s">
        <v>858</v>
      </c>
      <c r="D80">
        <v>-6</v>
      </c>
    </row>
    <row r="81" spans="1:4" x14ac:dyDescent="0.25">
      <c r="A81" t="s">
        <v>123</v>
      </c>
      <c r="B81" t="s">
        <v>1222</v>
      </c>
      <c r="C81" t="s">
        <v>2148</v>
      </c>
      <c r="D81">
        <v>-4</v>
      </c>
    </row>
    <row r="82" spans="1:4" x14ac:dyDescent="0.25">
      <c r="A82" t="s">
        <v>123</v>
      </c>
      <c r="B82" t="s">
        <v>1990</v>
      </c>
      <c r="C82" t="s">
        <v>2149</v>
      </c>
      <c r="D82">
        <v>-2</v>
      </c>
    </row>
    <row r="83" spans="1:4" x14ac:dyDescent="0.25">
      <c r="A83" t="s">
        <v>123</v>
      </c>
      <c r="B83" t="s">
        <v>1162</v>
      </c>
      <c r="C83" t="s">
        <v>535</v>
      </c>
      <c r="D83">
        <v>-1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-2.6707317073170733</v>
      </c>
    </row>
    <row r="87" spans="1:4" x14ac:dyDescent="0.25">
      <c r="A87" t="s">
        <v>159</v>
      </c>
      <c r="D87">
        <f>MAX(D2:D83)</f>
        <v>7</v>
      </c>
    </row>
    <row r="88" spans="1:4" x14ac:dyDescent="0.25">
      <c r="A88" t="s">
        <v>160</v>
      </c>
      <c r="D88">
        <f>MIN(D2:D83)</f>
        <v>-10</v>
      </c>
    </row>
    <row r="89" spans="1:4" x14ac:dyDescent="0.25">
      <c r="A89" t="s">
        <v>161</v>
      </c>
      <c r="D89">
        <f>COUNTIF(D2:D83,"&gt;0")</f>
        <v>20</v>
      </c>
    </row>
    <row r="90" spans="1:4" x14ac:dyDescent="0.25">
      <c r="A90" t="s">
        <v>162</v>
      </c>
      <c r="D90">
        <f>COUNTIF(D2:D83,"=0")</f>
        <v>3</v>
      </c>
    </row>
    <row r="91" spans="1:4" x14ac:dyDescent="0.25">
      <c r="A91" t="s">
        <v>2150</v>
      </c>
      <c r="D91">
        <f>COUNTIF(D2:D83,"&lt;0")</f>
        <v>59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AVERAGE(D2,D3,D4,D5,D6,D7,D8,D9,D10,D11,D12,D13,D14,D15,D16,D17,D18,D19,D20,D21,D22,D23,D24)</f>
        <v>0.78260869565217395</v>
      </c>
    </row>
    <row r="95" spans="1:4" x14ac:dyDescent="0.25">
      <c r="A95" t="s">
        <v>166</v>
      </c>
      <c r="D95">
        <f>AVERAGE(D25,D26,D27,D28,D29,D30,D31,D32,D33,D34,D35,D36,D37,D38,D39,D40,D41,D42)</f>
        <v>-0.55555555555555558</v>
      </c>
    </row>
    <row r="96" spans="1:4" x14ac:dyDescent="0.25">
      <c r="A96" t="s">
        <v>167</v>
      </c>
      <c r="D96">
        <f>AVERAGE(D43,D44,D45,D46,D47,D48,D49,D50,D51,D52,D53,D54,D55,D56,D57,D58,D59,D60,D61,D62,D63,D64)</f>
        <v>-5.4090909090909092</v>
      </c>
    </row>
    <row r="97" spans="1:4" x14ac:dyDescent="0.25">
      <c r="A97" t="s">
        <v>168</v>
      </c>
      <c r="D97">
        <f>AVERAGE(D65,D66,D67,D68,D69,D70,D71,D72,D73,D74,D75,D76,D77,D78,D79,D80,D81,D82,D83)</f>
        <v>-5.6842105263157894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1022</v>
      </c>
      <c r="C2" t="s">
        <v>171</v>
      </c>
      <c r="D2">
        <v>3</v>
      </c>
    </row>
    <row r="3" spans="1:4" x14ac:dyDescent="0.25">
      <c r="A3" t="s">
        <v>4</v>
      </c>
      <c r="B3" t="s">
        <v>857</v>
      </c>
      <c r="C3" t="s">
        <v>173</v>
      </c>
      <c r="D3">
        <v>2</v>
      </c>
    </row>
    <row r="4" spans="1:4" x14ac:dyDescent="0.25">
      <c r="A4" t="s">
        <v>4</v>
      </c>
      <c r="B4" t="s">
        <v>857</v>
      </c>
      <c r="C4" t="s">
        <v>174</v>
      </c>
      <c r="D4">
        <v>1</v>
      </c>
    </row>
    <row r="5" spans="1:4" x14ac:dyDescent="0.25">
      <c r="A5" t="s">
        <v>4</v>
      </c>
      <c r="B5" t="s">
        <v>2151</v>
      </c>
      <c r="C5" t="s">
        <v>2045</v>
      </c>
      <c r="D5">
        <v>-1</v>
      </c>
    </row>
    <row r="6" spans="1:4" x14ac:dyDescent="0.25">
      <c r="A6" t="s">
        <v>4</v>
      </c>
      <c r="B6" t="s">
        <v>1849</v>
      </c>
      <c r="C6" t="s">
        <v>1106</v>
      </c>
      <c r="D6">
        <v>1</v>
      </c>
    </row>
    <row r="7" spans="1:4" x14ac:dyDescent="0.25">
      <c r="A7" t="s">
        <v>4</v>
      </c>
      <c r="B7" t="s">
        <v>2152</v>
      </c>
      <c r="C7" t="s">
        <v>913</v>
      </c>
      <c r="D7">
        <v>-2</v>
      </c>
    </row>
    <row r="8" spans="1:4" x14ac:dyDescent="0.25">
      <c r="A8" t="s">
        <v>4</v>
      </c>
      <c r="B8" t="s">
        <v>2074</v>
      </c>
      <c r="C8" t="s">
        <v>1496</v>
      </c>
      <c r="D8">
        <v>-4</v>
      </c>
    </row>
    <row r="9" spans="1:4" x14ac:dyDescent="0.25">
      <c r="A9" t="s">
        <v>4</v>
      </c>
      <c r="B9" t="s">
        <v>132</v>
      </c>
      <c r="C9" t="s">
        <v>2153</v>
      </c>
      <c r="D9">
        <v>-3</v>
      </c>
    </row>
    <row r="10" spans="1:4" x14ac:dyDescent="0.25">
      <c r="A10" t="s">
        <v>4</v>
      </c>
      <c r="B10" t="s">
        <v>132</v>
      </c>
      <c r="C10" t="s">
        <v>1497</v>
      </c>
      <c r="D10">
        <v>-2</v>
      </c>
    </row>
    <row r="11" spans="1:4" x14ac:dyDescent="0.25">
      <c r="A11" t="s">
        <v>4</v>
      </c>
      <c r="B11" t="s">
        <v>834</v>
      </c>
      <c r="C11" t="s">
        <v>699</v>
      </c>
      <c r="D11">
        <v>1</v>
      </c>
    </row>
    <row r="12" spans="1:4" x14ac:dyDescent="0.25">
      <c r="A12" t="s">
        <v>4</v>
      </c>
      <c r="B12" t="s">
        <v>217</v>
      </c>
      <c r="C12" t="s">
        <v>26</v>
      </c>
      <c r="D12">
        <v>3</v>
      </c>
    </row>
    <row r="13" spans="1:4" x14ac:dyDescent="0.25">
      <c r="A13" t="s">
        <v>4</v>
      </c>
      <c r="B13" t="s">
        <v>2154</v>
      </c>
      <c r="C13" t="s">
        <v>2155</v>
      </c>
      <c r="D13">
        <v>0</v>
      </c>
    </row>
    <row r="14" spans="1:4" x14ac:dyDescent="0.25">
      <c r="A14" t="s">
        <v>4</v>
      </c>
      <c r="B14" t="s">
        <v>1795</v>
      </c>
      <c r="C14" t="s">
        <v>30</v>
      </c>
      <c r="D14">
        <v>-1</v>
      </c>
    </row>
    <row r="15" spans="1:4" x14ac:dyDescent="0.25">
      <c r="A15" t="s">
        <v>4</v>
      </c>
      <c r="B15" t="s">
        <v>1795</v>
      </c>
      <c r="C15" t="s">
        <v>2119</v>
      </c>
      <c r="D15">
        <v>-2</v>
      </c>
    </row>
    <row r="16" spans="1:4" x14ac:dyDescent="0.25">
      <c r="A16" t="s">
        <v>4</v>
      </c>
      <c r="B16" t="s">
        <v>192</v>
      </c>
      <c r="C16" t="s">
        <v>1435</v>
      </c>
      <c r="D16">
        <v>-1</v>
      </c>
    </row>
    <row r="17" spans="1:4" x14ac:dyDescent="0.25">
      <c r="A17" t="s">
        <v>4</v>
      </c>
      <c r="B17" t="s">
        <v>25</v>
      </c>
      <c r="C17" t="s">
        <v>1504</v>
      </c>
      <c r="D17">
        <v>-4</v>
      </c>
    </row>
    <row r="18" spans="1:4" x14ac:dyDescent="0.25">
      <c r="A18" t="s">
        <v>4</v>
      </c>
      <c r="B18" t="s">
        <v>788</v>
      </c>
      <c r="C18" t="s">
        <v>447</v>
      </c>
      <c r="D18">
        <v>-1</v>
      </c>
    </row>
    <row r="19" spans="1:4" x14ac:dyDescent="0.25">
      <c r="A19" t="s">
        <v>4</v>
      </c>
      <c r="B19" t="s">
        <v>320</v>
      </c>
      <c r="C19" t="s">
        <v>2156</v>
      </c>
      <c r="D19">
        <v>-2</v>
      </c>
    </row>
    <row r="20" spans="1:4" x14ac:dyDescent="0.25">
      <c r="A20" t="s">
        <v>4</v>
      </c>
      <c r="B20" t="s">
        <v>320</v>
      </c>
      <c r="C20" t="s">
        <v>2157</v>
      </c>
      <c r="D20">
        <v>-3</v>
      </c>
    </row>
    <row r="21" spans="1:4" x14ac:dyDescent="0.25">
      <c r="A21" t="s">
        <v>4</v>
      </c>
      <c r="B21" t="s">
        <v>344</v>
      </c>
      <c r="C21" t="s">
        <v>585</v>
      </c>
      <c r="D21">
        <v>0</v>
      </c>
    </row>
    <row r="22" spans="1:4" x14ac:dyDescent="0.25">
      <c r="A22" t="s">
        <v>4</v>
      </c>
      <c r="B22" t="s">
        <v>154</v>
      </c>
      <c r="C22" t="s">
        <v>1822</v>
      </c>
      <c r="D22">
        <v>2</v>
      </c>
    </row>
    <row r="23" spans="1:4" x14ac:dyDescent="0.25">
      <c r="A23" t="s">
        <v>40</v>
      </c>
      <c r="B23" t="s">
        <v>1136</v>
      </c>
      <c r="C23" t="s">
        <v>925</v>
      </c>
      <c r="D23">
        <v>4</v>
      </c>
    </row>
    <row r="24" spans="1:4" x14ac:dyDescent="0.25">
      <c r="A24" t="s">
        <v>40</v>
      </c>
      <c r="B24" t="s">
        <v>689</v>
      </c>
      <c r="C24" t="s">
        <v>1823</v>
      </c>
      <c r="D24">
        <v>2</v>
      </c>
    </row>
    <row r="25" spans="1:4" x14ac:dyDescent="0.25">
      <c r="A25" t="s">
        <v>40</v>
      </c>
      <c r="B25" t="s">
        <v>757</v>
      </c>
      <c r="C25" t="s">
        <v>334</v>
      </c>
      <c r="D25">
        <v>3</v>
      </c>
    </row>
    <row r="26" spans="1:4" x14ac:dyDescent="0.25">
      <c r="A26" t="s">
        <v>40</v>
      </c>
      <c r="B26" t="s">
        <v>757</v>
      </c>
      <c r="C26" t="s">
        <v>1439</v>
      </c>
      <c r="D26">
        <v>4</v>
      </c>
    </row>
    <row r="27" spans="1:4" x14ac:dyDescent="0.25">
      <c r="A27" t="s">
        <v>40</v>
      </c>
      <c r="B27" t="s">
        <v>1836</v>
      </c>
      <c r="C27" t="s">
        <v>1440</v>
      </c>
      <c r="D27">
        <v>2</v>
      </c>
    </row>
    <row r="28" spans="1:4" x14ac:dyDescent="0.25">
      <c r="A28" t="s">
        <v>40</v>
      </c>
      <c r="B28" t="s">
        <v>1773</v>
      </c>
      <c r="C28" t="s">
        <v>717</v>
      </c>
      <c r="D28">
        <v>4</v>
      </c>
    </row>
    <row r="29" spans="1:4" x14ac:dyDescent="0.25">
      <c r="A29" t="s">
        <v>40</v>
      </c>
      <c r="B29" t="s">
        <v>1033</v>
      </c>
      <c r="C29" t="s">
        <v>216</v>
      </c>
      <c r="D29">
        <v>6</v>
      </c>
    </row>
    <row r="30" spans="1:4" x14ac:dyDescent="0.25">
      <c r="A30" t="s">
        <v>40</v>
      </c>
      <c r="B30" t="s">
        <v>2158</v>
      </c>
      <c r="C30" t="s">
        <v>2159</v>
      </c>
      <c r="D30">
        <v>8</v>
      </c>
    </row>
    <row r="31" spans="1:4" x14ac:dyDescent="0.25">
      <c r="A31" t="s">
        <v>40</v>
      </c>
      <c r="B31" t="s">
        <v>1170</v>
      </c>
      <c r="C31" t="s">
        <v>1125</v>
      </c>
      <c r="D31">
        <v>6</v>
      </c>
    </row>
    <row r="32" spans="1:4" x14ac:dyDescent="0.25">
      <c r="A32" t="s">
        <v>40</v>
      </c>
      <c r="B32" t="s">
        <v>1170</v>
      </c>
      <c r="C32" t="s">
        <v>934</v>
      </c>
      <c r="D32">
        <v>5</v>
      </c>
    </row>
    <row r="33" spans="1:4" x14ac:dyDescent="0.25">
      <c r="A33" t="s">
        <v>40</v>
      </c>
      <c r="B33" t="s">
        <v>261</v>
      </c>
      <c r="C33" t="s">
        <v>2160</v>
      </c>
      <c r="D33">
        <v>8</v>
      </c>
    </row>
    <row r="34" spans="1:4" x14ac:dyDescent="0.25">
      <c r="A34" t="s">
        <v>40</v>
      </c>
      <c r="B34" t="s">
        <v>743</v>
      </c>
      <c r="C34" t="s">
        <v>1214</v>
      </c>
      <c r="D34">
        <v>5</v>
      </c>
    </row>
    <row r="35" spans="1:4" x14ac:dyDescent="0.25">
      <c r="A35" t="s">
        <v>40</v>
      </c>
      <c r="B35" t="s">
        <v>339</v>
      </c>
      <c r="C35" t="s">
        <v>2161</v>
      </c>
      <c r="D35">
        <v>7</v>
      </c>
    </row>
    <row r="36" spans="1:4" x14ac:dyDescent="0.25">
      <c r="A36" t="s">
        <v>40</v>
      </c>
      <c r="B36" t="s">
        <v>142</v>
      </c>
      <c r="C36" t="s">
        <v>1215</v>
      </c>
      <c r="D36">
        <v>8</v>
      </c>
    </row>
    <row r="37" spans="1:4" x14ac:dyDescent="0.25">
      <c r="A37" t="s">
        <v>40</v>
      </c>
      <c r="B37" t="s">
        <v>142</v>
      </c>
      <c r="C37" t="s">
        <v>2162</v>
      </c>
      <c r="D37">
        <v>9</v>
      </c>
    </row>
    <row r="38" spans="1:4" x14ac:dyDescent="0.25">
      <c r="A38" t="s">
        <v>40</v>
      </c>
      <c r="B38" t="s">
        <v>704</v>
      </c>
      <c r="C38" t="s">
        <v>2163</v>
      </c>
      <c r="D38">
        <v>12</v>
      </c>
    </row>
    <row r="39" spans="1:4" x14ac:dyDescent="0.25">
      <c r="A39" t="s">
        <v>40</v>
      </c>
      <c r="B39" t="s">
        <v>448</v>
      </c>
      <c r="C39" t="s">
        <v>2164</v>
      </c>
      <c r="D39">
        <v>14</v>
      </c>
    </row>
    <row r="40" spans="1:4" x14ac:dyDescent="0.25">
      <c r="A40" t="s">
        <v>40</v>
      </c>
      <c r="B40" t="s">
        <v>552</v>
      </c>
      <c r="C40" t="s">
        <v>1941</v>
      </c>
      <c r="D40">
        <v>12</v>
      </c>
    </row>
    <row r="41" spans="1:4" x14ac:dyDescent="0.25">
      <c r="A41" t="s">
        <v>40</v>
      </c>
      <c r="B41" t="s">
        <v>880</v>
      </c>
      <c r="C41" t="s">
        <v>947</v>
      </c>
      <c r="D41">
        <v>10</v>
      </c>
    </row>
    <row r="42" spans="1:4" x14ac:dyDescent="0.25">
      <c r="A42" t="s">
        <v>80</v>
      </c>
      <c r="B42" t="s">
        <v>128</v>
      </c>
      <c r="C42" t="s">
        <v>2165</v>
      </c>
      <c r="D42">
        <v>8</v>
      </c>
    </row>
    <row r="43" spans="1:4" x14ac:dyDescent="0.25">
      <c r="A43" t="s">
        <v>80</v>
      </c>
      <c r="B43" t="s">
        <v>9</v>
      </c>
      <c r="C43" t="s">
        <v>2166</v>
      </c>
      <c r="D43">
        <v>6</v>
      </c>
    </row>
    <row r="44" spans="1:4" x14ac:dyDescent="0.25">
      <c r="A44" t="s">
        <v>80</v>
      </c>
      <c r="B44" t="s">
        <v>862</v>
      </c>
      <c r="C44" t="s">
        <v>2167</v>
      </c>
      <c r="D44">
        <v>9</v>
      </c>
    </row>
    <row r="45" spans="1:4" x14ac:dyDescent="0.25">
      <c r="A45" t="s">
        <v>80</v>
      </c>
      <c r="B45" t="s">
        <v>175</v>
      </c>
      <c r="C45" t="s">
        <v>2168</v>
      </c>
      <c r="D45">
        <v>7</v>
      </c>
    </row>
    <row r="46" spans="1:4" x14ac:dyDescent="0.25">
      <c r="A46" t="s">
        <v>80</v>
      </c>
      <c r="B46" t="s">
        <v>175</v>
      </c>
      <c r="C46" t="s">
        <v>2169</v>
      </c>
      <c r="D46">
        <v>6</v>
      </c>
    </row>
    <row r="47" spans="1:4" x14ac:dyDescent="0.25">
      <c r="A47" t="s">
        <v>80</v>
      </c>
      <c r="B47" t="s">
        <v>13</v>
      </c>
      <c r="C47" t="s">
        <v>1148</v>
      </c>
      <c r="D47">
        <v>9</v>
      </c>
    </row>
    <row r="48" spans="1:4" x14ac:dyDescent="0.25">
      <c r="A48" t="s">
        <v>80</v>
      </c>
      <c r="B48" t="s">
        <v>2080</v>
      </c>
      <c r="C48" t="s">
        <v>1597</v>
      </c>
      <c r="D48">
        <v>8</v>
      </c>
    </row>
    <row r="49" spans="1:4" x14ac:dyDescent="0.25">
      <c r="A49" t="s">
        <v>80</v>
      </c>
      <c r="B49" t="s">
        <v>2170</v>
      </c>
      <c r="C49" t="s">
        <v>2171</v>
      </c>
      <c r="D49">
        <v>6</v>
      </c>
    </row>
    <row r="50" spans="1:4" x14ac:dyDescent="0.25">
      <c r="A50" t="s">
        <v>80</v>
      </c>
      <c r="B50" t="s">
        <v>1288</v>
      </c>
      <c r="C50" t="s">
        <v>373</v>
      </c>
      <c r="D50">
        <v>3</v>
      </c>
    </row>
    <row r="51" spans="1:4" x14ac:dyDescent="0.25">
      <c r="A51" t="s">
        <v>80</v>
      </c>
      <c r="B51" t="s">
        <v>1090</v>
      </c>
      <c r="C51" t="s">
        <v>2172</v>
      </c>
      <c r="D51">
        <v>5</v>
      </c>
    </row>
    <row r="52" spans="1:4" x14ac:dyDescent="0.25">
      <c r="A52" t="s">
        <v>80</v>
      </c>
      <c r="B52" t="s">
        <v>1795</v>
      </c>
      <c r="C52" t="s">
        <v>1525</v>
      </c>
      <c r="D52">
        <v>3</v>
      </c>
    </row>
    <row r="53" spans="1:4" x14ac:dyDescent="0.25">
      <c r="A53" t="s">
        <v>80</v>
      </c>
      <c r="B53" t="s">
        <v>1795</v>
      </c>
      <c r="C53" t="s">
        <v>2173</v>
      </c>
      <c r="D53">
        <v>2</v>
      </c>
    </row>
    <row r="54" spans="1:4" x14ac:dyDescent="0.25">
      <c r="A54" t="s">
        <v>80</v>
      </c>
      <c r="B54" t="s">
        <v>23</v>
      </c>
      <c r="C54" t="s">
        <v>2174</v>
      </c>
      <c r="D54">
        <v>3</v>
      </c>
    </row>
    <row r="55" spans="1:4" x14ac:dyDescent="0.25">
      <c r="A55" t="s">
        <v>80</v>
      </c>
      <c r="B55" t="s">
        <v>142</v>
      </c>
      <c r="C55" t="s">
        <v>493</v>
      </c>
      <c r="D55">
        <v>6</v>
      </c>
    </row>
    <row r="56" spans="1:4" x14ac:dyDescent="0.25">
      <c r="A56" t="s">
        <v>80</v>
      </c>
      <c r="B56" t="s">
        <v>286</v>
      </c>
      <c r="C56" t="s">
        <v>495</v>
      </c>
      <c r="D56">
        <v>5</v>
      </c>
    </row>
    <row r="57" spans="1:4" x14ac:dyDescent="0.25">
      <c r="A57" t="s">
        <v>80</v>
      </c>
      <c r="B57" t="s">
        <v>1376</v>
      </c>
      <c r="C57" t="s">
        <v>496</v>
      </c>
      <c r="D57">
        <v>4</v>
      </c>
    </row>
    <row r="58" spans="1:4" x14ac:dyDescent="0.25">
      <c r="A58" t="s">
        <v>80</v>
      </c>
      <c r="B58" t="s">
        <v>29</v>
      </c>
      <c r="C58" t="s">
        <v>2175</v>
      </c>
      <c r="D58">
        <v>6</v>
      </c>
    </row>
    <row r="59" spans="1:4" x14ac:dyDescent="0.25">
      <c r="A59" t="s">
        <v>80</v>
      </c>
      <c r="B59" t="s">
        <v>1675</v>
      </c>
      <c r="C59" t="s">
        <v>2176</v>
      </c>
      <c r="D59">
        <v>5</v>
      </c>
    </row>
    <row r="60" spans="1:4" x14ac:dyDescent="0.25">
      <c r="A60" t="s">
        <v>80</v>
      </c>
      <c r="B60" t="s">
        <v>1675</v>
      </c>
      <c r="C60" t="s">
        <v>2177</v>
      </c>
      <c r="D60">
        <v>4</v>
      </c>
    </row>
    <row r="61" spans="1:4" x14ac:dyDescent="0.25">
      <c r="A61" t="s">
        <v>80</v>
      </c>
      <c r="B61" t="s">
        <v>1675</v>
      </c>
      <c r="C61" t="s">
        <v>2178</v>
      </c>
      <c r="D61">
        <v>3</v>
      </c>
    </row>
    <row r="62" spans="1:4" x14ac:dyDescent="0.25">
      <c r="A62" t="s">
        <v>80</v>
      </c>
      <c r="B62" t="s">
        <v>534</v>
      </c>
      <c r="C62" t="s">
        <v>1839</v>
      </c>
      <c r="D62">
        <v>4</v>
      </c>
    </row>
    <row r="63" spans="1:4" x14ac:dyDescent="0.25">
      <c r="A63" t="s">
        <v>80</v>
      </c>
      <c r="B63" t="s">
        <v>930</v>
      </c>
      <c r="C63" t="s">
        <v>1164</v>
      </c>
      <c r="D63">
        <v>6</v>
      </c>
    </row>
    <row r="64" spans="1:4" x14ac:dyDescent="0.25">
      <c r="A64" t="s">
        <v>80</v>
      </c>
      <c r="B64" t="s">
        <v>1162</v>
      </c>
      <c r="C64" t="s">
        <v>2179</v>
      </c>
      <c r="D64">
        <v>4</v>
      </c>
    </row>
    <row r="65" spans="1:4" x14ac:dyDescent="0.25">
      <c r="A65" t="s">
        <v>80</v>
      </c>
      <c r="B65" t="s">
        <v>78</v>
      </c>
      <c r="C65" t="s">
        <v>2180</v>
      </c>
      <c r="D65">
        <v>3</v>
      </c>
    </row>
    <row r="66" spans="1:4" x14ac:dyDescent="0.25">
      <c r="A66" t="s">
        <v>80</v>
      </c>
      <c r="B66" t="s">
        <v>78</v>
      </c>
      <c r="C66" t="s">
        <v>2181</v>
      </c>
      <c r="D66">
        <v>2</v>
      </c>
    </row>
    <row r="67" spans="1:4" x14ac:dyDescent="0.25">
      <c r="A67" t="s">
        <v>123</v>
      </c>
      <c r="B67" t="s">
        <v>1430</v>
      </c>
      <c r="C67" t="s">
        <v>2182</v>
      </c>
      <c r="D67">
        <v>0</v>
      </c>
    </row>
    <row r="68" spans="1:4" x14ac:dyDescent="0.25">
      <c r="A68" t="s">
        <v>123</v>
      </c>
      <c r="B68" t="s">
        <v>689</v>
      </c>
      <c r="C68" t="s">
        <v>639</v>
      </c>
      <c r="D68">
        <v>2</v>
      </c>
    </row>
    <row r="69" spans="1:4" x14ac:dyDescent="0.25">
      <c r="A69" t="s">
        <v>123</v>
      </c>
      <c r="B69" t="s">
        <v>11</v>
      </c>
      <c r="C69" t="s">
        <v>640</v>
      </c>
      <c r="D69">
        <v>4</v>
      </c>
    </row>
    <row r="70" spans="1:4" x14ac:dyDescent="0.25">
      <c r="A70" t="s">
        <v>123</v>
      </c>
      <c r="B70" t="s">
        <v>1754</v>
      </c>
      <c r="C70" t="s">
        <v>2183</v>
      </c>
      <c r="D70">
        <v>6</v>
      </c>
    </row>
    <row r="71" spans="1:4" x14ac:dyDescent="0.25">
      <c r="A71" t="s">
        <v>123</v>
      </c>
      <c r="B71" t="s">
        <v>494</v>
      </c>
      <c r="C71" t="s">
        <v>644</v>
      </c>
      <c r="D71">
        <v>4</v>
      </c>
    </row>
    <row r="72" spans="1:4" x14ac:dyDescent="0.25">
      <c r="A72" t="s">
        <v>123</v>
      </c>
      <c r="B72" t="s">
        <v>914</v>
      </c>
      <c r="C72" t="s">
        <v>2184</v>
      </c>
      <c r="D72">
        <v>6</v>
      </c>
    </row>
    <row r="73" spans="1:4" x14ac:dyDescent="0.25">
      <c r="A73" t="s">
        <v>123</v>
      </c>
      <c r="B73" t="s">
        <v>914</v>
      </c>
      <c r="C73" t="s">
        <v>2185</v>
      </c>
      <c r="D73">
        <v>7</v>
      </c>
    </row>
    <row r="74" spans="1:4" x14ac:dyDescent="0.25">
      <c r="A74" t="s">
        <v>123</v>
      </c>
      <c r="B74" t="s">
        <v>256</v>
      </c>
      <c r="C74" t="s">
        <v>2186</v>
      </c>
      <c r="D74">
        <v>10</v>
      </c>
    </row>
    <row r="75" spans="1:4" x14ac:dyDescent="0.25">
      <c r="A75" t="s">
        <v>123</v>
      </c>
      <c r="B75" t="s">
        <v>1288</v>
      </c>
      <c r="C75" t="s">
        <v>2187</v>
      </c>
      <c r="D75">
        <v>11</v>
      </c>
    </row>
    <row r="76" spans="1:4" x14ac:dyDescent="0.25">
      <c r="A76" t="s">
        <v>123</v>
      </c>
      <c r="B76" t="s">
        <v>1288</v>
      </c>
      <c r="C76" t="s">
        <v>2188</v>
      </c>
      <c r="D76">
        <v>12</v>
      </c>
    </row>
    <row r="77" spans="1:4" x14ac:dyDescent="0.25">
      <c r="A77" t="s">
        <v>123</v>
      </c>
      <c r="B77" t="s">
        <v>805</v>
      </c>
      <c r="C77" t="s">
        <v>2189</v>
      </c>
      <c r="D77">
        <v>13</v>
      </c>
    </row>
    <row r="78" spans="1:4" x14ac:dyDescent="0.25">
      <c r="A78" t="s">
        <v>123</v>
      </c>
      <c r="B78" t="s">
        <v>805</v>
      </c>
      <c r="C78" t="s">
        <v>2190</v>
      </c>
      <c r="D78">
        <v>14</v>
      </c>
    </row>
    <row r="79" spans="1:4" x14ac:dyDescent="0.25">
      <c r="A79" t="s">
        <v>123</v>
      </c>
      <c r="B79" t="s">
        <v>764</v>
      </c>
      <c r="C79" t="s">
        <v>1478</v>
      </c>
      <c r="D79">
        <v>15</v>
      </c>
    </row>
    <row r="80" spans="1:4" x14ac:dyDescent="0.25">
      <c r="A80" t="s">
        <v>123</v>
      </c>
      <c r="B80" t="s">
        <v>764</v>
      </c>
      <c r="C80" t="s">
        <v>2191</v>
      </c>
      <c r="D80">
        <v>16</v>
      </c>
    </row>
    <row r="81" spans="1:4" x14ac:dyDescent="0.25">
      <c r="A81" t="s">
        <v>123</v>
      </c>
      <c r="B81" t="s">
        <v>984</v>
      </c>
      <c r="C81" t="s">
        <v>2192</v>
      </c>
      <c r="D81">
        <v>13</v>
      </c>
    </row>
    <row r="82" spans="1:4" x14ac:dyDescent="0.25">
      <c r="A82" t="s">
        <v>123</v>
      </c>
      <c r="B82" t="s">
        <v>469</v>
      </c>
      <c r="C82" t="s">
        <v>1480</v>
      </c>
      <c r="D82">
        <v>15</v>
      </c>
    </row>
    <row r="83" spans="1:4" x14ac:dyDescent="0.25">
      <c r="A83" t="s">
        <v>123</v>
      </c>
      <c r="B83" t="s">
        <v>469</v>
      </c>
      <c r="C83" t="s">
        <v>2193</v>
      </c>
      <c r="D83">
        <v>16</v>
      </c>
    </row>
    <row r="84" spans="1:4" x14ac:dyDescent="0.25">
      <c r="A84" t="s">
        <v>123</v>
      </c>
      <c r="B84" t="s">
        <v>607</v>
      </c>
      <c r="C84" t="s">
        <v>2194</v>
      </c>
      <c r="D84">
        <v>13</v>
      </c>
    </row>
    <row r="85" spans="1:4" x14ac:dyDescent="0.25">
      <c r="A85" t="s">
        <v>123</v>
      </c>
      <c r="B85" t="s">
        <v>2112</v>
      </c>
      <c r="C85" t="s">
        <v>2195</v>
      </c>
      <c r="D85">
        <v>11</v>
      </c>
    </row>
    <row r="86" spans="1:4" x14ac:dyDescent="0.25">
      <c r="A86" t="s">
        <v>123</v>
      </c>
      <c r="B86" t="s">
        <v>896</v>
      </c>
      <c r="C86" t="s">
        <v>994</v>
      </c>
      <c r="D86">
        <v>14</v>
      </c>
    </row>
    <row r="87" spans="1:4" x14ac:dyDescent="0.25">
      <c r="A87" t="s">
        <v>123</v>
      </c>
      <c r="B87" t="s">
        <v>898</v>
      </c>
      <c r="C87" t="s">
        <v>1486</v>
      </c>
      <c r="D87">
        <v>12</v>
      </c>
    </row>
    <row r="88" spans="1:4" x14ac:dyDescent="0.25">
      <c r="A88" t="s">
        <v>123</v>
      </c>
      <c r="B88" t="s">
        <v>1019</v>
      </c>
      <c r="C88" t="s">
        <v>1487</v>
      </c>
      <c r="D88">
        <v>14</v>
      </c>
    </row>
    <row r="89" spans="1:4" x14ac:dyDescent="0.25">
      <c r="A89" t="s">
        <v>123</v>
      </c>
      <c r="B89" t="s">
        <v>1050</v>
      </c>
      <c r="C89" t="s">
        <v>2196</v>
      </c>
      <c r="D89">
        <v>11</v>
      </c>
    </row>
    <row r="90" spans="1:4" x14ac:dyDescent="0.25">
      <c r="A90" t="s">
        <v>123</v>
      </c>
      <c r="B90" t="s">
        <v>296</v>
      </c>
      <c r="C90" t="s">
        <v>2197</v>
      </c>
      <c r="D90">
        <v>10</v>
      </c>
    </row>
    <row r="91" spans="1:4" x14ac:dyDescent="0.25">
      <c r="A91" t="s">
        <v>123</v>
      </c>
      <c r="B91" t="s">
        <v>322</v>
      </c>
      <c r="C91" t="s">
        <v>2198</v>
      </c>
      <c r="D91">
        <v>11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5.5888888888888886</v>
      </c>
    </row>
    <row r="95" spans="1:4" x14ac:dyDescent="0.25">
      <c r="A95" t="s">
        <v>159</v>
      </c>
      <c r="D95">
        <f>MAX(D2:D91)</f>
        <v>16</v>
      </c>
    </row>
    <row r="96" spans="1:4" x14ac:dyDescent="0.25">
      <c r="A96" t="s">
        <v>160</v>
      </c>
      <c r="D96">
        <f>MIN(D2:D91)</f>
        <v>-4</v>
      </c>
    </row>
    <row r="97" spans="1:4" x14ac:dyDescent="0.25">
      <c r="A97" t="s">
        <v>161</v>
      </c>
      <c r="D97">
        <f>COUNTIF(D2:D91,"&gt;0")</f>
        <v>75</v>
      </c>
    </row>
    <row r="98" spans="1:4" x14ac:dyDescent="0.25">
      <c r="A98" t="s">
        <v>162</v>
      </c>
      <c r="D98">
        <f>COUNTIF(D2:D91,"=0")</f>
        <v>3</v>
      </c>
    </row>
    <row r="99" spans="1:4" x14ac:dyDescent="0.25">
      <c r="A99" t="s">
        <v>1570</v>
      </c>
      <c r="D99">
        <f>COUNTIF(D2:D91,"&lt;0")</f>
        <v>12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AVERAGE(D2,D3,D4,D5,D6,D7,D8,D9,D10,D11,D12,D13,D14,D15,D16,D17,D18,D19,D20,D21,D22)</f>
        <v>-0.61904761904761907</v>
      </c>
    </row>
    <row r="103" spans="1:4" x14ac:dyDescent="0.25">
      <c r="A103" t="s">
        <v>166</v>
      </c>
      <c r="D103">
        <f>AVERAGE(D23,D24,D25,D26,D27,D28,D29,D30,D31,D32,D33,D34,D35,D36,D37,D38,D39,D40,D41)</f>
        <v>6.7894736842105265</v>
      </c>
    </row>
    <row r="104" spans="1:4" x14ac:dyDescent="0.25">
      <c r="A104" t="s">
        <v>167</v>
      </c>
      <c r="D104">
        <f>AVERAGE(D42,D43,D44,D45,D46,D47,D48,D49,D50,D51,D52,D53,D54,D55,D56,D57,D58,D59,D60,D61,D62,D63,D64,D65,D66)</f>
        <v>5.08</v>
      </c>
    </row>
    <row r="105" spans="1:4" x14ac:dyDescent="0.25">
      <c r="A105" t="s">
        <v>168</v>
      </c>
      <c r="D105">
        <f>AVERAGE(D67,D68,D69,D70,D71,D72,D73,D74,D75,D76,D77,D78,D79,D80,D81,D82,D83,D84,D85,D86,D87,D88,D89,D90,D91)</f>
        <v>10.4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2052</v>
      </c>
      <c r="C2" t="s">
        <v>908</v>
      </c>
      <c r="D2">
        <v>-2</v>
      </c>
    </row>
    <row r="3" spans="1:4" x14ac:dyDescent="0.25">
      <c r="A3" t="s">
        <v>4</v>
      </c>
      <c r="B3" t="s">
        <v>83</v>
      </c>
      <c r="C3" t="s">
        <v>1692</v>
      </c>
      <c r="D3">
        <v>-4</v>
      </c>
    </row>
    <row r="4" spans="1:4" x14ac:dyDescent="0.25">
      <c r="A4" t="s">
        <v>4</v>
      </c>
      <c r="B4" t="s">
        <v>400</v>
      </c>
      <c r="C4" t="s">
        <v>2199</v>
      </c>
      <c r="D4">
        <v>-7</v>
      </c>
    </row>
    <row r="5" spans="1:4" x14ac:dyDescent="0.25">
      <c r="A5" t="s">
        <v>4</v>
      </c>
      <c r="B5" t="s">
        <v>1824</v>
      </c>
      <c r="C5" t="s">
        <v>911</v>
      </c>
      <c r="D5">
        <v>-4</v>
      </c>
    </row>
    <row r="6" spans="1:4" x14ac:dyDescent="0.25">
      <c r="A6" t="s">
        <v>4</v>
      </c>
      <c r="B6" t="s">
        <v>1773</v>
      </c>
      <c r="C6" t="s">
        <v>2200</v>
      </c>
      <c r="D6">
        <v>-5</v>
      </c>
    </row>
    <row r="7" spans="1:4" x14ac:dyDescent="0.25">
      <c r="A7" t="s">
        <v>4</v>
      </c>
      <c r="B7" t="s">
        <v>1773</v>
      </c>
      <c r="C7" t="s">
        <v>2201</v>
      </c>
      <c r="D7">
        <v>-6</v>
      </c>
    </row>
    <row r="8" spans="1:4" x14ac:dyDescent="0.25">
      <c r="A8" t="s">
        <v>4</v>
      </c>
      <c r="B8" t="s">
        <v>1683</v>
      </c>
      <c r="C8" t="s">
        <v>1496</v>
      </c>
      <c r="D8">
        <v>-4</v>
      </c>
    </row>
    <row r="9" spans="1:4" x14ac:dyDescent="0.25">
      <c r="A9" t="s">
        <v>4</v>
      </c>
      <c r="B9" t="s">
        <v>834</v>
      </c>
      <c r="C9" t="s">
        <v>697</v>
      </c>
      <c r="D9">
        <v>-1</v>
      </c>
    </row>
    <row r="10" spans="1:4" x14ac:dyDescent="0.25">
      <c r="A10" t="s">
        <v>4</v>
      </c>
      <c r="B10" t="s">
        <v>93</v>
      </c>
      <c r="C10" t="s">
        <v>699</v>
      </c>
      <c r="D10">
        <v>1</v>
      </c>
    </row>
    <row r="11" spans="1:4" x14ac:dyDescent="0.25">
      <c r="A11" t="s">
        <v>4</v>
      </c>
      <c r="B11" t="s">
        <v>138</v>
      </c>
      <c r="C11" t="s">
        <v>2202</v>
      </c>
      <c r="D11">
        <v>-1</v>
      </c>
    </row>
    <row r="12" spans="1:4" x14ac:dyDescent="0.25">
      <c r="A12" t="s">
        <v>4</v>
      </c>
      <c r="B12" t="s">
        <v>60</v>
      </c>
      <c r="C12" t="s">
        <v>28</v>
      </c>
      <c r="D12">
        <v>1</v>
      </c>
    </row>
    <row r="13" spans="1:4" x14ac:dyDescent="0.25">
      <c r="A13" t="s">
        <v>4</v>
      </c>
      <c r="B13" t="s">
        <v>1434</v>
      </c>
      <c r="C13" t="s">
        <v>2119</v>
      </c>
      <c r="D13">
        <v>-2</v>
      </c>
    </row>
    <row r="14" spans="1:4" x14ac:dyDescent="0.25">
      <c r="A14" t="s">
        <v>4</v>
      </c>
      <c r="B14" t="s">
        <v>663</v>
      </c>
      <c r="C14" t="s">
        <v>2203</v>
      </c>
      <c r="D14">
        <v>-5</v>
      </c>
    </row>
    <row r="15" spans="1:4" x14ac:dyDescent="0.25">
      <c r="A15" t="s">
        <v>4</v>
      </c>
      <c r="B15" t="s">
        <v>887</v>
      </c>
      <c r="C15" t="s">
        <v>2204</v>
      </c>
      <c r="D15">
        <v>-3</v>
      </c>
    </row>
    <row r="16" spans="1:4" x14ac:dyDescent="0.25">
      <c r="A16" t="s">
        <v>4</v>
      </c>
      <c r="B16" t="s">
        <v>1040</v>
      </c>
      <c r="C16" t="s">
        <v>1820</v>
      </c>
      <c r="D16">
        <v>0</v>
      </c>
    </row>
    <row r="17" spans="1:4" x14ac:dyDescent="0.25">
      <c r="A17" t="s">
        <v>4</v>
      </c>
      <c r="B17" t="s">
        <v>1217</v>
      </c>
      <c r="C17" t="s">
        <v>1821</v>
      </c>
      <c r="D17">
        <v>-2</v>
      </c>
    </row>
    <row r="18" spans="1:4" x14ac:dyDescent="0.25">
      <c r="A18" t="s">
        <v>4</v>
      </c>
      <c r="B18" t="s">
        <v>473</v>
      </c>
      <c r="C18" t="s">
        <v>2205</v>
      </c>
      <c r="D18">
        <v>-5</v>
      </c>
    </row>
    <row r="19" spans="1:4" x14ac:dyDescent="0.25">
      <c r="A19" t="s">
        <v>4</v>
      </c>
      <c r="B19" t="s">
        <v>877</v>
      </c>
      <c r="C19" t="s">
        <v>2206</v>
      </c>
      <c r="D19">
        <v>-3</v>
      </c>
    </row>
    <row r="20" spans="1:4" x14ac:dyDescent="0.25">
      <c r="A20" t="s">
        <v>4</v>
      </c>
      <c r="B20" t="s">
        <v>231</v>
      </c>
      <c r="C20" t="s">
        <v>46</v>
      </c>
      <c r="D20">
        <v>-5</v>
      </c>
    </row>
    <row r="21" spans="1:4" x14ac:dyDescent="0.25">
      <c r="A21" t="s">
        <v>4</v>
      </c>
      <c r="B21" t="s">
        <v>1115</v>
      </c>
      <c r="C21" t="s">
        <v>1510</v>
      </c>
      <c r="D21">
        <v>-2</v>
      </c>
    </row>
    <row r="22" spans="1:4" x14ac:dyDescent="0.25">
      <c r="A22" t="s">
        <v>4</v>
      </c>
      <c r="B22" t="s">
        <v>33</v>
      </c>
      <c r="C22" t="s">
        <v>52</v>
      </c>
      <c r="D22">
        <v>-4</v>
      </c>
    </row>
    <row r="23" spans="1:4" x14ac:dyDescent="0.25">
      <c r="A23" t="s">
        <v>4</v>
      </c>
      <c r="B23" t="s">
        <v>793</v>
      </c>
      <c r="C23" t="s">
        <v>592</v>
      </c>
      <c r="D23">
        <v>-2</v>
      </c>
    </row>
    <row r="24" spans="1:4" x14ac:dyDescent="0.25">
      <c r="A24" t="s">
        <v>4</v>
      </c>
      <c r="B24" t="s">
        <v>584</v>
      </c>
      <c r="C24" t="s">
        <v>2207</v>
      </c>
      <c r="D24">
        <v>-4</v>
      </c>
    </row>
    <row r="25" spans="1:4" x14ac:dyDescent="0.25">
      <c r="A25" t="s">
        <v>40</v>
      </c>
      <c r="B25" t="s">
        <v>795</v>
      </c>
      <c r="C25" t="s">
        <v>2208</v>
      </c>
      <c r="D25">
        <v>-7</v>
      </c>
    </row>
    <row r="26" spans="1:4" x14ac:dyDescent="0.25">
      <c r="A26" t="s">
        <v>40</v>
      </c>
      <c r="B26" t="s">
        <v>1765</v>
      </c>
      <c r="C26" t="s">
        <v>2209</v>
      </c>
      <c r="D26">
        <v>-5</v>
      </c>
    </row>
    <row r="27" spans="1:4" x14ac:dyDescent="0.25">
      <c r="A27" t="s">
        <v>40</v>
      </c>
      <c r="B27" t="s">
        <v>205</v>
      </c>
      <c r="C27" t="s">
        <v>2210</v>
      </c>
      <c r="D27">
        <v>-8</v>
      </c>
    </row>
    <row r="28" spans="1:4" x14ac:dyDescent="0.25">
      <c r="A28" t="s">
        <v>40</v>
      </c>
      <c r="B28" t="s">
        <v>490</v>
      </c>
      <c r="C28" t="s">
        <v>2211</v>
      </c>
      <c r="D28">
        <v>-7</v>
      </c>
    </row>
    <row r="29" spans="1:4" x14ac:dyDescent="0.25">
      <c r="A29" t="s">
        <v>40</v>
      </c>
      <c r="B29" t="s">
        <v>490</v>
      </c>
      <c r="C29" t="s">
        <v>603</v>
      </c>
      <c r="D29">
        <v>-6</v>
      </c>
    </row>
    <row r="30" spans="1:4" x14ac:dyDescent="0.25">
      <c r="A30" t="s">
        <v>40</v>
      </c>
      <c r="B30" t="s">
        <v>87</v>
      </c>
      <c r="C30" t="s">
        <v>2212</v>
      </c>
      <c r="D30">
        <v>-8</v>
      </c>
    </row>
    <row r="31" spans="1:4" x14ac:dyDescent="0.25">
      <c r="A31" t="s">
        <v>40</v>
      </c>
      <c r="B31" t="s">
        <v>1493</v>
      </c>
      <c r="C31" t="s">
        <v>2128</v>
      </c>
      <c r="D31">
        <v>-5</v>
      </c>
    </row>
    <row r="32" spans="1:4" x14ac:dyDescent="0.25">
      <c r="A32" t="s">
        <v>40</v>
      </c>
      <c r="B32" t="s">
        <v>250</v>
      </c>
      <c r="C32" t="s">
        <v>2213</v>
      </c>
      <c r="D32">
        <v>-7</v>
      </c>
    </row>
    <row r="33" spans="1:4" x14ac:dyDescent="0.25">
      <c r="A33" t="s">
        <v>40</v>
      </c>
      <c r="B33" t="s">
        <v>1194</v>
      </c>
      <c r="C33" t="s">
        <v>2214</v>
      </c>
      <c r="D33">
        <v>-9</v>
      </c>
    </row>
    <row r="34" spans="1:4" x14ac:dyDescent="0.25">
      <c r="A34" t="s">
        <v>40</v>
      </c>
      <c r="B34" t="s">
        <v>91</v>
      </c>
      <c r="C34" t="s">
        <v>2215</v>
      </c>
      <c r="D34">
        <v>-7</v>
      </c>
    </row>
    <row r="35" spans="1:4" x14ac:dyDescent="0.25">
      <c r="A35" t="s">
        <v>40</v>
      </c>
      <c r="B35" t="s">
        <v>802</v>
      </c>
      <c r="C35" t="s">
        <v>2216</v>
      </c>
      <c r="D35">
        <v>-5</v>
      </c>
    </row>
    <row r="36" spans="1:4" x14ac:dyDescent="0.25">
      <c r="A36" t="s">
        <v>40</v>
      </c>
      <c r="B36" t="s">
        <v>2170</v>
      </c>
      <c r="C36" t="s">
        <v>2217</v>
      </c>
      <c r="D36">
        <v>-3</v>
      </c>
    </row>
    <row r="37" spans="1:4" x14ac:dyDescent="0.25">
      <c r="A37" t="s">
        <v>40</v>
      </c>
      <c r="B37" t="s">
        <v>368</v>
      </c>
      <c r="C37" t="s">
        <v>2133</v>
      </c>
      <c r="D37">
        <v>-5</v>
      </c>
    </row>
    <row r="38" spans="1:4" x14ac:dyDescent="0.25">
      <c r="A38" t="s">
        <v>40</v>
      </c>
      <c r="B38" t="s">
        <v>62</v>
      </c>
      <c r="C38" t="s">
        <v>2218</v>
      </c>
      <c r="D38">
        <v>-3</v>
      </c>
    </row>
    <row r="39" spans="1:4" x14ac:dyDescent="0.25">
      <c r="A39" t="s">
        <v>40</v>
      </c>
      <c r="B39" t="s">
        <v>2154</v>
      </c>
      <c r="C39" t="s">
        <v>2219</v>
      </c>
      <c r="D39">
        <v>-6</v>
      </c>
    </row>
    <row r="40" spans="1:4" x14ac:dyDescent="0.25">
      <c r="A40" t="s">
        <v>40</v>
      </c>
      <c r="B40" t="s">
        <v>805</v>
      </c>
      <c r="C40" t="s">
        <v>2220</v>
      </c>
      <c r="D40">
        <v>-8</v>
      </c>
    </row>
    <row r="41" spans="1:4" x14ac:dyDescent="0.25">
      <c r="A41" t="s">
        <v>40</v>
      </c>
      <c r="B41" t="s">
        <v>108</v>
      </c>
      <c r="C41" t="s">
        <v>2221</v>
      </c>
      <c r="D41">
        <v>-10</v>
      </c>
    </row>
    <row r="42" spans="1:4" x14ac:dyDescent="0.25">
      <c r="A42" t="s">
        <v>40</v>
      </c>
      <c r="B42" t="s">
        <v>192</v>
      </c>
      <c r="C42" t="s">
        <v>2222</v>
      </c>
      <c r="D42">
        <v>-8</v>
      </c>
    </row>
    <row r="43" spans="1:4" x14ac:dyDescent="0.25">
      <c r="A43" t="s">
        <v>40</v>
      </c>
      <c r="B43" t="s">
        <v>286</v>
      </c>
      <c r="C43" t="s">
        <v>2223</v>
      </c>
      <c r="D43">
        <v>-10</v>
      </c>
    </row>
    <row r="44" spans="1:4" x14ac:dyDescent="0.25">
      <c r="A44" t="s">
        <v>40</v>
      </c>
      <c r="B44" t="s">
        <v>1396</v>
      </c>
      <c r="C44" t="s">
        <v>824</v>
      </c>
      <c r="D44">
        <v>-8</v>
      </c>
    </row>
    <row r="45" spans="1:4" x14ac:dyDescent="0.25">
      <c r="A45" t="s">
        <v>40</v>
      </c>
      <c r="B45" t="s">
        <v>898</v>
      </c>
      <c r="C45" t="s">
        <v>825</v>
      </c>
      <c r="D45">
        <v>-9</v>
      </c>
    </row>
    <row r="46" spans="1:4" x14ac:dyDescent="0.25">
      <c r="A46" t="s">
        <v>40</v>
      </c>
      <c r="B46" t="s">
        <v>898</v>
      </c>
      <c r="C46" t="s">
        <v>826</v>
      </c>
      <c r="D46">
        <v>-10</v>
      </c>
    </row>
    <row r="47" spans="1:4" x14ac:dyDescent="0.25">
      <c r="A47" t="s">
        <v>40</v>
      </c>
      <c r="B47" t="s">
        <v>31</v>
      </c>
      <c r="C47" t="s">
        <v>2224</v>
      </c>
      <c r="D47">
        <v>-8</v>
      </c>
    </row>
    <row r="48" spans="1:4" x14ac:dyDescent="0.25">
      <c r="A48" t="s">
        <v>80</v>
      </c>
      <c r="B48" t="s">
        <v>563</v>
      </c>
      <c r="C48" t="s">
        <v>2225</v>
      </c>
      <c r="D48">
        <v>-5</v>
      </c>
    </row>
    <row r="49" spans="1:4" x14ac:dyDescent="0.25">
      <c r="A49" t="s">
        <v>80</v>
      </c>
      <c r="B49" t="s">
        <v>1648</v>
      </c>
      <c r="C49" t="s">
        <v>2226</v>
      </c>
      <c r="D49">
        <v>-7</v>
      </c>
    </row>
    <row r="50" spans="1:4" x14ac:dyDescent="0.25">
      <c r="A50" t="s">
        <v>80</v>
      </c>
      <c r="B50" t="s">
        <v>797</v>
      </c>
      <c r="C50" t="s">
        <v>265</v>
      </c>
      <c r="D50">
        <v>-6</v>
      </c>
    </row>
    <row r="51" spans="1:4" x14ac:dyDescent="0.25">
      <c r="A51" t="s">
        <v>80</v>
      </c>
      <c r="B51" t="s">
        <v>797</v>
      </c>
      <c r="C51" t="s">
        <v>2227</v>
      </c>
      <c r="D51">
        <v>-5</v>
      </c>
    </row>
    <row r="52" spans="1:4" x14ac:dyDescent="0.25">
      <c r="A52" t="s">
        <v>80</v>
      </c>
      <c r="B52" t="s">
        <v>778</v>
      </c>
      <c r="C52" t="s">
        <v>2228</v>
      </c>
      <c r="D52">
        <v>-2</v>
      </c>
    </row>
    <row r="53" spans="1:4" x14ac:dyDescent="0.25">
      <c r="A53" t="s">
        <v>80</v>
      </c>
      <c r="B53" t="s">
        <v>51</v>
      </c>
      <c r="C53" t="s">
        <v>2229</v>
      </c>
      <c r="D53">
        <v>-5</v>
      </c>
    </row>
    <row r="54" spans="1:4" x14ac:dyDescent="0.25">
      <c r="A54" t="s">
        <v>80</v>
      </c>
      <c r="B54" t="s">
        <v>250</v>
      </c>
      <c r="C54" t="s">
        <v>1774</v>
      </c>
      <c r="D54">
        <v>-4</v>
      </c>
    </row>
    <row r="55" spans="1:4" x14ac:dyDescent="0.25">
      <c r="A55" t="s">
        <v>80</v>
      </c>
      <c r="B55" t="s">
        <v>250</v>
      </c>
      <c r="C55" t="s">
        <v>838</v>
      </c>
      <c r="D55">
        <v>-3</v>
      </c>
    </row>
    <row r="56" spans="1:4" x14ac:dyDescent="0.25">
      <c r="A56" t="s">
        <v>80</v>
      </c>
      <c r="B56" t="s">
        <v>333</v>
      </c>
      <c r="C56" t="s">
        <v>388</v>
      </c>
      <c r="D56">
        <v>-1</v>
      </c>
    </row>
    <row r="57" spans="1:4" x14ac:dyDescent="0.25">
      <c r="A57" t="s">
        <v>80</v>
      </c>
      <c r="B57" t="s">
        <v>1683</v>
      </c>
      <c r="C57" t="s">
        <v>2230</v>
      </c>
      <c r="D57">
        <v>-4</v>
      </c>
    </row>
    <row r="58" spans="1:4" x14ac:dyDescent="0.25">
      <c r="A58" t="s">
        <v>80</v>
      </c>
      <c r="B58" t="s">
        <v>256</v>
      </c>
      <c r="C58" t="s">
        <v>842</v>
      </c>
      <c r="D58">
        <v>-1</v>
      </c>
    </row>
    <row r="59" spans="1:4" x14ac:dyDescent="0.25">
      <c r="A59" t="s">
        <v>80</v>
      </c>
      <c r="B59" t="s">
        <v>1230</v>
      </c>
      <c r="C59" t="s">
        <v>2231</v>
      </c>
      <c r="D59">
        <v>-2</v>
      </c>
    </row>
    <row r="60" spans="1:4" x14ac:dyDescent="0.25">
      <c r="A60" t="s">
        <v>80</v>
      </c>
      <c r="B60" t="s">
        <v>1230</v>
      </c>
      <c r="C60" t="s">
        <v>2232</v>
      </c>
      <c r="D60">
        <v>-3</v>
      </c>
    </row>
    <row r="61" spans="1:4" x14ac:dyDescent="0.25">
      <c r="A61" t="s">
        <v>80</v>
      </c>
      <c r="B61" t="s">
        <v>467</v>
      </c>
      <c r="C61" t="s">
        <v>2233</v>
      </c>
      <c r="D61">
        <v>-4</v>
      </c>
    </row>
    <row r="62" spans="1:4" x14ac:dyDescent="0.25">
      <c r="A62" t="s">
        <v>80</v>
      </c>
      <c r="B62" t="s">
        <v>467</v>
      </c>
      <c r="C62" t="s">
        <v>2234</v>
      </c>
      <c r="D62">
        <v>-5</v>
      </c>
    </row>
    <row r="63" spans="1:4" x14ac:dyDescent="0.25">
      <c r="A63" t="s">
        <v>80</v>
      </c>
      <c r="B63" t="s">
        <v>607</v>
      </c>
      <c r="C63" t="s">
        <v>2235</v>
      </c>
      <c r="D63">
        <v>-3</v>
      </c>
    </row>
    <row r="64" spans="1:4" x14ac:dyDescent="0.25">
      <c r="A64" t="s">
        <v>80</v>
      </c>
      <c r="B64" t="s">
        <v>386</v>
      </c>
      <c r="C64" t="s">
        <v>2236</v>
      </c>
      <c r="D64">
        <v>-6</v>
      </c>
    </row>
    <row r="65" spans="1:4" x14ac:dyDescent="0.25">
      <c r="A65" t="s">
        <v>80</v>
      </c>
      <c r="B65" t="s">
        <v>1940</v>
      </c>
      <c r="C65" t="s">
        <v>2237</v>
      </c>
      <c r="D65">
        <v>-7</v>
      </c>
    </row>
    <row r="66" spans="1:4" x14ac:dyDescent="0.25">
      <c r="A66" t="s">
        <v>80</v>
      </c>
      <c r="B66" t="s">
        <v>1990</v>
      </c>
      <c r="C66" t="s">
        <v>2238</v>
      </c>
      <c r="D66">
        <v>-4</v>
      </c>
    </row>
    <row r="67" spans="1:4" x14ac:dyDescent="0.25">
      <c r="A67" t="s">
        <v>80</v>
      </c>
      <c r="B67" t="s">
        <v>1733</v>
      </c>
      <c r="C67" t="s">
        <v>2239</v>
      </c>
      <c r="D67">
        <v>-5</v>
      </c>
    </row>
    <row r="68" spans="1:4" x14ac:dyDescent="0.25">
      <c r="A68" t="s">
        <v>80</v>
      </c>
      <c r="B68" t="s">
        <v>1733</v>
      </c>
      <c r="C68" t="s">
        <v>2240</v>
      </c>
      <c r="D68">
        <v>-6</v>
      </c>
    </row>
    <row r="69" spans="1:4" x14ac:dyDescent="0.25">
      <c r="A69" t="s">
        <v>80</v>
      </c>
      <c r="B69" t="s">
        <v>772</v>
      </c>
      <c r="C69" t="s">
        <v>2241</v>
      </c>
      <c r="D69">
        <v>-4</v>
      </c>
    </row>
    <row r="70" spans="1:4" x14ac:dyDescent="0.25">
      <c r="A70" t="s">
        <v>80</v>
      </c>
      <c r="B70" t="s">
        <v>451</v>
      </c>
      <c r="C70" t="s">
        <v>2145</v>
      </c>
      <c r="D70">
        <v>-5</v>
      </c>
    </row>
    <row r="71" spans="1:4" x14ac:dyDescent="0.25">
      <c r="A71" t="s">
        <v>80</v>
      </c>
      <c r="B71" t="s">
        <v>38</v>
      </c>
      <c r="C71" t="s">
        <v>141</v>
      </c>
      <c r="D71">
        <v>-4</v>
      </c>
    </row>
    <row r="72" spans="1:4" x14ac:dyDescent="0.25">
      <c r="A72" t="s">
        <v>80</v>
      </c>
      <c r="B72" t="s">
        <v>38</v>
      </c>
      <c r="C72" t="s">
        <v>518</v>
      </c>
      <c r="D72">
        <v>-3</v>
      </c>
    </row>
    <row r="73" spans="1:4" x14ac:dyDescent="0.25">
      <c r="A73" t="s">
        <v>80</v>
      </c>
      <c r="B73" t="s">
        <v>38</v>
      </c>
      <c r="C73" t="s">
        <v>2242</v>
      </c>
      <c r="D73">
        <v>-2</v>
      </c>
    </row>
    <row r="74" spans="1:4" x14ac:dyDescent="0.25">
      <c r="A74" t="s">
        <v>123</v>
      </c>
      <c r="B74" t="s">
        <v>716</v>
      </c>
      <c r="C74" t="s">
        <v>2243</v>
      </c>
      <c r="D74">
        <v>0</v>
      </c>
    </row>
    <row r="75" spans="1:4" x14ac:dyDescent="0.25">
      <c r="A75" t="s">
        <v>123</v>
      </c>
      <c r="B75" t="s">
        <v>1210</v>
      </c>
      <c r="C75" t="s">
        <v>522</v>
      </c>
      <c r="D75">
        <v>-2</v>
      </c>
    </row>
    <row r="76" spans="1:4" x14ac:dyDescent="0.25">
      <c r="A76" t="s">
        <v>123</v>
      </c>
      <c r="B76" t="s">
        <v>1408</v>
      </c>
      <c r="C76" t="s">
        <v>2244</v>
      </c>
      <c r="D76">
        <v>-1</v>
      </c>
    </row>
    <row r="77" spans="1:4" x14ac:dyDescent="0.25">
      <c r="A77" t="s">
        <v>123</v>
      </c>
      <c r="B77" t="s">
        <v>1408</v>
      </c>
      <c r="C77" t="s">
        <v>2245</v>
      </c>
      <c r="D77">
        <v>0</v>
      </c>
    </row>
    <row r="78" spans="1:4" x14ac:dyDescent="0.25">
      <c r="A78" t="s">
        <v>123</v>
      </c>
      <c r="B78" t="s">
        <v>132</v>
      </c>
      <c r="C78" t="s">
        <v>2246</v>
      </c>
      <c r="D78">
        <v>-3</v>
      </c>
    </row>
    <row r="79" spans="1:4" x14ac:dyDescent="0.25">
      <c r="A79" t="s">
        <v>123</v>
      </c>
      <c r="B79" t="s">
        <v>570</v>
      </c>
      <c r="C79" t="s">
        <v>2247</v>
      </c>
      <c r="D79">
        <v>-5</v>
      </c>
    </row>
    <row r="80" spans="1:4" x14ac:dyDescent="0.25">
      <c r="A80" t="s">
        <v>123</v>
      </c>
      <c r="B80" t="s">
        <v>737</v>
      </c>
      <c r="C80" t="s">
        <v>2248</v>
      </c>
      <c r="D80">
        <v>-7</v>
      </c>
    </row>
    <row r="81" spans="1:4" x14ac:dyDescent="0.25">
      <c r="A81" t="s">
        <v>123</v>
      </c>
      <c r="B81" t="s">
        <v>62</v>
      </c>
      <c r="C81" t="s">
        <v>2249</v>
      </c>
      <c r="D81">
        <v>-9</v>
      </c>
    </row>
    <row r="82" spans="1:4" x14ac:dyDescent="0.25">
      <c r="A82" t="s">
        <v>123</v>
      </c>
      <c r="B82" t="s">
        <v>2250</v>
      </c>
      <c r="C82" t="s">
        <v>2251</v>
      </c>
      <c r="D82">
        <v>-6</v>
      </c>
    </row>
    <row r="83" spans="1:4" x14ac:dyDescent="0.25">
      <c r="A83" t="s">
        <v>123</v>
      </c>
      <c r="B83" t="s">
        <v>661</v>
      </c>
      <c r="C83" t="s">
        <v>2252</v>
      </c>
      <c r="D83">
        <v>-8</v>
      </c>
    </row>
    <row r="84" spans="1:4" x14ac:dyDescent="0.25">
      <c r="A84" t="s">
        <v>123</v>
      </c>
      <c r="B84" t="s">
        <v>337</v>
      </c>
      <c r="C84" t="s">
        <v>2253</v>
      </c>
      <c r="D84">
        <v>-5</v>
      </c>
    </row>
    <row r="85" spans="1:4" x14ac:dyDescent="0.25">
      <c r="A85" t="s">
        <v>123</v>
      </c>
      <c r="B85" t="s">
        <v>629</v>
      </c>
      <c r="C85" t="s">
        <v>2254</v>
      </c>
      <c r="D85">
        <v>-3</v>
      </c>
    </row>
    <row r="86" spans="1:4" x14ac:dyDescent="0.25">
      <c r="A86" t="s">
        <v>123</v>
      </c>
      <c r="B86" t="s">
        <v>1339</v>
      </c>
      <c r="C86" t="s">
        <v>2255</v>
      </c>
      <c r="D86">
        <v>-6</v>
      </c>
    </row>
    <row r="87" spans="1:4" x14ac:dyDescent="0.25">
      <c r="A87" t="s">
        <v>123</v>
      </c>
      <c r="B87" t="s">
        <v>612</v>
      </c>
      <c r="C87" t="s">
        <v>2256</v>
      </c>
      <c r="D87">
        <v>-4</v>
      </c>
    </row>
    <row r="88" spans="1:4" x14ac:dyDescent="0.25">
      <c r="A88" t="s">
        <v>123</v>
      </c>
      <c r="B88" t="s">
        <v>900</v>
      </c>
      <c r="C88" t="s">
        <v>2257</v>
      </c>
      <c r="D88">
        <v>-2</v>
      </c>
    </row>
    <row r="89" spans="1:4" x14ac:dyDescent="0.25">
      <c r="A89" t="s">
        <v>123</v>
      </c>
      <c r="B89" t="s">
        <v>556</v>
      </c>
      <c r="C89" t="s">
        <v>2258</v>
      </c>
      <c r="D89">
        <v>-4</v>
      </c>
    </row>
    <row r="90" spans="1:4" x14ac:dyDescent="0.25">
      <c r="A90" t="s">
        <v>123</v>
      </c>
      <c r="B90" t="s">
        <v>301</v>
      </c>
      <c r="C90" t="s">
        <v>2259</v>
      </c>
      <c r="D90">
        <v>-5</v>
      </c>
    </row>
    <row r="91" spans="1:4" x14ac:dyDescent="0.25">
      <c r="A91" t="s">
        <v>123</v>
      </c>
      <c r="B91" t="s">
        <v>902</v>
      </c>
      <c r="C91" t="s">
        <v>2260</v>
      </c>
      <c r="D91">
        <v>-6</v>
      </c>
    </row>
    <row r="92" spans="1:4" x14ac:dyDescent="0.25">
      <c r="A92" t="s">
        <v>123</v>
      </c>
      <c r="B92" t="s">
        <v>1261</v>
      </c>
      <c r="C92" t="s">
        <v>2261</v>
      </c>
      <c r="D92">
        <v>-5</v>
      </c>
    </row>
    <row r="93" spans="1:4" x14ac:dyDescent="0.25">
      <c r="A93" t="s">
        <v>123</v>
      </c>
      <c r="B93" t="s">
        <v>508</v>
      </c>
      <c r="C93" t="s">
        <v>2262</v>
      </c>
      <c r="D93">
        <v>-2</v>
      </c>
    </row>
    <row r="94" spans="1:4" x14ac:dyDescent="0.25">
      <c r="A94" t="s">
        <v>123</v>
      </c>
      <c r="B94" t="s">
        <v>396</v>
      </c>
      <c r="C94" t="s">
        <v>557</v>
      </c>
      <c r="D94">
        <v>-3</v>
      </c>
    </row>
    <row r="95" spans="1:4" x14ac:dyDescent="0.25">
      <c r="A95" t="s">
        <v>123</v>
      </c>
      <c r="B95" t="s">
        <v>396</v>
      </c>
      <c r="C95" t="s">
        <v>2263</v>
      </c>
      <c r="D95">
        <v>-4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-4.542553191489362</v>
      </c>
    </row>
    <row r="99" spans="1:4" x14ac:dyDescent="0.25">
      <c r="A99" t="s">
        <v>159</v>
      </c>
      <c r="D99">
        <f>MAX(D2:D95)</f>
        <v>1</v>
      </c>
    </row>
    <row r="100" spans="1:4" x14ac:dyDescent="0.25">
      <c r="A100" t="s">
        <v>160</v>
      </c>
      <c r="D100">
        <f>MIN(D2:D95)</f>
        <v>-10</v>
      </c>
    </row>
    <row r="101" spans="1:4" x14ac:dyDescent="0.25">
      <c r="A101" t="s">
        <v>161</v>
      </c>
      <c r="D101">
        <f>COUNTIF(D2:D95,"&gt;0")</f>
        <v>2</v>
      </c>
    </row>
    <row r="102" spans="1:4" x14ac:dyDescent="0.25">
      <c r="A102" t="s">
        <v>162</v>
      </c>
      <c r="D102">
        <f>COUNTIF(D2:D95,"=0")</f>
        <v>3</v>
      </c>
    </row>
    <row r="103" spans="1:4" x14ac:dyDescent="0.25">
      <c r="A103" t="s">
        <v>561</v>
      </c>
      <c r="D103">
        <f>COUNTIF(D2:D95,"&lt;0")</f>
        <v>89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AVERAGE(D2,D3,D4,D5,D6,D7,D8,D9,D10,D11,D12,D13,D14,D15,D16,D17,D18,D19,D20,D21,D22,D23,D24)</f>
        <v>-3</v>
      </c>
    </row>
    <row r="107" spans="1:4" x14ac:dyDescent="0.25">
      <c r="A107" t="s">
        <v>166</v>
      </c>
      <c r="D107">
        <f>AVERAGE(D25,D26,D27,D28,D29,D30,D31,D32,D33,D34,D35,D36,D37,D38,D39,D40,D41,D42,D43,D44,D45,D46,D47)</f>
        <v>-7.0434782608695654</v>
      </c>
    </row>
    <row r="108" spans="1:4" x14ac:dyDescent="0.25">
      <c r="A108" t="s">
        <v>167</v>
      </c>
      <c r="D108">
        <f>AVERAGE(D48,D49,D50,D51,D52,D53,D54,D55,D56,D57,D58,D59,D60,D61,D62,D63,D64,D65,D66,D67,D68,D69,D70,D71,D72,D73)</f>
        <v>-4.0769230769230766</v>
      </c>
    </row>
    <row r="109" spans="1:4" x14ac:dyDescent="0.25">
      <c r="A109" t="s">
        <v>168</v>
      </c>
      <c r="D109">
        <f>AVERAGE(D74,D75,D76,D77,D78,D79,D80,D81,D82,D83,D84,D85,D86,D87,D88,D89,D90,D91,D92,D93,D94,D95)</f>
        <v>-4.0909090909090908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1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1265</v>
      </c>
    </row>
    <row r="2" spans="1:4" x14ac:dyDescent="0.25">
      <c r="A2" t="s">
        <v>4</v>
      </c>
      <c r="B2" t="s">
        <v>907</v>
      </c>
      <c r="C2" t="s">
        <v>908</v>
      </c>
      <c r="D2">
        <v>-2</v>
      </c>
    </row>
    <row r="3" spans="1:4" x14ac:dyDescent="0.25">
      <c r="A3" t="s">
        <v>4</v>
      </c>
      <c r="B3" t="s">
        <v>7</v>
      </c>
      <c r="C3" t="s">
        <v>1692</v>
      </c>
      <c r="D3">
        <v>-4</v>
      </c>
    </row>
    <row r="4" spans="1:4" x14ac:dyDescent="0.25">
      <c r="A4" t="s">
        <v>4</v>
      </c>
      <c r="B4" t="s">
        <v>7</v>
      </c>
      <c r="C4" t="s">
        <v>909</v>
      </c>
      <c r="D4">
        <v>-5</v>
      </c>
    </row>
    <row r="5" spans="1:4" x14ac:dyDescent="0.25">
      <c r="A5" t="s">
        <v>4</v>
      </c>
      <c r="B5" t="s">
        <v>7</v>
      </c>
      <c r="C5" t="s">
        <v>910</v>
      </c>
      <c r="D5">
        <v>-2</v>
      </c>
    </row>
    <row r="6" spans="1:4" x14ac:dyDescent="0.25">
      <c r="A6" t="s">
        <v>4</v>
      </c>
      <c r="B6" t="s">
        <v>1849</v>
      </c>
      <c r="C6" t="s">
        <v>911</v>
      </c>
      <c r="D6">
        <v>-4</v>
      </c>
    </row>
    <row r="7" spans="1:4" x14ac:dyDescent="0.25">
      <c r="A7" t="s">
        <v>4</v>
      </c>
      <c r="B7" t="s">
        <v>208</v>
      </c>
      <c r="C7" t="s">
        <v>14</v>
      </c>
      <c r="D7">
        <v>-3</v>
      </c>
    </row>
    <row r="8" spans="1:4" x14ac:dyDescent="0.25">
      <c r="A8" t="s">
        <v>4</v>
      </c>
      <c r="B8" t="s">
        <v>208</v>
      </c>
      <c r="C8" t="s">
        <v>913</v>
      </c>
      <c r="D8">
        <v>-2</v>
      </c>
    </row>
    <row r="9" spans="1:4" x14ac:dyDescent="0.25">
      <c r="A9" t="s">
        <v>4</v>
      </c>
      <c r="B9" t="s">
        <v>724</v>
      </c>
      <c r="C9" t="s">
        <v>567</v>
      </c>
      <c r="D9">
        <v>0</v>
      </c>
    </row>
    <row r="10" spans="1:4" x14ac:dyDescent="0.25">
      <c r="A10" t="s">
        <v>4</v>
      </c>
      <c r="B10" t="s">
        <v>494</v>
      </c>
      <c r="C10" t="s">
        <v>696</v>
      </c>
      <c r="D10">
        <v>1</v>
      </c>
    </row>
    <row r="11" spans="1:4" x14ac:dyDescent="0.25">
      <c r="A11" t="s">
        <v>4</v>
      </c>
      <c r="B11" t="s">
        <v>834</v>
      </c>
      <c r="C11" t="s">
        <v>20</v>
      </c>
      <c r="D11">
        <v>0</v>
      </c>
    </row>
    <row r="12" spans="1:4" x14ac:dyDescent="0.25">
      <c r="A12" t="s">
        <v>4</v>
      </c>
      <c r="B12" t="s">
        <v>834</v>
      </c>
      <c r="C12" t="s">
        <v>697</v>
      </c>
      <c r="D12">
        <v>-1</v>
      </c>
    </row>
    <row r="13" spans="1:4" x14ac:dyDescent="0.25">
      <c r="A13" t="s">
        <v>4</v>
      </c>
      <c r="B13" t="s">
        <v>836</v>
      </c>
      <c r="C13" t="s">
        <v>571</v>
      </c>
      <c r="D13">
        <v>0</v>
      </c>
    </row>
    <row r="14" spans="1:4" x14ac:dyDescent="0.25">
      <c r="A14" t="s">
        <v>4</v>
      </c>
      <c r="B14" t="s">
        <v>17</v>
      </c>
      <c r="C14" t="s">
        <v>438</v>
      </c>
      <c r="D14">
        <v>-1</v>
      </c>
    </row>
    <row r="15" spans="1:4" x14ac:dyDescent="0.25">
      <c r="A15" t="s">
        <v>4</v>
      </c>
      <c r="B15" t="s">
        <v>17</v>
      </c>
      <c r="C15" t="s">
        <v>1744</v>
      </c>
      <c r="D15">
        <v>-2</v>
      </c>
    </row>
    <row r="16" spans="1:4" x14ac:dyDescent="0.25">
      <c r="A16" t="s">
        <v>4</v>
      </c>
      <c r="B16" t="s">
        <v>370</v>
      </c>
      <c r="C16" t="s">
        <v>2202</v>
      </c>
      <c r="D16">
        <v>-1</v>
      </c>
    </row>
    <row r="17" spans="1:4" x14ac:dyDescent="0.25">
      <c r="A17" t="s">
        <v>4</v>
      </c>
      <c r="B17" t="s">
        <v>1349</v>
      </c>
      <c r="C17" t="s">
        <v>574</v>
      </c>
      <c r="D17">
        <v>0</v>
      </c>
    </row>
    <row r="18" spans="1:4" x14ac:dyDescent="0.25">
      <c r="A18" t="s">
        <v>4</v>
      </c>
      <c r="B18" t="s">
        <v>762</v>
      </c>
      <c r="C18" t="s">
        <v>1818</v>
      </c>
      <c r="D18">
        <v>2</v>
      </c>
    </row>
    <row r="19" spans="1:4" x14ac:dyDescent="0.25">
      <c r="A19" t="s">
        <v>4</v>
      </c>
      <c r="B19" t="s">
        <v>337</v>
      </c>
      <c r="C19" t="s">
        <v>919</v>
      </c>
      <c r="D19">
        <v>1</v>
      </c>
    </row>
    <row r="20" spans="1:4" x14ac:dyDescent="0.25">
      <c r="A20" t="s">
        <v>4</v>
      </c>
      <c r="B20" t="s">
        <v>1698</v>
      </c>
      <c r="C20" t="s">
        <v>443</v>
      </c>
      <c r="D20">
        <v>0</v>
      </c>
    </row>
    <row r="21" spans="1:4" x14ac:dyDescent="0.25">
      <c r="A21" t="s">
        <v>4</v>
      </c>
      <c r="B21" t="s">
        <v>1698</v>
      </c>
      <c r="C21" t="s">
        <v>1435</v>
      </c>
      <c r="D21">
        <v>-1</v>
      </c>
    </row>
    <row r="22" spans="1:4" x14ac:dyDescent="0.25">
      <c r="A22" t="s">
        <v>4</v>
      </c>
      <c r="B22" t="s">
        <v>471</v>
      </c>
      <c r="C22" t="s">
        <v>703</v>
      </c>
      <c r="D22">
        <v>-3</v>
      </c>
    </row>
    <row r="23" spans="1:4" x14ac:dyDescent="0.25">
      <c r="A23" t="s">
        <v>4</v>
      </c>
      <c r="B23" t="s">
        <v>1882</v>
      </c>
      <c r="C23" t="s">
        <v>578</v>
      </c>
      <c r="D23">
        <v>-5</v>
      </c>
    </row>
    <row r="24" spans="1:4" x14ac:dyDescent="0.25">
      <c r="A24" t="s">
        <v>4</v>
      </c>
      <c r="B24" t="s">
        <v>1619</v>
      </c>
      <c r="C24" t="s">
        <v>37</v>
      </c>
      <c r="D24">
        <v>-4</v>
      </c>
    </row>
    <row r="25" spans="1:4" x14ac:dyDescent="0.25">
      <c r="A25" t="s">
        <v>4</v>
      </c>
      <c r="B25" t="s">
        <v>1132</v>
      </c>
      <c r="C25" t="s">
        <v>39</v>
      </c>
      <c r="D25">
        <v>-1</v>
      </c>
    </row>
    <row r="26" spans="1:4" x14ac:dyDescent="0.25">
      <c r="A26" t="s">
        <v>4</v>
      </c>
      <c r="B26" t="s">
        <v>1050</v>
      </c>
      <c r="C26" t="s">
        <v>1507</v>
      </c>
      <c r="D26">
        <v>-3</v>
      </c>
    </row>
    <row r="27" spans="1:4" x14ac:dyDescent="0.25">
      <c r="A27" t="s">
        <v>4</v>
      </c>
      <c r="B27" t="s">
        <v>1568</v>
      </c>
      <c r="C27" t="s">
        <v>2264</v>
      </c>
      <c r="D27">
        <v>-2</v>
      </c>
    </row>
    <row r="28" spans="1:4" x14ac:dyDescent="0.25">
      <c r="A28" t="s">
        <v>40</v>
      </c>
      <c r="B28" t="s">
        <v>170</v>
      </c>
      <c r="C28" t="s">
        <v>1508</v>
      </c>
      <c r="D28">
        <v>-1</v>
      </c>
    </row>
    <row r="29" spans="1:4" x14ac:dyDescent="0.25">
      <c r="A29" t="s">
        <v>40</v>
      </c>
      <c r="B29" t="s">
        <v>1116</v>
      </c>
      <c r="C29" t="s">
        <v>711</v>
      </c>
      <c r="D29">
        <v>1</v>
      </c>
    </row>
    <row r="30" spans="1:4" x14ac:dyDescent="0.25">
      <c r="A30" t="s">
        <v>40</v>
      </c>
      <c r="B30" t="s">
        <v>490</v>
      </c>
      <c r="C30" t="s">
        <v>2265</v>
      </c>
      <c r="D30">
        <v>-1</v>
      </c>
    </row>
    <row r="31" spans="1:4" x14ac:dyDescent="0.25">
      <c r="A31" t="s">
        <v>40</v>
      </c>
      <c r="B31" t="s">
        <v>1321</v>
      </c>
      <c r="C31" t="s">
        <v>1751</v>
      </c>
      <c r="D31">
        <v>2</v>
      </c>
    </row>
    <row r="32" spans="1:4" x14ac:dyDescent="0.25">
      <c r="A32" t="s">
        <v>40</v>
      </c>
      <c r="B32" t="s">
        <v>1280</v>
      </c>
      <c r="C32" t="s">
        <v>1752</v>
      </c>
      <c r="D32">
        <v>4</v>
      </c>
    </row>
    <row r="33" spans="1:4" x14ac:dyDescent="0.25">
      <c r="A33" t="s">
        <v>40</v>
      </c>
      <c r="B33" t="s">
        <v>1280</v>
      </c>
      <c r="C33" t="s">
        <v>928</v>
      </c>
      <c r="D33">
        <v>5</v>
      </c>
    </row>
    <row r="34" spans="1:4" x14ac:dyDescent="0.25">
      <c r="A34" t="s">
        <v>40</v>
      </c>
      <c r="B34" t="s">
        <v>566</v>
      </c>
      <c r="C34" t="s">
        <v>929</v>
      </c>
      <c r="D34">
        <v>3</v>
      </c>
    </row>
    <row r="35" spans="1:4" x14ac:dyDescent="0.25">
      <c r="A35" t="s">
        <v>40</v>
      </c>
      <c r="B35" t="s">
        <v>832</v>
      </c>
      <c r="C35" t="s">
        <v>718</v>
      </c>
      <c r="D35">
        <v>1</v>
      </c>
    </row>
    <row r="36" spans="1:4" x14ac:dyDescent="0.25">
      <c r="A36" t="s">
        <v>40</v>
      </c>
      <c r="B36" t="s">
        <v>335</v>
      </c>
      <c r="C36" t="s">
        <v>1512</v>
      </c>
      <c r="D36">
        <v>-2</v>
      </c>
    </row>
    <row r="37" spans="1:4" x14ac:dyDescent="0.25">
      <c r="A37" t="s">
        <v>40</v>
      </c>
      <c r="B37" t="s">
        <v>2266</v>
      </c>
      <c r="C37" t="s">
        <v>1825</v>
      </c>
      <c r="D37">
        <v>0</v>
      </c>
    </row>
    <row r="38" spans="1:4" x14ac:dyDescent="0.25">
      <c r="A38" t="s">
        <v>40</v>
      </c>
      <c r="B38" t="s">
        <v>1475</v>
      </c>
      <c r="C38" t="s">
        <v>936</v>
      </c>
      <c r="D38">
        <v>2</v>
      </c>
    </row>
    <row r="39" spans="1:4" x14ac:dyDescent="0.25">
      <c r="A39" t="s">
        <v>40</v>
      </c>
      <c r="B39" t="s">
        <v>1228</v>
      </c>
      <c r="C39" t="s">
        <v>2127</v>
      </c>
      <c r="D39">
        <v>-1</v>
      </c>
    </row>
    <row r="40" spans="1:4" x14ac:dyDescent="0.25">
      <c r="A40" t="s">
        <v>40</v>
      </c>
      <c r="B40" t="s">
        <v>188</v>
      </c>
      <c r="C40" t="s">
        <v>1133</v>
      </c>
      <c r="D40">
        <v>1</v>
      </c>
    </row>
    <row r="41" spans="1:4" x14ac:dyDescent="0.25">
      <c r="A41" t="s">
        <v>40</v>
      </c>
      <c r="B41" t="s">
        <v>600</v>
      </c>
      <c r="C41" t="s">
        <v>2267</v>
      </c>
      <c r="D41">
        <v>3</v>
      </c>
    </row>
    <row r="42" spans="1:4" x14ac:dyDescent="0.25">
      <c r="A42" t="s">
        <v>40</v>
      </c>
      <c r="B42" t="s">
        <v>1503</v>
      </c>
      <c r="C42" t="s">
        <v>2268</v>
      </c>
      <c r="D42">
        <v>5</v>
      </c>
    </row>
    <row r="43" spans="1:4" x14ac:dyDescent="0.25">
      <c r="A43" t="s">
        <v>40</v>
      </c>
      <c r="B43" t="s">
        <v>108</v>
      </c>
      <c r="C43" t="s">
        <v>1667</v>
      </c>
      <c r="D43">
        <v>3</v>
      </c>
    </row>
    <row r="44" spans="1:4" x14ac:dyDescent="0.25">
      <c r="A44" t="s">
        <v>40</v>
      </c>
      <c r="B44" t="s">
        <v>380</v>
      </c>
      <c r="C44" t="s">
        <v>1137</v>
      </c>
      <c r="D44">
        <v>5</v>
      </c>
    </row>
    <row r="45" spans="1:4" x14ac:dyDescent="0.25">
      <c r="A45" t="s">
        <v>40</v>
      </c>
      <c r="B45" t="s">
        <v>845</v>
      </c>
      <c r="C45" t="s">
        <v>356</v>
      </c>
      <c r="D45">
        <v>3</v>
      </c>
    </row>
    <row r="46" spans="1:4" x14ac:dyDescent="0.25">
      <c r="A46" t="s">
        <v>40</v>
      </c>
      <c r="B46" t="s">
        <v>1843</v>
      </c>
      <c r="C46" t="s">
        <v>2269</v>
      </c>
      <c r="D46">
        <v>4</v>
      </c>
    </row>
    <row r="47" spans="1:4" x14ac:dyDescent="0.25">
      <c r="A47" t="s">
        <v>40</v>
      </c>
      <c r="B47" t="s">
        <v>1843</v>
      </c>
      <c r="C47" t="s">
        <v>2270</v>
      </c>
      <c r="D47">
        <v>5</v>
      </c>
    </row>
    <row r="48" spans="1:4" x14ac:dyDescent="0.25">
      <c r="A48" t="s">
        <v>40</v>
      </c>
      <c r="B48" t="s">
        <v>29</v>
      </c>
      <c r="C48" t="s">
        <v>360</v>
      </c>
      <c r="D48">
        <v>3</v>
      </c>
    </row>
    <row r="49" spans="1:4" x14ac:dyDescent="0.25">
      <c r="A49" t="s">
        <v>40</v>
      </c>
      <c r="B49" t="s">
        <v>31</v>
      </c>
      <c r="C49" t="s">
        <v>1144</v>
      </c>
      <c r="D49">
        <v>6</v>
      </c>
    </row>
    <row r="50" spans="1:4" x14ac:dyDescent="0.25">
      <c r="A50" t="s">
        <v>40</v>
      </c>
      <c r="B50" t="s">
        <v>900</v>
      </c>
      <c r="C50" t="s">
        <v>1674</v>
      </c>
      <c r="D50">
        <v>8</v>
      </c>
    </row>
    <row r="51" spans="1:4" x14ac:dyDescent="0.25">
      <c r="A51" t="s">
        <v>40</v>
      </c>
      <c r="B51" t="s">
        <v>422</v>
      </c>
      <c r="C51" t="s">
        <v>1676</v>
      </c>
      <c r="D51">
        <v>10</v>
      </c>
    </row>
    <row r="52" spans="1:4" x14ac:dyDescent="0.25">
      <c r="A52" t="s">
        <v>40</v>
      </c>
      <c r="B52" t="s">
        <v>422</v>
      </c>
      <c r="C52" t="s">
        <v>2271</v>
      </c>
      <c r="D52">
        <v>11</v>
      </c>
    </row>
    <row r="53" spans="1:4" x14ac:dyDescent="0.25">
      <c r="A53" t="s">
        <v>80</v>
      </c>
      <c r="B53" t="s">
        <v>1648</v>
      </c>
      <c r="C53" t="s">
        <v>1677</v>
      </c>
      <c r="D53">
        <v>13</v>
      </c>
    </row>
    <row r="54" spans="1:4" x14ac:dyDescent="0.25">
      <c r="A54" t="s">
        <v>80</v>
      </c>
      <c r="B54" t="s">
        <v>428</v>
      </c>
      <c r="C54" t="s">
        <v>1678</v>
      </c>
      <c r="D54">
        <v>10</v>
      </c>
    </row>
    <row r="55" spans="1:4" x14ac:dyDescent="0.25">
      <c r="A55" t="s">
        <v>80</v>
      </c>
      <c r="B55" t="s">
        <v>1613</v>
      </c>
      <c r="C55" t="s">
        <v>2272</v>
      </c>
      <c r="D55">
        <v>7</v>
      </c>
    </row>
    <row r="56" spans="1:4" x14ac:dyDescent="0.25">
      <c r="A56" t="s">
        <v>80</v>
      </c>
      <c r="B56" t="s">
        <v>641</v>
      </c>
      <c r="C56" t="s">
        <v>2172</v>
      </c>
      <c r="D56">
        <v>5</v>
      </c>
    </row>
    <row r="57" spans="1:4" x14ac:dyDescent="0.25">
      <c r="A57" t="s">
        <v>80</v>
      </c>
      <c r="B57" t="s">
        <v>1119</v>
      </c>
      <c r="C57" t="s">
        <v>491</v>
      </c>
      <c r="D57">
        <v>7</v>
      </c>
    </row>
    <row r="58" spans="1:4" x14ac:dyDescent="0.25">
      <c r="A58" t="s">
        <v>80</v>
      </c>
      <c r="B58" t="s">
        <v>1119</v>
      </c>
      <c r="C58" t="s">
        <v>1155</v>
      </c>
      <c r="D58">
        <v>8</v>
      </c>
    </row>
    <row r="59" spans="1:4" x14ac:dyDescent="0.25">
      <c r="A59" t="s">
        <v>80</v>
      </c>
      <c r="B59" t="s">
        <v>1958</v>
      </c>
      <c r="C59" t="s">
        <v>2273</v>
      </c>
      <c r="D59">
        <v>5</v>
      </c>
    </row>
    <row r="60" spans="1:4" x14ac:dyDescent="0.25">
      <c r="A60" t="s">
        <v>80</v>
      </c>
      <c r="B60" t="s">
        <v>277</v>
      </c>
      <c r="C60" t="s">
        <v>2274</v>
      </c>
      <c r="D60">
        <v>8</v>
      </c>
    </row>
    <row r="61" spans="1:4" x14ac:dyDescent="0.25">
      <c r="A61" t="s">
        <v>80</v>
      </c>
      <c r="B61" t="s">
        <v>363</v>
      </c>
      <c r="C61" t="s">
        <v>2275</v>
      </c>
      <c r="D61">
        <v>7</v>
      </c>
    </row>
    <row r="62" spans="1:4" x14ac:dyDescent="0.25">
      <c r="A62" t="s">
        <v>80</v>
      </c>
      <c r="B62" t="s">
        <v>363</v>
      </c>
      <c r="C62" t="s">
        <v>2175</v>
      </c>
      <c r="D62">
        <v>6</v>
      </c>
    </row>
    <row r="63" spans="1:4" x14ac:dyDescent="0.25">
      <c r="A63" t="s">
        <v>80</v>
      </c>
      <c r="B63" t="s">
        <v>433</v>
      </c>
      <c r="C63" t="s">
        <v>2276</v>
      </c>
      <c r="D63">
        <v>7</v>
      </c>
    </row>
    <row r="64" spans="1:4" x14ac:dyDescent="0.25">
      <c r="A64" t="s">
        <v>80</v>
      </c>
      <c r="B64" t="s">
        <v>184</v>
      </c>
      <c r="C64" t="s">
        <v>2277</v>
      </c>
      <c r="D64">
        <v>9</v>
      </c>
    </row>
    <row r="65" spans="1:4" x14ac:dyDescent="0.25">
      <c r="A65" t="s">
        <v>80</v>
      </c>
      <c r="B65" t="s">
        <v>1533</v>
      </c>
      <c r="C65" t="s">
        <v>1164</v>
      </c>
      <c r="D65">
        <v>6</v>
      </c>
    </row>
    <row r="66" spans="1:4" x14ac:dyDescent="0.25">
      <c r="A66" t="s">
        <v>80</v>
      </c>
      <c r="B66" t="s">
        <v>1170</v>
      </c>
      <c r="C66" t="s">
        <v>1165</v>
      </c>
      <c r="D66">
        <v>8</v>
      </c>
    </row>
    <row r="67" spans="1:4" x14ac:dyDescent="0.25">
      <c r="A67" t="s">
        <v>80</v>
      </c>
      <c r="B67" t="s">
        <v>661</v>
      </c>
      <c r="C67" t="s">
        <v>1166</v>
      </c>
      <c r="D67">
        <v>7</v>
      </c>
    </row>
    <row r="68" spans="1:4" x14ac:dyDescent="0.25">
      <c r="A68" t="s">
        <v>80</v>
      </c>
      <c r="B68" t="s">
        <v>440</v>
      </c>
      <c r="C68" t="s">
        <v>1167</v>
      </c>
      <c r="D68">
        <v>5</v>
      </c>
    </row>
    <row r="69" spans="1:4" x14ac:dyDescent="0.25">
      <c r="A69" t="s">
        <v>80</v>
      </c>
      <c r="B69" t="s">
        <v>1217</v>
      </c>
      <c r="C69" t="s">
        <v>2278</v>
      </c>
      <c r="D69">
        <v>6</v>
      </c>
    </row>
    <row r="70" spans="1:4" x14ac:dyDescent="0.25">
      <c r="A70" t="s">
        <v>80</v>
      </c>
      <c r="B70" t="s">
        <v>1217</v>
      </c>
      <c r="C70" t="s">
        <v>1168</v>
      </c>
      <c r="D70">
        <v>7</v>
      </c>
    </row>
    <row r="71" spans="1:4" x14ac:dyDescent="0.25">
      <c r="A71" t="s">
        <v>80</v>
      </c>
      <c r="B71" t="s">
        <v>631</v>
      </c>
      <c r="C71" t="s">
        <v>1610</v>
      </c>
      <c r="D71">
        <v>5</v>
      </c>
    </row>
    <row r="72" spans="1:4" x14ac:dyDescent="0.25">
      <c r="A72" t="s">
        <v>80</v>
      </c>
      <c r="B72" t="s">
        <v>475</v>
      </c>
      <c r="C72" t="s">
        <v>1611</v>
      </c>
      <c r="D72">
        <v>7</v>
      </c>
    </row>
    <row r="73" spans="1:4" x14ac:dyDescent="0.25">
      <c r="A73" t="s">
        <v>80</v>
      </c>
      <c r="B73" t="s">
        <v>709</v>
      </c>
      <c r="C73" t="s">
        <v>2183</v>
      </c>
      <c r="D73">
        <v>6</v>
      </c>
    </row>
    <row r="74" spans="1:4" x14ac:dyDescent="0.25">
      <c r="A74" t="s">
        <v>80</v>
      </c>
      <c r="B74" t="s">
        <v>709</v>
      </c>
      <c r="C74" t="s">
        <v>1842</v>
      </c>
      <c r="D74">
        <v>5</v>
      </c>
    </row>
    <row r="75" spans="1:4" x14ac:dyDescent="0.25">
      <c r="A75" t="s">
        <v>80</v>
      </c>
      <c r="B75" t="s">
        <v>550</v>
      </c>
      <c r="C75" t="s">
        <v>644</v>
      </c>
      <c r="D75">
        <v>4</v>
      </c>
    </row>
    <row r="76" spans="1:4" x14ac:dyDescent="0.25">
      <c r="A76" t="s">
        <v>80</v>
      </c>
      <c r="B76" t="s">
        <v>673</v>
      </c>
      <c r="C76" t="s">
        <v>2184</v>
      </c>
      <c r="D76">
        <v>6</v>
      </c>
    </row>
    <row r="77" spans="1:4" x14ac:dyDescent="0.25">
      <c r="A77" t="s">
        <v>80</v>
      </c>
      <c r="B77" t="s">
        <v>1627</v>
      </c>
      <c r="C77" t="s">
        <v>2279</v>
      </c>
      <c r="D77">
        <v>9</v>
      </c>
    </row>
    <row r="78" spans="1:4" x14ac:dyDescent="0.25">
      <c r="A78" t="s">
        <v>123</v>
      </c>
      <c r="B78" t="s">
        <v>855</v>
      </c>
      <c r="C78" t="s">
        <v>2187</v>
      </c>
      <c r="D78">
        <v>11</v>
      </c>
    </row>
    <row r="79" spans="1:4" x14ac:dyDescent="0.25">
      <c r="A79" t="s">
        <v>123</v>
      </c>
      <c r="B79" t="s">
        <v>5</v>
      </c>
      <c r="C79" t="s">
        <v>2280</v>
      </c>
      <c r="D79">
        <v>9</v>
      </c>
    </row>
    <row r="80" spans="1:4" x14ac:dyDescent="0.25">
      <c r="A80" t="s">
        <v>123</v>
      </c>
      <c r="B80" t="s">
        <v>1524</v>
      </c>
      <c r="C80" t="s">
        <v>2281</v>
      </c>
      <c r="D80">
        <v>11</v>
      </c>
    </row>
    <row r="81" spans="1:4" x14ac:dyDescent="0.25">
      <c r="A81" t="s">
        <v>123</v>
      </c>
      <c r="B81" t="s">
        <v>244</v>
      </c>
      <c r="C81" t="s">
        <v>2282</v>
      </c>
      <c r="D81">
        <v>13</v>
      </c>
    </row>
    <row r="82" spans="1:4" x14ac:dyDescent="0.25">
      <c r="A82" t="s">
        <v>123</v>
      </c>
      <c r="B82" t="s">
        <v>800</v>
      </c>
      <c r="C82" t="s">
        <v>416</v>
      </c>
      <c r="D82">
        <v>10</v>
      </c>
    </row>
    <row r="83" spans="1:4" x14ac:dyDescent="0.25">
      <c r="A83" t="s">
        <v>123</v>
      </c>
      <c r="B83" t="s">
        <v>274</v>
      </c>
      <c r="C83" t="s">
        <v>2283</v>
      </c>
      <c r="D83">
        <v>12</v>
      </c>
    </row>
    <row r="84" spans="1:4" x14ac:dyDescent="0.25">
      <c r="A84" t="s">
        <v>123</v>
      </c>
      <c r="B84" t="s">
        <v>1755</v>
      </c>
      <c r="C84" t="s">
        <v>2284</v>
      </c>
      <c r="D84">
        <v>10</v>
      </c>
    </row>
    <row r="85" spans="1:4" x14ac:dyDescent="0.25">
      <c r="A85" t="s">
        <v>123</v>
      </c>
      <c r="B85" t="s">
        <v>1755</v>
      </c>
      <c r="C85" t="s">
        <v>2285</v>
      </c>
      <c r="D85">
        <v>9</v>
      </c>
    </row>
    <row r="86" spans="1:4" x14ac:dyDescent="0.25">
      <c r="A86" t="s">
        <v>123</v>
      </c>
      <c r="B86" t="s">
        <v>1529</v>
      </c>
      <c r="C86" t="s">
        <v>2195</v>
      </c>
      <c r="D86">
        <v>11</v>
      </c>
    </row>
    <row r="87" spans="1:4" x14ac:dyDescent="0.25">
      <c r="A87" t="s">
        <v>123</v>
      </c>
      <c r="B87" t="s">
        <v>868</v>
      </c>
      <c r="C87" t="s">
        <v>993</v>
      </c>
      <c r="D87">
        <v>13</v>
      </c>
    </row>
    <row r="88" spans="1:4" x14ac:dyDescent="0.25">
      <c r="A88" t="s">
        <v>123</v>
      </c>
      <c r="B88" t="s">
        <v>1105</v>
      </c>
      <c r="C88" t="s">
        <v>2286</v>
      </c>
      <c r="D88">
        <v>12</v>
      </c>
    </row>
    <row r="89" spans="1:4" x14ac:dyDescent="0.25">
      <c r="A89" t="s">
        <v>123</v>
      </c>
      <c r="B89" t="s">
        <v>598</v>
      </c>
      <c r="C89" t="s">
        <v>2287</v>
      </c>
      <c r="D89">
        <v>13</v>
      </c>
    </row>
    <row r="90" spans="1:4" x14ac:dyDescent="0.25">
      <c r="A90" t="s">
        <v>123</v>
      </c>
      <c r="B90" t="s">
        <v>598</v>
      </c>
      <c r="C90" t="s">
        <v>2288</v>
      </c>
      <c r="D90">
        <v>14</v>
      </c>
    </row>
    <row r="91" spans="1:4" x14ac:dyDescent="0.25">
      <c r="A91" t="s">
        <v>123</v>
      </c>
      <c r="B91" t="s">
        <v>600</v>
      </c>
      <c r="C91" t="s">
        <v>2289</v>
      </c>
      <c r="D91">
        <v>16</v>
      </c>
    </row>
    <row r="92" spans="1:4" x14ac:dyDescent="0.25">
      <c r="A92" t="s">
        <v>123</v>
      </c>
      <c r="B92" t="s">
        <v>1108</v>
      </c>
      <c r="C92" t="s">
        <v>998</v>
      </c>
      <c r="D92">
        <v>14</v>
      </c>
    </row>
    <row r="93" spans="1:4" x14ac:dyDescent="0.25">
      <c r="A93" t="s">
        <v>123</v>
      </c>
      <c r="B93" t="s">
        <v>376</v>
      </c>
      <c r="C93" t="s">
        <v>1000</v>
      </c>
      <c r="D93">
        <v>17</v>
      </c>
    </row>
    <row r="94" spans="1:4" x14ac:dyDescent="0.25">
      <c r="A94" t="s">
        <v>123</v>
      </c>
      <c r="B94" t="s">
        <v>876</v>
      </c>
      <c r="C94" t="s">
        <v>1001</v>
      </c>
      <c r="D94">
        <v>19</v>
      </c>
    </row>
    <row r="95" spans="1:4" x14ac:dyDescent="0.25">
      <c r="A95" t="s">
        <v>123</v>
      </c>
      <c r="B95" t="s">
        <v>1202</v>
      </c>
      <c r="C95" t="s">
        <v>2290</v>
      </c>
      <c r="D95">
        <v>17</v>
      </c>
    </row>
    <row r="96" spans="1:4" x14ac:dyDescent="0.25">
      <c r="A96" t="s">
        <v>123</v>
      </c>
      <c r="B96" t="s">
        <v>1112</v>
      </c>
      <c r="C96" t="s">
        <v>2291</v>
      </c>
      <c r="D96">
        <v>16</v>
      </c>
    </row>
    <row r="97" spans="1:4" x14ac:dyDescent="0.25">
      <c r="A97" t="s">
        <v>123</v>
      </c>
      <c r="B97" t="s">
        <v>1112</v>
      </c>
      <c r="C97" t="s">
        <v>2292</v>
      </c>
      <c r="D97">
        <v>15</v>
      </c>
    </row>
    <row r="98" spans="1:4" x14ac:dyDescent="0.25">
      <c r="A98" t="s">
        <v>123</v>
      </c>
      <c r="B98" t="s">
        <v>1050</v>
      </c>
      <c r="C98" t="s">
        <v>2293</v>
      </c>
      <c r="D98">
        <v>17</v>
      </c>
    </row>
    <row r="99" spans="1:4" x14ac:dyDescent="0.25">
      <c r="A99" t="s">
        <v>123</v>
      </c>
      <c r="B99" t="s">
        <v>1050</v>
      </c>
      <c r="C99" t="s">
        <v>2294</v>
      </c>
      <c r="D99">
        <v>18</v>
      </c>
    </row>
    <row r="100" spans="1:4" x14ac:dyDescent="0.25">
      <c r="A100" t="s">
        <v>123</v>
      </c>
      <c r="B100" t="s">
        <v>233</v>
      </c>
      <c r="C100" t="s">
        <v>2295</v>
      </c>
      <c r="D100">
        <v>16</v>
      </c>
    </row>
    <row r="101" spans="1:4" x14ac:dyDescent="0.25">
      <c r="A101" t="s">
        <v>123</v>
      </c>
      <c r="B101" t="s">
        <v>902</v>
      </c>
      <c r="C101" t="s">
        <v>2296</v>
      </c>
      <c r="D101">
        <v>18</v>
      </c>
    </row>
    <row r="103" spans="1:4" x14ac:dyDescent="0.25">
      <c r="A103" s="2" t="s">
        <v>157</v>
      </c>
    </row>
    <row r="104" spans="1:4" x14ac:dyDescent="0.25">
      <c r="A104" t="s">
        <v>158</v>
      </c>
      <c r="D104">
        <f>AVERAGE(D2:D101)</f>
        <v>5.42</v>
      </c>
    </row>
    <row r="105" spans="1:4" x14ac:dyDescent="0.25">
      <c r="A105" t="s">
        <v>159</v>
      </c>
      <c r="D105">
        <f>MAX(D2:D101)</f>
        <v>19</v>
      </c>
    </row>
    <row r="106" spans="1:4" x14ac:dyDescent="0.25">
      <c r="A106" t="s">
        <v>160</v>
      </c>
      <c r="D106">
        <f>MIN(D2:D101)</f>
        <v>-5</v>
      </c>
    </row>
    <row r="107" spans="1:4" x14ac:dyDescent="0.25">
      <c r="A107" t="s">
        <v>161</v>
      </c>
      <c r="D107">
        <f>COUNTIF(D2:D101,"&gt;0")</f>
        <v>72</v>
      </c>
    </row>
    <row r="108" spans="1:4" x14ac:dyDescent="0.25">
      <c r="A108" t="s">
        <v>162</v>
      </c>
      <c r="D108">
        <f>COUNTIF(D2:D101,"=0")</f>
        <v>6</v>
      </c>
    </row>
    <row r="109" spans="1:4" x14ac:dyDescent="0.25">
      <c r="A109" t="s">
        <v>1344</v>
      </c>
      <c r="D109">
        <f>COUNTIF(D2:D101,"&lt;0")</f>
        <v>22</v>
      </c>
    </row>
    <row r="111" spans="1:4" x14ac:dyDescent="0.25">
      <c r="A111" s="2" t="s">
        <v>164</v>
      </c>
    </row>
    <row r="112" spans="1:4" x14ac:dyDescent="0.25">
      <c r="A112" t="s">
        <v>165</v>
      </c>
      <c r="D112">
        <f>AVERAGE(D2,D3,D4,D5,D6,D7,D8,D9,D10,D11,D12,D13,D14,D15,D16,D17,D18,D19,D20,D21,D22,D23,D24,D25,D26,D27)</f>
        <v>-1.6153846153846154</v>
      </c>
    </row>
    <row r="113" spans="1:4" x14ac:dyDescent="0.25">
      <c r="A113" t="s">
        <v>166</v>
      </c>
      <c r="D113">
        <f>AVERAGE(D28,D29,D30,D31,D32,D33,D34,D35,D36,D37,D38,D39,D40,D41,D42,D43,D44,D45,D46,D47,D48,D49,D50,D51,D52)</f>
        <v>3.2</v>
      </c>
    </row>
    <row r="114" spans="1:4" x14ac:dyDescent="0.25">
      <c r="A114" t="s">
        <v>167</v>
      </c>
      <c r="D114">
        <f>AVERAGE(D53,D54,D55,D56,D57,D58,D59,D60,D61,D62,D63,D64,D65,D66,D67,D68,D69,D70,D71,D72,D73,D74,D75,D76,D77)</f>
        <v>6.92</v>
      </c>
    </row>
    <row r="115" spans="1:4" x14ac:dyDescent="0.25">
      <c r="A115" t="s">
        <v>168</v>
      </c>
      <c r="D115">
        <f>AVERAGE(D78,D79,D80,D81,D82,D83,D84,D85,D86,D87,D88,D89,D90,D91,D92,D93,D94,D95,D96,D97,D98,D99,D100,D101)</f>
        <v>13.791666666666666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689</v>
      </c>
      <c r="C2" t="s">
        <v>908</v>
      </c>
      <c r="D2">
        <v>-2</v>
      </c>
    </row>
    <row r="3" spans="1:4" x14ac:dyDescent="0.25">
      <c r="A3" t="s">
        <v>4</v>
      </c>
      <c r="B3" t="s">
        <v>47</v>
      </c>
      <c r="C3" t="s">
        <v>1692</v>
      </c>
      <c r="D3">
        <v>-4</v>
      </c>
    </row>
    <row r="4" spans="1:4" x14ac:dyDescent="0.25">
      <c r="A4" t="s">
        <v>4</v>
      </c>
      <c r="B4" t="s">
        <v>935</v>
      </c>
      <c r="C4" t="s">
        <v>10</v>
      </c>
      <c r="D4">
        <v>-2</v>
      </c>
    </row>
    <row r="5" spans="1:4" x14ac:dyDescent="0.25">
      <c r="A5" t="s">
        <v>4</v>
      </c>
      <c r="B5" t="s">
        <v>862</v>
      </c>
      <c r="C5" t="s">
        <v>2297</v>
      </c>
      <c r="D5">
        <v>-4</v>
      </c>
    </row>
    <row r="6" spans="1:4" x14ac:dyDescent="0.25">
      <c r="A6" t="s">
        <v>4</v>
      </c>
      <c r="B6" t="s">
        <v>800</v>
      </c>
      <c r="C6" t="s">
        <v>1107</v>
      </c>
      <c r="D6">
        <v>-1</v>
      </c>
    </row>
    <row r="7" spans="1:4" x14ac:dyDescent="0.25">
      <c r="A7" t="s">
        <v>4</v>
      </c>
      <c r="B7" t="s">
        <v>865</v>
      </c>
      <c r="C7" t="s">
        <v>1109</v>
      </c>
      <c r="D7">
        <v>-3</v>
      </c>
    </row>
    <row r="8" spans="1:4" x14ac:dyDescent="0.25">
      <c r="A8" t="s">
        <v>4</v>
      </c>
      <c r="B8" t="s">
        <v>832</v>
      </c>
      <c r="C8" t="s">
        <v>1635</v>
      </c>
      <c r="D8">
        <v>-5</v>
      </c>
    </row>
    <row r="9" spans="1:4" x14ac:dyDescent="0.25">
      <c r="A9" t="s">
        <v>4</v>
      </c>
      <c r="B9" t="s">
        <v>1065</v>
      </c>
      <c r="C9" t="s">
        <v>915</v>
      </c>
      <c r="D9">
        <v>-2</v>
      </c>
    </row>
    <row r="10" spans="1:4" x14ac:dyDescent="0.25">
      <c r="A10" t="s">
        <v>4</v>
      </c>
      <c r="B10" t="s">
        <v>1069</v>
      </c>
      <c r="C10" t="s">
        <v>1699</v>
      </c>
      <c r="D10">
        <v>-4</v>
      </c>
    </row>
    <row r="11" spans="1:4" x14ac:dyDescent="0.25">
      <c r="A11" t="s">
        <v>4</v>
      </c>
      <c r="B11" t="s">
        <v>140</v>
      </c>
      <c r="C11" t="s">
        <v>1500</v>
      </c>
      <c r="D11">
        <v>-2</v>
      </c>
    </row>
    <row r="12" spans="1:4" x14ac:dyDescent="0.25">
      <c r="A12" t="s">
        <v>4</v>
      </c>
      <c r="B12" t="s">
        <v>140</v>
      </c>
      <c r="C12" t="s">
        <v>575</v>
      </c>
      <c r="D12">
        <v>-1</v>
      </c>
    </row>
    <row r="13" spans="1:4" x14ac:dyDescent="0.25">
      <c r="A13" t="s">
        <v>4</v>
      </c>
      <c r="B13" t="s">
        <v>887</v>
      </c>
      <c r="C13" t="s">
        <v>919</v>
      </c>
      <c r="D13">
        <v>1</v>
      </c>
    </row>
    <row r="14" spans="1:4" x14ac:dyDescent="0.25">
      <c r="A14" t="s">
        <v>4</v>
      </c>
      <c r="B14" t="s">
        <v>887</v>
      </c>
      <c r="C14" t="s">
        <v>1872</v>
      </c>
      <c r="D14">
        <v>2</v>
      </c>
    </row>
    <row r="15" spans="1:4" x14ac:dyDescent="0.25">
      <c r="A15" t="s">
        <v>4</v>
      </c>
      <c r="B15" t="s">
        <v>142</v>
      </c>
      <c r="C15" t="s">
        <v>34</v>
      </c>
      <c r="D15">
        <v>0</v>
      </c>
    </row>
    <row r="16" spans="1:4" x14ac:dyDescent="0.25">
      <c r="A16" t="s">
        <v>4</v>
      </c>
      <c r="B16" t="s">
        <v>607</v>
      </c>
      <c r="C16" t="s">
        <v>2298</v>
      </c>
      <c r="D16">
        <v>-2</v>
      </c>
    </row>
    <row r="17" spans="1:4" x14ac:dyDescent="0.25">
      <c r="A17" t="s">
        <v>4</v>
      </c>
      <c r="B17" t="s">
        <v>146</v>
      </c>
      <c r="C17" t="s">
        <v>705</v>
      </c>
      <c r="D17">
        <v>-1</v>
      </c>
    </row>
    <row r="18" spans="1:4" x14ac:dyDescent="0.25">
      <c r="A18" t="s">
        <v>4</v>
      </c>
      <c r="B18" t="s">
        <v>146</v>
      </c>
      <c r="C18" t="s">
        <v>1747</v>
      </c>
      <c r="D18">
        <v>0</v>
      </c>
    </row>
    <row r="19" spans="1:4" x14ac:dyDescent="0.25">
      <c r="A19" t="s">
        <v>4</v>
      </c>
      <c r="B19" t="s">
        <v>1312</v>
      </c>
      <c r="C19" t="s">
        <v>2156</v>
      </c>
      <c r="D19">
        <v>-2</v>
      </c>
    </row>
    <row r="20" spans="1:4" x14ac:dyDescent="0.25">
      <c r="A20" t="s">
        <v>4</v>
      </c>
      <c r="B20" t="s">
        <v>581</v>
      </c>
      <c r="C20" t="s">
        <v>2157</v>
      </c>
      <c r="D20">
        <v>-3</v>
      </c>
    </row>
    <row r="21" spans="1:4" x14ac:dyDescent="0.25">
      <c r="A21" t="s">
        <v>4</v>
      </c>
      <c r="B21" t="s">
        <v>581</v>
      </c>
      <c r="C21" t="s">
        <v>2299</v>
      </c>
      <c r="D21">
        <v>-4</v>
      </c>
    </row>
    <row r="22" spans="1:4" x14ac:dyDescent="0.25">
      <c r="A22" t="s">
        <v>4</v>
      </c>
      <c r="B22" t="s">
        <v>392</v>
      </c>
      <c r="C22" t="s">
        <v>2300</v>
      </c>
      <c r="D22">
        <v>-7</v>
      </c>
    </row>
    <row r="23" spans="1:4" x14ac:dyDescent="0.25">
      <c r="A23" t="s">
        <v>4</v>
      </c>
      <c r="B23" t="s">
        <v>531</v>
      </c>
      <c r="C23" t="s">
        <v>2301</v>
      </c>
      <c r="D23">
        <v>-5</v>
      </c>
    </row>
    <row r="24" spans="1:4" x14ac:dyDescent="0.25">
      <c r="A24" t="s">
        <v>4</v>
      </c>
      <c r="B24" t="s">
        <v>675</v>
      </c>
      <c r="C24" t="s">
        <v>1509</v>
      </c>
      <c r="D24">
        <v>-4</v>
      </c>
    </row>
    <row r="25" spans="1:4" x14ac:dyDescent="0.25">
      <c r="A25" t="s">
        <v>4</v>
      </c>
      <c r="B25" t="s">
        <v>675</v>
      </c>
      <c r="C25" t="s">
        <v>1878</v>
      </c>
      <c r="D25">
        <v>-3</v>
      </c>
    </row>
    <row r="26" spans="1:4" x14ac:dyDescent="0.25">
      <c r="A26" t="s">
        <v>4</v>
      </c>
      <c r="B26" t="s">
        <v>298</v>
      </c>
      <c r="C26" t="s">
        <v>2302</v>
      </c>
      <c r="D26">
        <v>-6</v>
      </c>
    </row>
    <row r="27" spans="1:4" x14ac:dyDescent="0.25">
      <c r="A27" t="s">
        <v>40</v>
      </c>
      <c r="B27" t="s">
        <v>1208</v>
      </c>
      <c r="C27" t="s">
        <v>53</v>
      </c>
      <c r="D27">
        <v>-3</v>
      </c>
    </row>
    <row r="28" spans="1:4" x14ac:dyDescent="0.25">
      <c r="A28" t="s">
        <v>40</v>
      </c>
      <c r="B28" t="s">
        <v>244</v>
      </c>
      <c r="C28" t="s">
        <v>592</v>
      </c>
      <c r="D28">
        <v>-2</v>
      </c>
    </row>
    <row r="29" spans="1:4" x14ac:dyDescent="0.25">
      <c r="A29" t="s">
        <v>40</v>
      </c>
      <c r="B29" t="s">
        <v>244</v>
      </c>
      <c r="C29" t="s">
        <v>593</v>
      </c>
      <c r="D29">
        <v>-1</v>
      </c>
    </row>
    <row r="30" spans="1:4" x14ac:dyDescent="0.25">
      <c r="A30" t="s">
        <v>40</v>
      </c>
      <c r="B30" t="s">
        <v>1027</v>
      </c>
      <c r="C30" t="s">
        <v>459</v>
      </c>
      <c r="D30">
        <v>-3</v>
      </c>
    </row>
    <row r="31" spans="1:4" x14ac:dyDescent="0.25">
      <c r="A31" t="s">
        <v>40</v>
      </c>
      <c r="B31" t="s">
        <v>355</v>
      </c>
      <c r="C31" t="s">
        <v>342</v>
      </c>
      <c r="D31">
        <v>0</v>
      </c>
    </row>
    <row r="32" spans="1:4" x14ac:dyDescent="0.25">
      <c r="A32" t="s">
        <v>40</v>
      </c>
      <c r="B32" t="s">
        <v>1146</v>
      </c>
      <c r="C32" t="s">
        <v>343</v>
      </c>
      <c r="D32">
        <v>2</v>
      </c>
    </row>
    <row r="33" spans="1:4" x14ac:dyDescent="0.25">
      <c r="A33" t="s">
        <v>40</v>
      </c>
      <c r="B33" t="s">
        <v>91</v>
      </c>
      <c r="C33" t="s">
        <v>222</v>
      </c>
      <c r="D33">
        <v>4</v>
      </c>
    </row>
    <row r="34" spans="1:4" x14ac:dyDescent="0.25">
      <c r="A34" t="s">
        <v>40</v>
      </c>
      <c r="B34" t="s">
        <v>56</v>
      </c>
      <c r="C34" t="s">
        <v>725</v>
      </c>
      <c r="D34">
        <v>1</v>
      </c>
    </row>
    <row r="35" spans="1:4" x14ac:dyDescent="0.25">
      <c r="A35" t="s">
        <v>40</v>
      </c>
      <c r="B35" t="s">
        <v>256</v>
      </c>
      <c r="C35" t="s">
        <v>349</v>
      </c>
      <c r="D35">
        <v>3</v>
      </c>
    </row>
    <row r="36" spans="1:4" x14ac:dyDescent="0.25">
      <c r="A36" t="s">
        <v>40</v>
      </c>
      <c r="B36" t="s">
        <v>62</v>
      </c>
      <c r="C36" t="s">
        <v>351</v>
      </c>
      <c r="D36">
        <v>1</v>
      </c>
    </row>
    <row r="37" spans="1:4" x14ac:dyDescent="0.25">
      <c r="A37" t="s">
        <v>40</v>
      </c>
      <c r="B37" t="s">
        <v>764</v>
      </c>
      <c r="C37" t="s">
        <v>2303</v>
      </c>
      <c r="D37">
        <v>-1</v>
      </c>
    </row>
    <row r="38" spans="1:4" x14ac:dyDescent="0.25">
      <c r="A38" t="s">
        <v>40</v>
      </c>
      <c r="B38" t="s">
        <v>766</v>
      </c>
      <c r="C38" t="s">
        <v>1218</v>
      </c>
      <c r="D38">
        <v>2</v>
      </c>
    </row>
    <row r="39" spans="1:4" x14ac:dyDescent="0.25">
      <c r="A39" t="s">
        <v>40</v>
      </c>
      <c r="B39" t="s">
        <v>384</v>
      </c>
      <c r="C39" t="s">
        <v>2304</v>
      </c>
      <c r="D39">
        <v>0</v>
      </c>
    </row>
    <row r="40" spans="1:4" x14ac:dyDescent="0.25">
      <c r="A40" t="s">
        <v>40</v>
      </c>
      <c r="B40" t="s">
        <v>1043</v>
      </c>
      <c r="C40" t="s">
        <v>1220</v>
      </c>
      <c r="D40">
        <v>2</v>
      </c>
    </row>
    <row r="41" spans="1:4" x14ac:dyDescent="0.25">
      <c r="A41" t="s">
        <v>40</v>
      </c>
      <c r="B41" t="s">
        <v>529</v>
      </c>
      <c r="C41" t="s">
        <v>1758</v>
      </c>
      <c r="D41">
        <v>3</v>
      </c>
    </row>
    <row r="42" spans="1:4" x14ac:dyDescent="0.25">
      <c r="A42" t="s">
        <v>40</v>
      </c>
      <c r="B42" t="s">
        <v>529</v>
      </c>
      <c r="C42" t="s">
        <v>478</v>
      </c>
      <c r="D42">
        <v>4</v>
      </c>
    </row>
    <row r="43" spans="1:4" x14ac:dyDescent="0.25">
      <c r="A43" t="s">
        <v>40</v>
      </c>
      <c r="B43" t="s">
        <v>392</v>
      </c>
      <c r="C43" t="s">
        <v>2166</v>
      </c>
      <c r="D43">
        <v>6</v>
      </c>
    </row>
    <row r="44" spans="1:4" x14ac:dyDescent="0.25">
      <c r="A44" t="s">
        <v>40</v>
      </c>
      <c r="B44" t="s">
        <v>1204</v>
      </c>
      <c r="C44" t="s">
        <v>2305</v>
      </c>
      <c r="D44">
        <v>5</v>
      </c>
    </row>
    <row r="45" spans="1:4" x14ac:dyDescent="0.25">
      <c r="A45" t="s">
        <v>40</v>
      </c>
      <c r="B45" t="s">
        <v>1204</v>
      </c>
      <c r="C45" t="s">
        <v>2306</v>
      </c>
      <c r="D45">
        <v>4</v>
      </c>
    </row>
    <row r="46" spans="1:4" x14ac:dyDescent="0.25">
      <c r="A46" t="s">
        <v>40</v>
      </c>
      <c r="B46" t="s">
        <v>972</v>
      </c>
      <c r="C46" t="s">
        <v>2307</v>
      </c>
      <c r="D46">
        <v>2</v>
      </c>
    </row>
    <row r="47" spans="1:4" x14ac:dyDescent="0.25">
      <c r="A47" t="s">
        <v>40</v>
      </c>
      <c r="B47" t="s">
        <v>972</v>
      </c>
      <c r="C47" t="s">
        <v>482</v>
      </c>
      <c r="D47">
        <v>1</v>
      </c>
    </row>
    <row r="48" spans="1:4" x14ac:dyDescent="0.25">
      <c r="A48" t="s">
        <v>40</v>
      </c>
      <c r="B48" t="s">
        <v>78</v>
      </c>
      <c r="C48" t="s">
        <v>2308</v>
      </c>
      <c r="D48">
        <v>-1</v>
      </c>
    </row>
    <row r="49" spans="1:4" x14ac:dyDescent="0.25">
      <c r="A49" t="s">
        <v>80</v>
      </c>
      <c r="B49" t="s">
        <v>1116</v>
      </c>
      <c r="C49" t="s">
        <v>2309</v>
      </c>
      <c r="D49">
        <v>2</v>
      </c>
    </row>
    <row r="50" spans="1:4" x14ac:dyDescent="0.25">
      <c r="A50" t="s">
        <v>80</v>
      </c>
      <c r="B50" t="s">
        <v>9</v>
      </c>
      <c r="C50" t="s">
        <v>2310</v>
      </c>
      <c r="D50">
        <v>0</v>
      </c>
    </row>
    <row r="51" spans="1:4" x14ac:dyDescent="0.25">
      <c r="A51" t="s">
        <v>80</v>
      </c>
      <c r="B51" t="s">
        <v>246</v>
      </c>
      <c r="C51" t="s">
        <v>741</v>
      </c>
      <c r="D51">
        <v>-3</v>
      </c>
    </row>
    <row r="52" spans="1:4" x14ac:dyDescent="0.25">
      <c r="A52" t="s">
        <v>80</v>
      </c>
      <c r="B52" t="s">
        <v>641</v>
      </c>
      <c r="C52" t="s">
        <v>744</v>
      </c>
      <c r="D52">
        <v>-1</v>
      </c>
    </row>
    <row r="53" spans="1:4" x14ac:dyDescent="0.25">
      <c r="A53" t="s">
        <v>80</v>
      </c>
      <c r="B53" t="s">
        <v>213</v>
      </c>
      <c r="C53" t="s">
        <v>745</v>
      </c>
      <c r="D53">
        <v>0</v>
      </c>
    </row>
    <row r="54" spans="1:4" x14ac:dyDescent="0.25">
      <c r="A54" t="s">
        <v>80</v>
      </c>
      <c r="B54" t="s">
        <v>215</v>
      </c>
      <c r="C54" t="s">
        <v>377</v>
      </c>
      <c r="D54">
        <v>-2</v>
      </c>
    </row>
    <row r="55" spans="1:4" x14ac:dyDescent="0.25">
      <c r="A55" t="s">
        <v>80</v>
      </c>
      <c r="B55" t="s">
        <v>138</v>
      </c>
      <c r="C55" t="s">
        <v>1229</v>
      </c>
      <c r="D55">
        <v>-4</v>
      </c>
    </row>
    <row r="56" spans="1:4" x14ac:dyDescent="0.25">
      <c r="A56" t="s">
        <v>80</v>
      </c>
      <c r="B56" t="s">
        <v>370</v>
      </c>
      <c r="C56" t="s">
        <v>381</v>
      </c>
      <c r="D56">
        <v>-1</v>
      </c>
    </row>
    <row r="57" spans="1:4" x14ac:dyDescent="0.25">
      <c r="A57" t="s">
        <v>80</v>
      </c>
      <c r="B57" t="s">
        <v>2311</v>
      </c>
      <c r="C57" t="s">
        <v>630</v>
      </c>
      <c r="D57">
        <v>-2</v>
      </c>
    </row>
    <row r="58" spans="1:4" x14ac:dyDescent="0.25">
      <c r="A58" t="s">
        <v>80</v>
      </c>
      <c r="B58" t="s">
        <v>1855</v>
      </c>
      <c r="C58" t="s">
        <v>268</v>
      </c>
      <c r="D58">
        <v>-5</v>
      </c>
    </row>
    <row r="59" spans="1:4" x14ac:dyDescent="0.25">
      <c r="A59" t="s">
        <v>80</v>
      </c>
      <c r="B59" t="s">
        <v>337</v>
      </c>
      <c r="C59" t="s">
        <v>270</v>
      </c>
      <c r="D59">
        <v>-3</v>
      </c>
    </row>
    <row r="60" spans="1:4" x14ac:dyDescent="0.25">
      <c r="A60" t="s">
        <v>80</v>
      </c>
      <c r="B60" t="s">
        <v>1198</v>
      </c>
      <c r="C60" t="s">
        <v>1234</v>
      </c>
      <c r="D60">
        <v>-5</v>
      </c>
    </row>
    <row r="61" spans="1:4" x14ac:dyDescent="0.25">
      <c r="A61" t="s">
        <v>80</v>
      </c>
      <c r="B61" t="s">
        <v>110</v>
      </c>
      <c r="C61" t="s">
        <v>119</v>
      </c>
      <c r="D61">
        <v>-3</v>
      </c>
    </row>
    <row r="62" spans="1:4" x14ac:dyDescent="0.25">
      <c r="A62" t="s">
        <v>80</v>
      </c>
      <c r="B62" t="s">
        <v>70</v>
      </c>
      <c r="C62" t="s">
        <v>2312</v>
      </c>
      <c r="D62">
        <v>-1</v>
      </c>
    </row>
    <row r="63" spans="1:4" x14ac:dyDescent="0.25">
      <c r="A63" t="s">
        <v>80</v>
      </c>
      <c r="B63" t="s">
        <v>444</v>
      </c>
      <c r="C63" t="s">
        <v>1236</v>
      </c>
      <c r="D63">
        <v>-3</v>
      </c>
    </row>
    <row r="64" spans="1:4" x14ac:dyDescent="0.25">
      <c r="A64" t="s">
        <v>80</v>
      </c>
      <c r="B64" t="s">
        <v>1045</v>
      </c>
      <c r="C64" t="s">
        <v>842</v>
      </c>
      <c r="D64">
        <v>-1</v>
      </c>
    </row>
    <row r="65" spans="1:4" x14ac:dyDescent="0.25">
      <c r="A65" t="s">
        <v>80</v>
      </c>
      <c r="B65" t="s">
        <v>877</v>
      </c>
      <c r="C65" t="s">
        <v>2231</v>
      </c>
      <c r="D65">
        <v>-2</v>
      </c>
    </row>
    <row r="66" spans="1:4" x14ac:dyDescent="0.25">
      <c r="A66" t="s">
        <v>80</v>
      </c>
      <c r="B66" t="s">
        <v>877</v>
      </c>
      <c r="C66" t="s">
        <v>2232</v>
      </c>
      <c r="D66">
        <v>-3</v>
      </c>
    </row>
    <row r="67" spans="1:4" x14ac:dyDescent="0.25">
      <c r="A67" t="s">
        <v>80</v>
      </c>
      <c r="B67" t="s">
        <v>552</v>
      </c>
      <c r="C67" t="s">
        <v>2234</v>
      </c>
      <c r="D67">
        <v>-5</v>
      </c>
    </row>
    <row r="68" spans="1:4" x14ac:dyDescent="0.25">
      <c r="A68" t="s">
        <v>80</v>
      </c>
      <c r="B68" t="s">
        <v>76</v>
      </c>
      <c r="C68" t="s">
        <v>1537</v>
      </c>
      <c r="D68">
        <v>-4</v>
      </c>
    </row>
    <row r="69" spans="1:4" x14ac:dyDescent="0.25">
      <c r="A69" t="s">
        <v>80</v>
      </c>
      <c r="B69" t="s">
        <v>76</v>
      </c>
      <c r="C69" t="s">
        <v>2235</v>
      </c>
      <c r="D69">
        <v>-3</v>
      </c>
    </row>
    <row r="70" spans="1:4" x14ac:dyDescent="0.25">
      <c r="A70" t="s">
        <v>123</v>
      </c>
      <c r="B70" t="s">
        <v>237</v>
      </c>
      <c r="C70" t="s">
        <v>2236</v>
      </c>
      <c r="D70">
        <v>-6</v>
      </c>
    </row>
    <row r="71" spans="1:4" x14ac:dyDescent="0.25">
      <c r="A71" t="s">
        <v>123</v>
      </c>
      <c r="B71" t="s">
        <v>932</v>
      </c>
      <c r="C71" t="s">
        <v>2313</v>
      </c>
      <c r="D71">
        <v>-4</v>
      </c>
    </row>
    <row r="72" spans="1:4" x14ac:dyDescent="0.25">
      <c r="A72" t="s">
        <v>123</v>
      </c>
      <c r="B72" t="s">
        <v>1029</v>
      </c>
      <c r="C72" t="s">
        <v>2314</v>
      </c>
      <c r="D72">
        <v>-2</v>
      </c>
    </row>
    <row r="73" spans="1:4" x14ac:dyDescent="0.25">
      <c r="A73" t="s">
        <v>123</v>
      </c>
      <c r="B73" t="s">
        <v>514</v>
      </c>
      <c r="C73" t="s">
        <v>2315</v>
      </c>
      <c r="D73">
        <v>-5</v>
      </c>
    </row>
    <row r="74" spans="1:4" x14ac:dyDescent="0.25">
      <c r="A74" t="s">
        <v>123</v>
      </c>
      <c r="B74" t="s">
        <v>865</v>
      </c>
      <c r="C74" t="s">
        <v>2241</v>
      </c>
      <c r="D74">
        <v>-4</v>
      </c>
    </row>
    <row r="75" spans="1:4" x14ac:dyDescent="0.25">
      <c r="A75" t="s">
        <v>123</v>
      </c>
      <c r="B75" t="s">
        <v>1086</v>
      </c>
      <c r="C75" t="s">
        <v>2145</v>
      </c>
      <c r="D75">
        <v>-5</v>
      </c>
    </row>
    <row r="76" spans="1:4" x14ac:dyDescent="0.25">
      <c r="A76" t="s">
        <v>123</v>
      </c>
      <c r="B76" t="s">
        <v>93</v>
      </c>
      <c r="C76" t="s">
        <v>2242</v>
      </c>
      <c r="D76">
        <v>-2</v>
      </c>
    </row>
    <row r="77" spans="1:4" x14ac:dyDescent="0.25">
      <c r="A77" t="s">
        <v>123</v>
      </c>
      <c r="B77" t="s">
        <v>2250</v>
      </c>
      <c r="C77" t="s">
        <v>2243</v>
      </c>
      <c r="D77">
        <v>0</v>
      </c>
    </row>
    <row r="78" spans="1:4" x14ac:dyDescent="0.25">
      <c r="A78" t="s">
        <v>123</v>
      </c>
      <c r="B78" t="s">
        <v>1829</v>
      </c>
      <c r="C78" t="s">
        <v>523</v>
      </c>
      <c r="D78">
        <v>-3</v>
      </c>
    </row>
    <row r="79" spans="1:4" x14ac:dyDescent="0.25">
      <c r="A79" t="s">
        <v>123</v>
      </c>
      <c r="B79" t="s">
        <v>1503</v>
      </c>
      <c r="C79" t="s">
        <v>526</v>
      </c>
      <c r="D79">
        <v>-1</v>
      </c>
    </row>
    <row r="80" spans="1:4" x14ac:dyDescent="0.25">
      <c r="A80" t="s">
        <v>123</v>
      </c>
      <c r="B80" t="s">
        <v>1153</v>
      </c>
      <c r="C80" t="s">
        <v>2316</v>
      </c>
      <c r="D80">
        <v>-4</v>
      </c>
    </row>
    <row r="81" spans="1:4" x14ac:dyDescent="0.25">
      <c r="A81" t="s">
        <v>123</v>
      </c>
      <c r="B81" t="s">
        <v>1127</v>
      </c>
      <c r="C81" t="s">
        <v>532</v>
      </c>
      <c r="D81">
        <v>-1</v>
      </c>
    </row>
    <row r="82" spans="1:4" x14ac:dyDescent="0.25">
      <c r="A82" t="s">
        <v>123</v>
      </c>
      <c r="B82" t="s">
        <v>2317</v>
      </c>
      <c r="C82" t="s">
        <v>2318</v>
      </c>
      <c r="D82">
        <v>2</v>
      </c>
    </row>
    <row r="83" spans="1:4" x14ac:dyDescent="0.25">
      <c r="A83" t="s">
        <v>123</v>
      </c>
      <c r="B83" t="s">
        <v>1204</v>
      </c>
      <c r="C83" t="s">
        <v>1625</v>
      </c>
      <c r="D83">
        <v>5</v>
      </c>
    </row>
    <row r="84" spans="1:4" x14ac:dyDescent="0.25">
      <c r="A84" t="s">
        <v>123</v>
      </c>
      <c r="B84" t="s">
        <v>1809</v>
      </c>
      <c r="C84" t="s">
        <v>682</v>
      </c>
      <c r="D84">
        <v>6</v>
      </c>
    </row>
    <row r="85" spans="1:4" x14ac:dyDescent="0.25">
      <c r="A85" t="s">
        <v>123</v>
      </c>
      <c r="B85" t="s">
        <v>483</v>
      </c>
      <c r="C85" t="s">
        <v>2319</v>
      </c>
      <c r="D85">
        <v>4</v>
      </c>
    </row>
    <row r="86" spans="1:4" x14ac:dyDescent="0.25">
      <c r="A86" t="s">
        <v>123</v>
      </c>
      <c r="B86" t="s">
        <v>681</v>
      </c>
      <c r="C86" t="s">
        <v>2320</v>
      </c>
      <c r="D86">
        <v>3</v>
      </c>
    </row>
    <row r="87" spans="1:4" x14ac:dyDescent="0.25">
      <c r="A87" t="s">
        <v>123</v>
      </c>
      <c r="B87" t="s">
        <v>1627</v>
      </c>
      <c r="C87" t="s">
        <v>2321</v>
      </c>
      <c r="D87">
        <v>4</v>
      </c>
    </row>
    <row r="88" spans="1:4" x14ac:dyDescent="0.25">
      <c r="A88" t="s">
        <v>123</v>
      </c>
      <c r="B88" t="s">
        <v>1627</v>
      </c>
      <c r="C88" t="s">
        <v>2322</v>
      </c>
      <c r="D88">
        <v>5</v>
      </c>
    </row>
    <row r="89" spans="1:4" x14ac:dyDescent="0.25">
      <c r="A89" t="s">
        <v>123</v>
      </c>
      <c r="B89" t="s">
        <v>1568</v>
      </c>
      <c r="C89" t="s">
        <v>2323</v>
      </c>
      <c r="D89">
        <v>2</v>
      </c>
    </row>
    <row r="90" spans="1:4" x14ac:dyDescent="0.25">
      <c r="A90" t="s">
        <v>123</v>
      </c>
      <c r="B90" t="s">
        <v>235</v>
      </c>
      <c r="C90" t="s">
        <v>1628</v>
      </c>
      <c r="D90">
        <v>3</v>
      </c>
    </row>
    <row r="91" spans="1:4" x14ac:dyDescent="0.25">
      <c r="A91" t="s">
        <v>123</v>
      </c>
      <c r="B91" t="s">
        <v>235</v>
      </c>
      <c r="C91" t="s">
        <v>2324</v>
      </c>
      <c r="D91">
        <v>4</v>
      </c>
    </row>
    <row r="92" spans="1:4" x14ac:dyDescent="0.25">
      <c r="A92" t="s">
        <v>123</v>
      </c>
      <c r="B92" t="s">
        <v>559</v>
      </c>
      <c r="C92" t="s">
        <v>1630</v>
      </c>
      <c r="D92">
        <v>3</v>
      </c>
    </row>
    <row r="93" spans="1:4" x14ac:dyDescent="0.25">
      <c r="A93" t="s">
        <v>123</v>
      </c>
      <c r="B93" t="s">
        <v>559</v>
      </c>
      <c r="C93" t="s">
        <v>1631</v>
      </c>
      <c r="D93">
        <v>2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-0.84782608695652173</v>
      </c>
    </row>
    <row r="97" spans="1:4" x14ac:dyDescent="0.25">
      <c r="A97" t="s">
        <v>159</v>
      </c>
      <c r="D97">
        <f>MAX(D2:D93)</f>
        <v>6</v>
      </c>
    </row>
    <row r="98" spans="1:4" x14ac:dyDescent="0.25">
      <c r="A98" t="s">
        <v>160</v>
      </c>
      <c r="D98">
        <f>MIN(D2:D93)</f>
        <v>-7</v>
      </c>
    </row>
    <row r="99" spans="1:4" x14ac:dyDescent="0.25">
      <c r="A99" t="s">
        <v>161</v>
      </c>
      <c r="D99">
        <f>COUNTIF(D2:D93,"&gt;0")</f>
        <v>29</v>
      </c>
    </row>
    <row r="100" spans="1:4" x14ac:dyDescent="0.25">
      <c r="A100" t="s">
        <v>162</v>
      </c>
      <c r="D100">
        <f>COUNTIF(D2:D93,"=0")</f>
        <v>7</v>
      </c>
    </row>
    <row r="101" spans="1:4" x14ac:dyDescent="0.25">
      <c r="A101" t="s">
        <v>1428</v>
      </c>
      <c r="D101">
        <f>COUNTIF(D2:D93,"&lt;0")</f>
        <v>56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AVERAGE(D2,D3,D4,D5,D6,D7,D8,D9,D10,D11,D12,D13,D14,D15,D16,D17,D18,D19,D20,D21,D22,D23,D24,D25,D26)</f>
        <v>-2.56</v>
      </c>
    </row>
    <row r="105" spans="1:4" x14ac:dyDescent="0.25">
      <c r="A105" t="s">
        <v>166</v>
      </c>
      <c r="D105">
        <f>AVERAGE(D27,D28,D29,D30,D31,D32,D33,D34,D35,D36,D37,D38,D39,D40,D41,D42,D43,D44,D45,D46,D47,D48)</f>
        <v>1.3181818181818181</v>
      </c>
    </row>
    <row r="106" spans="1:4" x14ac:dyDescent="0.25">
      <c r="A106" t="s">
        <v>167</v>
      </c>
      <c r="D106">
        <f>AVERAGE(D49,D50,D51,D52,D53,D54,D55,D56,D57,D58,D59,D60,D61,D62,D63,D64,D65,D66,D67,D68,D69)</f>
        <v>-2.3333333333333335</v>
      </c>
    </row>
    <row r="107" spans="1:4" x14ac:dyDescent="0.25">
      <c r="A107" t="s">
        <v>168</v>
      </c>
      <c r="D107">
        <f>AVERAGE(D70,D71,D72,D73,D74,D75,D76,D77,D78,D79,D80,D81,D82,D83,D84,D85,D86,D87,D88,D89,D90,D91,D92,D93)</f>
        <v>0.25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1524</v>
      </c>
      <c r="C2" t="s">
        <v>908</v>
      </c>
      <c r="D2">
        <v>-2</v>
      </c>
    </row>
    <row r="3" spans="1:4" x14ac:dyDescent="0.25">
      <c r="A3" t="s">
        <v>4</v>
      </c>
      <c r="B3" t="s">
        <v>1009</v>
      </c>
      <c r="C3" t="s">
        <v>8</v>
      </c>
      <c r="D3">
        <v>0</v>
      </c>
    </row>
    <row r="4" spans="1:4" x14ac:dyDescent="0.25">
      <c r="A4" t="s">
        <v>4</v>
      </c>
      <c r="B4" t="s">
        <v>1545</v>
      </c>
      <c r="C4" t="s">
        <v>10</v>
      </c>
      <c r="D4">
        <v>-2</v>
      </c>
    </row>
    <row r="5" spans="1:4" x14ac:dyDescent="0.25">
      <c r="A5" t="s">
        <v>4</v>
      </c>
      <c r="B5" t="s">
        <v>246</v>
      </c>
      <c r="C5" t="s">
        <v>2297</v>
      </c>
      <c r="D5">
        <v>-4</v>
      </c>
    </row>
    <row r="6" spans="1:4" x14ac:dyDescent="0.25">
      <c r="A6" t="s">
        <v>4</v>
      </c>
      <c r="B6" t="s">
        <v>1453</v>
      </c>
      <c r="C6" t="s">
        <v>310</v>
      </c>
      <c r="D6">
        <v>-2</v>
      </c>
    </row>
    <row r="7" spans="1:4" x14ac:dyDescent="0.25">
      <c r="A7" t="s">
        <v>4</v>
      </c>
      <c r="B7" t="s">
        <v>1248</v>
      </c>
      <c r="C7" t="s">
        <v>1694</v>
      </c>
      <c r="D7">
        <v>-4</v>
      </c>
    </row>
    <row r="8" spans="1:4" x14ac:dyDescent="0.25">
      <c r="A8" t="s">
        <v>4</v>
      </c>
      <c r="B8" t="s">
        <v>1011</v>
      </c>
      <c r="C8" t="s">
        <v>18</v>
      </c>
      <c r="D8">
        <v>-2</v>
      </c>
    </row>
    <row r="9" spans="1:4" x14ac:dyDescent="0.25">
      <c r="A9" t="s">
        <v>4</v>
      </c>
      <c r="B9" t="s">
        <v>779</v>
      </c>
      <c r="C9" t="s">
        <v>1636</v>
      </c>
      <c r="D9">
        <v>-4</v>
      </c>
    </row>
    <row r="10" spans="1:4" x14ac:dyDescent="0.25">
      <c r="A10" t="s">
        <v>4</v>
      </c>
      <c r="B10" t="s">
        <v>1693</v>
      </c>
      <c r="C10" t="s">
        <v>915</v>
      </c>
      <c r="D10">
        <v>-2</v>
      </c>
    </row>
    <row r="11" spans="1:4" x14ac:dyDescent="0.25">
      <c r="A11" t="s">
        <v>4</v>
      </c>
      <c r="B11" t="s">
        <v>1693</v>
      </c>
      <c r="C11" t="s">
        <v>438</v>
      </c>
      <c r="D11">
        <v>-1</v>
      </c>
    </row>
    <row r="12" spans="1:4" x14ac:dyDescent="0.25">
      <c r="A12" t="s">
        <v>4</v>
      </c>
      <c r="B12" t="s">
        <v>405</v>
      </c>
      <c r="C12" t="s">
        <v>1433</v>
      </c>
      <c r="D12">
        <v>-3</v>
      </c>
    </row>
    <row r="13" spans="1:4" x14ac:dyDescent="0.25">
      <c r="A13" t="s">
        <v>4</v>
      </c>
      <c r="B13" t="s">
        <v>97</v>
      </c>
      <c r="C13" t="s">
        <v>2325</v>
      </c>
      <c r="D13">
        <v>-5</v>
      </c>
    </row>
    <row r="14" spans="1:4" x14ac:dyDescent="0.25">
      <c r="A14" t="s">
        <v>4</v>
      </c>
      <c r="B14" t="s">
        <v>370</v>
      </c>
      <c r="C14" t="s">
        <v>2326</v>
      </c>
      <c r="D14">
        <v>-3</v>
      </c>
    </row>
    <row r="15" spans="1:4" x14ac:dyDescent="0.25">
      <c r="A15" t="s">
        <v>4</v>
      </c>
      <c r="B15" t="s">
        <v>190</v>
      </c>
      <c r="C15" t="s">
        <v>2119</v>
      </c>
      <c r="D15">
        <v>-2</v>
      </c>
    </row>
    <row r="16" spans="1:4" x14ac:dyDescent="0.25">
      <c r="A16" t="s">
        <v>4</v>
      </c>
      <c r="B16" t="s">
        <v>192</v>
      </c>
      <c r="C16" t="s">
        <v>34</v>
      </c>
      <c r="D16">
        <v>0</v>
      </c>
    </row>
    <row r="17" spans="1:4" x14ac:dyDescent="0.25">
      <c r="A17" t="s">
        <v>4</v>
      </c>
      <c r="B17" t="s">
        <v>1040</v>
      </c>
      <c r="C17" t="s">
        <v>2298</v>
      </c>
      <c r="D17">
        <v>-2</v>
      </c>
    </row>
    <row r="18" spans="1:4" x14ac:dyDescent="0.25">
      <c r="A18" t="s">
        <v>4</v>
      </c>
      <c r="B18" t="s">
        <v>196</v>
      </c>
      <c r="C18" t="s">
        <v>2204</v>
      </c>
      <c r="D18">
        <v>-3</v>
      </c>
    </row>
    <row r="19" spans="1:4" x14ac:dyDescent="0.25">
      <c r="A19" t="s">
        <v>4</v>
      </c>
      <c r="B19" t="s">
        <v>1019</v>
      </c>
      <c r="C19" t="s">
        <v>1505</v>
      </c>
      <c r="D19">
        <v>-2</v>
      </c>
    </row>
    <row r="20" spans="1:4" x14ac:dyDescent="0.25">
      <c r="A20" t="s">
        <v>4</v>
      </c>
      <c r="B20" t="s">
        <v>1019</v>
      </c>
      <c r="C20" t="s">
        <v>447</v>
      </c>
      <c r="D20">
        <v>-1</v>
      </c>
    </row>
    <row r="21" spans="1:4" x14ac:dyDescent="0.25">
      <c r="A21" t="s">
        <v>4</v>
      </c>
      <c r="B21" t="s">
        <v>1113</v>
      </c>
      <c r="C21" t="s">
        <v>2299</v>
      </c>
      <c r="D21">
        <v>-4</v>
      </c>
    </row>
    <row r="22" spans="1:4" x14ac:dyDescent="0.25">
      <c r="A22" t="s">
        <v>4</v>
      </c>
      <c r="B22" t="s">
        <v>634</v>
      </c>
      <c r="C22" t="s">
        <v>2264</v>
      </c>
      <c r="D22">
        <v>-2</v>
      </c>
    </row>
    <row r="23" spans="1:4" x14ac:dyDescent="0.25">
      <c r="A23" t="s">
        <v>40</v>
      </c>
      <c r="B23" t="s">
        <v>907</v>
      </c>
      <c r="C23" t="s">
        <v>2327</v>
      </c>
      <c r="D23">
        <v>-4</v>
      </c>
    </row>
    <row r="24" spans="1:4" x14ac:dyDescent="0.25">
      <c r="A24" t="s">
        <v>40</v>
      </c>
      <c r="B24" t="s">
        <v>907</v>
      </c>
      <c r="C24" t="s">
        <v>2301</v>
      </c>
      <c r="D24">
        <v>-5</v>
      </c>
    </row>
    <row r="25" spans="1:4" x14ac:dyDescent="0.25">
      <c r="A25" t="s">
        <v>40</v>
      </c>
      <c r="B25" t="s">
        <v>1055</v>
      </c>
      <c r="C25" t="s">
        <v>2328</v>
      </c>
      <c r="D25">
        <v>-2</v>
      </c>
    </row>
    <row r="26" spans="1:4" x14ac:dyDescent="0.25">
      <c r="A26" t="s">
        <v>40</v>
      </c>
      <c r="B26" t="s">
        <v>269</v>
      </c>
      <c r="C26" t="s">
        <v>2329</v>
      </c>
      <c r="D26">
        <v>-4</v>
      </c>
    </row>
    <row r="27" spans="1:4" x14ac:dyDescent="0.25">
      <c r="A27" t="s">
        <v>40</v>
      </c>
      <c r="B27" t="s">
        <v>205</v>
      </c>
      <c r="C27" t="s">
        <v>1511</v>
      </c>
      <c r="D27">
        <v>-3</v>
      </c>
    </row>
    <row r="28" spans="1:4" x14ac:dyDescent="0.25">
      <c r="A28" t="s">
        <v>40</v>
      </c>
      <c r="B28" t="s">
        <v>954</v>
      </c>
      <c r="C28" t="s">
        <v>2330</v>
      </c>
      <c r="D28">
        <v>-1</v>
      </c>
    </row>
    <row r="29" spans="1:4" x14ac:dyDescent="0.25">
      <c r="A29" t="s">
        <v>40</v>
      </c>
      <c r="B29" t="s">
        <v>2152</v>
      </c>
      <c r="C29" t="s">
        <v>592</v>
      </c>
      <c r="D29">
        <v>-2</v>
      </c>
    </row>
    <row r="30" spans="1:4" x14ac:dyDescent="0.25">
      <c r="A30" t="s">
        <v>40</v>
      </c>
      <c r="B30" t="s">
        <v>1493</v>
      </c>
      <c r="C30" t="s">
        <v>2331</v>
      </c>
      <c r="D30">
        <v>0</v>
      </c>
    </row>
    <row r="31" spans="1:4" x14ac:dyDescent="0.25">
      <c r="A31" t="s">
        <v>40</v>
      </c>
      <c r="B31" t="s">
        <v>1118</v>
      </c>
      <c r="C31" t="s">
        <v>218</v>
      </c>
      <c r="D31">
        <v>3</v>
      </c>
    </row>
    <row r="32" spans="1:4" x14ac:dyDescent="0.25">
      <c r="A32" t="s">
        <v>40</v>
      </c>
      <c r="B32" t="s">
        <v>1549</v>
      </c>
      <c r="C32" t="s">
        <v>1825</v>
      </c>
      <c r="D32">
        <v>0</v>
      </c>
    </row>
    <row r="33" spans="1:4" x14ac:dyDescent="0.25">
      <c r="A33" t="s">
        <v>40</v>
      </c>
      <c r="B33" t="s">
        <v>307</v>
      </c>
      <c r="C33" t="s">
        <v>2332</v>
      </c>
      <c r="D33">
        <v>-1</v>
      </c>
    </row>
    <row r="34" spans="1:4" x14ac:dyDescent="0.25">
      <c r="A34" t="s">
        <v>40</v>
      </c>
      <c r="B34" t="s">
        <v>307</v>
      </c>
      <c r="C34" t="s">
        <v>1716</v>
      </c>
      <c r="D34">
        <v>-4</v>
      </c>
    </row>
    <row r="35" spans="1:4" x14ac:dyDescent="0.25">
      <c r="A35" t="s">
        <v>40</v>
      </c>
      <c r="B35" t="s">
        <v>2266</v>
      </c>
      <c r="C35" t="s">
        <v>606</v>
      </c>
      <c r="D35">
        <v>-6</v>
      </c>
    </row>
    <row r="36" spans="1:4" x14ac:dyDescent="0.25">
      <c r="A36" t="s">
        <v>40</v>
      </c>
      <c r="B36" t="s">
        <v>1475</v>
      </c>
      <c r="C36" t="s">
        <v>68</v>
      </c>
      <c r="D36">
        <v>-5</v>
      </c>
    </row>
    <row r="37" spans="1:4" x14ac:dyDescent="0.25">
      <c r="A37" t="s">
        <v>40</v>
      </c>
      <c r="B37" t="s">
        <v>1475</v>
      </c>
      <c r="C37" t="s">
        <v>2333</v>
      </c>
      <c r="D37">
        <v>-4</v>
      </c>
    </row>
    <row r="38" spans="1:4" x14ac:dyDescent="0.25">
      <c r="A38" t="s">
        <v>40</v>
      </c>
      <c r="B38" t="s">
        <v>313</v>
      </c>
      <c r="C38" t="s">
        <v>2334</v>
      </c>
      <c r="D38">
        <v>-6</v>
      </c>
    </row>
    <row r="39" spans="1:4" x14ac:dyDescent="0.25">
      <c r="A39" t="s">
        <v>40</v>
      </c>
      <c r="B39" t="s">
        <v>807</v>
      </c>
      <c r="C39" t="s">
        <v>2335</v>
      </c>
      <c r="D39">
        <v>-8</v>
      </c>
    </row>
    <row r="40" spans="1:4" x14ac:dyDescent="0.25">
      <c r="A40" t="s">
        <v>40</v>
      </c>
      <c r="B40" t="s">
        <v>764</v>
      </c>
      <c r="C40" t="s">
        <v>2130</v>
      </c>
      <c r="D40">
        <v>-6</v>
      </c>
    </row>
    <row r="41" spans="1:4" x14ac:dyDescent="0.25">
      <c r="A41" t="s">
        <v>40</v>
      </c>
      <c r="B41" t="s">
        <v>467</v>
      </c>
      <c r="C41" t="s">
        <v>2131</v>
      </c>
      <c r="D41">
        <v>-4</v>
      </c>
    </row>
    <row r="42" spans="1:4" x14ac:dyDescent="0.25">
      <c r="A42" t="s">
        <v>40</v>
      </c>
      <c r="B42" t="s">
        <v>467</v>
      </c>
      <c r="C42" t="s">
        <v>234</v>
      </c>
      <c r="D42">
        <v>-3</v>
      </c>
    </row>
    <row r="43" spans="1:4" x14ac:dyDescent="0.25">
      <c r="A43" t="s">
        <v>40</v>
      </c>
      <c r="B43" t="s">
        <v>812</v>
      </c>
      <c r="C43" t="s">
        <v>1519</v>
      </c>
      <c r="D43">
        <v>-1</v>
      </c>
    </row>
    <row r="44" spans="1:4" x14ac:dyDescent="0.25">
      <c r="A44" t="s">
        <v>40</v>
      </c>
      <c r="B44" t="s">
        <v>579</v>
      </c>
      <c r="C44" t="s">
        <v>479</v>
      </c>
      <c r="D44">
        <v>2</v>
      </c>
    </row>
    <row r="45" spans="1:4" x14ac:dyDescent="0.25">
      <c r="A45" t="s">
        <v>40</v>
      </c>
      <c r="B45" t="s">
        <v>1132</v>
      </c>
      <c r="C45" t="s">
        <v>2336</v>
      </c>
      <c r="D45">
        <v>5</v>
      </c>
    </row>
    <row r="46" spans="1:4" x14ac:dyDescent="0.25">
      <c r="A46" t="s">
        <v>40</v>
      </c>
      <c r="B46" t="s">
        <v>552</v>
      </c>
      <c r="C46" t="s">
        <v>1594</v>
      </c>
      <c r="D46">
        <v>6</v>
      </c>
    </row>
    <row r="47" spans="1:4" x14ac:dyDescent="0.25">
      <c r="A47" t="s">
        <v>40</v>
      </c>
      <c r="B47" t="s">
        <v>552</v>
      </c>
      <c r="C47" t="s">
        <v>2168</v>
      </c>
      <c r="D47">
        <v>7</v>
      </c>
    </row>
    <row r="48" spans="1:4" x14ac:dyDescent="0.25">
      <c r="A48" t="s">
        <v>40</v>
      </c>
      <c r="B48" t="s">
        <v>559</v>
      </c>
      <c r="C48" t="s">
        <v>1595</v>
      </c>
      <c r="D48">
        <v>9</v>
      </c>
    </row>
    <row r="49" spans="1:4" x14ac:dyDescent="0.25">
      <c r="A49" t="s">
        <v>80</v>
      </c>
      <c r="B49" t="s">
        <v>714</v>
      </c>
      <c r="C49" t="s">
        <v>2337</v>
      </c>
      <c r="D49">
        <v>7</v>
      </c>
    </row>
    <row r="50" spans="1:4" x14ac:dyDescent="0.25">
      <c r="A50" t="s">
        <v>80</v>
      </c>
      <c r="B50" t="s">
        <v>777</v>
      </c>
      <c r="C50" t="s">
        <v>2338</v>
      </c>
      <c r="D50">
        <v>9</v>
      </c>
    </row>
    <row r="51" spans="1:4" x14ac:dyDescent="0.25">
      <c r="A51" t="s">
        <v>80</v>
      </c>
      <c r="B51" t="s">
        <v>1244</v>
      </c>
      <c r="C51" t="s">
        <v>488</v>
      </c>
      <c r="D51">
        <v>6</v>
      </c>
    </row>
    <row r="52" spans="1:4" x14ac:dyDescent="0.25">
      <c r="A52" t="s">
        <v>80</v>
      </c>
      <c r="B52" t="s">
        <v>11</v>
      </c>
      <c r="C52" t="s">
        <v>1600</v>
      </c>
      <c r="D52">
        <v>8</v>
      </c>
    </row>
    <row r="53" spans="1:4" x14ac:dyDescent="0.25">
      <c r="A53" t="s">
        <v>80</v>
      </c>
      <c r="B53" t="s">
        <v>51</v>
      </c>
      <c r="C53" t="s">
        <v>2339</v>
      </c>
      <c r="D53">
        <v>6</v>
      </c>
    </row>
    <row r="54" spans="1:4" x14ac:dyDescent="0.25">
      <c r="A54" t="s">
        <v>80</v>
      </c>
      <c r="B54" t="s">
        <v>641</v>
      </c>
      <c r="C54" t="s">
        <v>492</v>
      </c>
      <c r="D54">
        <v>9</v>
      </c>
    </row>
    <row r="55" spans="1:4" x14ac:dyDescent="0.25">
      <c r="A55" t="s">
        <v>80</v>
      </c>
      <c r="B55" t="s">
        <v>1958</v>
      </c>
      <c r="C55" t="s">
        <v>493</v>
      </c>
      <c r="D55">
        <v>6</v>
      </c>
    </row>
    <row r="56" spans="1:4" x14ac:dyDescent="0.25">
      <c r="A56" t="s">
        <v>80</v>
      </c>
      <c r="B56" t="s">
        <v>277</v>
      </c>
      <c r="C56" t="s">
        <v>2274</v>
      </c>
      <c r="D56">
        <v>8</v>
      </c>
    </row>
    <row r="57" spans="1:4" x14ac:dyDescent="0.25">
      <c r="A57" t="s">
        <v>80</v>
      </c>
      <c r="B57" t="s">
        <v>1723</v>
      </c>
      <c r="C57" t="s">
        <v>2175</v>
      </c>
      <c r="D57">
        <v>6</v>
      </c>
    </row>
    <row r="58" spans="1:4" x14ac:dyDescent="0.25">
      <c r="A58" t="s">
        <v>80</v>
      </c>
      <c r="B58" t="s">
        <v>217</v>
      </c>
      <c r="C58" t="s">
        <v>2177</v>
      </c>
      <c r="D58">
        <v>4</v>
      </c>
    </row>
    <row r="59" spans="1:4" x14ac:dyDescent="0.25">
      <c r="A59" t="s">
        <v>80</v>
      </c>
      <c r="B59" t="s">
        <v>21</v>
      </c>
      <c r="C59" t="s">
        <v>387</v>
      </c>
      <c r="D59">
        <v>2</v>
      </c>
    </row>
    <row r="60" spans="1:4" x14ac:dyDescent="0.25">
      <c r="A60" t="s">
        <v>80</v>
      </c>
      <c r="B60" t="s">
        <v>284</v>
      </c>
      <c r="C60" t="s">
        <v>2340</v>
      </c>
      <c r="D60">
        <v>4</v>
      </c>
    </row>
    <row r="61" spans="1:4" x14ac:dyDescent="0.25">
      <c r="A61" t="s">
        <v>80</v>
      </c>
      <c r="B61" t="s">
        <v>922</v>
      </c>
      <c r="C61" t="s">
        <v>391</v>
      </c>
      <c r="D61">
        <v>1</v>
      </c>
    </row>
    <row r="62" spans="1:4" x14ac:dyDescent="0.25">
      <c r="A62" t="s">
        <v>80</v>
      </c>
      <c r="B62" t="s">
        <v>1040</v>
      </c>
      <c r="C62" t="s">
        <v>393</v>
      </c>
      <c r="D62">
        <v>3</v>
      </c>
    </row>
    <row r="63" spans="1:4" x14ac:dyDescent="0.25">
      <c r="A63" t="s">
        <v>80</v>
      </c>
      <c r="B63" t="s">
        <v>812</v>
      </c>
      <c r="C63" t="s">
        <v>504</v>
      </c>
      <c r="D63">
        <v>1</v>
      </c>
    </row>
    <row r="64" spans="1:4" x14ac:dyDescent="0.25">
      <c r="A64" t="s">
        <v>80</v>
      </c>
      <c r="B64" t="s">
        <v>146</v>
      </c>
      <c r="C64" t="s">
        <v>506</v>
      </c>
      <c r="D64">
        <v>3</v>
      </c>
    </row>
    <row r="65" spans="1:4" x14ac:dyDescent="0.25">
      <c r="A65" t="s">
        <v>80</v>
      </c>
      <c r="B65" t="s">
        <v>148</v>
      </c>
      <c r="C65" t="s">
        <v>1736</v>
      </c>
      <c r="D65">
        <v>2</v>
      </c>
    </row>
    <row r="66" spans="1:4" x14ac:dyDescent="0.25">
      <c r="A66" t="s">
        <v>80</v>
      </c>
      <c r="B66" t="s">
        <v>148</v>
      </c>
      <c r="C66" t="s">
        <v>1737</v>
      </c>
      <c r="D66">
        <v>1</v>
      </c>
    </row>
    <row r="67" spans="1:4" x14ac:dyDescent="0.25">
      <c r="A67" t="s">
        <v>80</v>
      </c>
      <c r="B67" t="s">
        <v>898</v>
      </c>
      <c r="C67" t="s">
        <v>2341</v>
      </c>
      <c r="D67">
        <v>-2</v>
      </c>
    </row>
    <row r="68" spans="1:4" x14ac:dyDescent="0.25">
      <c r="A68" t="s">
        <v>123</v>
      </c>
      <c r="B68" t="s">
        <v>823</v>
      </c>
      <c r="C68" t="s">
        <v>2342</v>
      </c>
      <c r="D68">
        <v>0</v>
      </c>
    </row>
    <row r="69" spans="1:4" x14ac:dyDescent="0.25">
      <c r="A69" t="s">
        <v>123</v>
      </c>
      <c r="B69" t="s">
        <v>359</v>
      </c>
      <c r="C69" t="s">
        <v>512</v>
      </c>
      <c r="D69">
        <v>-3</v>
      </c>
    </row>
    <row r="70" spans="1:4" x14ac:dyDescent="0.25">
      <c r="A70" t="s">
        <v>123</v>
      </c>
      <c r="B70" t="s">
        <v>1411</v>
      </c>
      <c r="C70" t="s">
        <v>653</v>
      </c>
      <c r="D70">
        <v>0</v>
      </c>
    </row>
    <row r="71" spans="1:4" x14ac:dyDescent="0.25">
      <c r="A71" t="s">
        <v>123</v>
      </c>
      <c r="B71" t="s">
        <v>1958</v>
      </c>
      <c r="C71" t="s">
        <v>851</v>
      </c>
      <c r="D71">
        <v>-3</v>
      </c>
    </row>
    <row r="72" spans="1:4" x14ac:dyDescent="0.25">
      <c r="A72" t="s">
        <v>123</v>
      </c>
      <c r="B72" t="s">
        <v>254</v>
      </c>
      <c r="C72" t="s">
        <v>658</v>
      </c>
      <c r="D72">
        <v>-1</v>
      </c>
    </row>
    <row r="73" spans="1:4" x14ac:dyDescent="0.25">
      <c r="A73" t="s">
        <v>123</v>
      </c>
      <c r="B73" t="s">
        <v>254</v>
      </c>
      <c r="C73" t="s">
        <v>659</v>
      </c>
      <c r="D73">
        <v>0</v>
      </c>
    </row>
    <row r="74" spans="1:4" x14ac:dyDescent="0.25">
      <c r="A74" t="s">
        <v>123</v>
      </c>
      <c r="B74" t="s">
        <v>517</v>
      </c>
      <c r="C74" t="s">
        <v>2343</v>
      </c>
      <c r="D74">
        <v>-2</v>
      </c>
    </row>
    <row r="75" spans="1:4" x14ac:dyDescent="0.25">
      <c r="A75" t="s">
        <v>123</v>
      </c>
      <c r="B75" t="s">
        <v>517</v>
      </c>
      <c r="C75" t="s">
        <v>2344</v>
      </c>
      <c r="D75">
        <v>-3</v>
      </c>
    </row>
    <row r="76" spans="1:4" x14ac:dyDescent="0.25">
      <c r="A76" t="s">
        <v>123</v>
      </c>
      <c r="B76" t="s">
        <v>2154</v>
      </c>
      <c r="C76" t="s">
        <v>2345</v>
      </c>
      <c r="D76">
        <v>-5</v>
      </c>
    </row>
    <row r="77" spans="1:4" x14ac:dyDescent="0.25">
      <c r="A77" t="s">
        <v>123</v>
      </c>
      <c r="B77" t="s">
        <v>1230</v>
      </c>
      <c r="C77" t="s">
        <v>527</v>
      </c>
      <c r="D77">
        <v>-2</v>
      </c>
    </row>
    <row r="78" spans="1:4" x14ac:dyDescent="0.25">
      <c r="A78" t="s">
        <v>123</v>
      </c>
      <c r="B78" t="s">
        <v>922</v>
      </c>
      <c r="C78" t="s">
        <v>2316</v>
      </c>
      <c r="D78">
        <v>-4</v>
      </c>
    </row>
    <row r="79" spans="1:4" x14ac:dyDescent="0.25">
      <c r="A79" t="s">
        <v>123</v>
      </c>
      <c r="B79" t="s">
        <v>23</v>
      </c>
      <c r="C79" t="s">
        <v>532</v>
      </c>
      <c r="D79">
        <v>-1</v>
      </c>
    </row>
    <row r="80" spans="1:4" x14ac:dyDescent="0.25">
      <c r="A80" t="s">
        <v>123</v>
      </c>
      <c r="B80" t="s">
        <v>1517</v>
      </c>
      <c r="C80" t="s">
        <v>2346</v>
      </c>
      <c r="D80">
        <v>-4</v>
      </c>
    </row>
    <row r="81" spans="1:4" x14ac:dyDescent="0.25">
      <c r="A81" t="s">
        <v>123</v>
      </c>
      <c r="B81" t="s">
        <v>990</v>
      </c>
      <c r="C81" t="s">
        <v>536</v>
      </c>
      <c r="D81">
        <v>-3</v>
      </c>
    </row>
    <row r="82" spans="1:4" x14ac:dyDescent="0.25">
      <c r="A82" t="s">
        <v>123</v>
      </c>
      <c r="B82" t="s">
        <v>477</v>
      </c>
      <c r="C82" t="s">
        <v>2347</v>
      </c>
      <c r="D82">
        <v>-1</v>
      </c>
    </row>
    <row r="83" spans="1:4" x14ac:dyDescent="0.25">
      <c r="A83" t="s">
        <v>123</v>
      </c>
      <c r="B83" t="s">
        <v>29</v>
      </c>
      <c r="C83" t="s">
        <v>2348</v>
      </c>
      <c r="D83">
        <v>-3</v>
      </c>
    </row>
    <row r="84" spans="1:4" x14ac:dyDescent="0.25">
      <c r="A84" t="s">
        <v>123</v>
      </c>
      <c r="B84" t="s">
        <v>120</v>
      </c>
      <c r="C84" t="s">
        <v>2253</v>
      </c>
      <c r="D84">
        <v>-5</v>
      </c>
    </row>
    <row r="85" spans="1:4" x14ac:dyDescent="0.25">
      <c r="A85" t="s">
        <v>123</v>
      </c>
      <c r="B85" t="s">
        <v>483</v>
      </c>
      <c r="C85" t="s">
        <v>2349</v>
      </c>
      <c r="D85">
        <v>-7</v>
      </c>
    </row>
    <row r="86" spans="1:4" x14ac:dyDescent="0.25">
      <c r="A86" t="s">
        <v>123</v>
      </c>
      <c r="B86" t="s">
        <v>1646</v>
      </c>
      <c r="C86" t="s">
        <v>867</v>
      </c>
      <c r="D86">
        <v>-6</v>
      </c>
    </row>
    <row r="87" spans="1:4" x14ac:dyDescent="0.25">
      <c r="A87" t="s">
        <v>123</v>
      </c>
      <c r="B87" t="s">
        <v>1646</v>
      </c>
      <c r="C87" t="s">
        <v>2350</v>
      </c>
      <c r="D87">
        <v>-5</v>
      </c>
    </row>
    <row r="88" spans="1:4" x14ac:dyDescent="0.25">
      <c r="A88" t="s">
        <v>123</v>
      </c>
      <c r="B88" t="s">
        <v>76</v>
      </c>
      <c r="C88" t="s">
        <v>2255</v>
      </c>
      <c r="D88">
        <v>-6</v>
      </c>
    </row>
    <row r="89" spans="1:4" x14ac:dyDescent="0.25">
      <c r="A89" t="s">
        <v>123</v>
      </c>
      <c r="B89" t="s">
        <v>1489</v>
      </c>
      <c r="C89" t="s">
        <v>2351</v>
      </c>
      <c r="D89">
        <v>-7</v>
      </c>
    </row>
    <row r="90" spans="1:4" x14ac:dyDescent="0.25">
      <c r="A90" t="s">
        <v>123</v>
      </c>
      <c r="B90" t="s">
        <v>1489</v>
      </c>
      <c r="C90" t="s">
        <v>2352</v>
      </c>
      <c r="D90">
        <v>-8</v>
      </c>
    </row>
    <row r="92" spans="1:4" x14ac:dyDescent="0.25">
      <c r="A92" s="2" t="s">
        <v>157</v>
      </c>
    </row>
    <row r="93" spans="1:4" x14ac:dyDescent="0.25">
      <c r="A93" t="s">
        <v>158</v>
      </c>
      <c r="D93">
        <f>AVERAGE(D2:D90)</f>
        <v>-0.9213483146067416</v>
      </c>
    </row>
    <row r="94" spans="1:4" x14ac:dyDescent="0.25">
      <c r="A94" t="s">
        <v>159</v>
      </c>
      <c r="D94">
        <f>MAX(D2:D90)</f>
        <v>9</v>
      </c>
    </row>
    <row r="95" spans="1:4" x14ac:dyDescent="0.25">
      <c r="A95" t="s">
        <v>160</v>
      </c>
      <c r="D95">
        <f>MIN(D2:D90)</f>
        <v>-8</v>
      </c>
    </row>
    <row r="96" spans="1:4" x14ac:dyDescent="0.25">
      <c r="A96" t="s">
        <v>161</v>
      </c>
      <c r="D96">
        <f>COUNTIF(D2:D90,"&gt;0")</f>
        <v>24</v>
      </c>
    </row>
    <row r="97" spans="1:4" x14ac:dyDescent="0.25">
      <c r="A97" t="s">
        <v>162</v>
      </c>
      <c r="D97">
        <f>COUNTIF(D2:D90,"=0")</f>
        <v>7</v>
      </c>
    </row>
    <row r="98" spans="1:4" x14ac:dyDescent="0.25">
      <c r="A98" t="s">
        <v>1491</v>
      </c>
      <c r="D98">
        <f>COUNTIF(D2:D90,"&lt;0")</f>
        <v>58</v>
      </c>
    </row>
    <row r="100" spans="1:4" x14ac:dyDescent="0.25">
      <c r="A100" s="2" t="s">
        <v>164</v>
      </c>
    </row>
    <row r="101" spans="1:4" x14ac:dyDescent="0.25">
      <c r="A101" t="s">
        <v>165</v>
      </c>
      <c r="D101">
        <f>AVERAGE(D2,D3,D4,D5,D6,D7,D8,D9,D10,D11,D12,D13,D14,D15,D16,D17,D18,D19,D20,D21,D22)</f>
        <v>-2.3809523809523809</v>
      </c>
    </row>
    <row r="102" spans="1:4" x14ac:dyDescent="0.25">
      <c r="A102" t="s">
        <v>166</v>
      </c>
      <c r="D102">
        <f>AVERAGE(D23,D24,D25,D26,D27,D28,D29,D30,D31,D32,D33,D34,D35,D36,D37,D38,D39,D40,D41,D42,D43,D44,D45,D46,D47,D48)</f>
        <v>-1.4230769230769231</v>
      </c>
    </row>
    <row r="103" spans="1:4" x14ac:dyDescent="0.25">
      <c r="A103" t="s">
        <v>167</v>
      </c>
      <c r="D103">
        <f>AVERAGE(D49,D50,D51,D52,D53,D54,D55,D56,D57,D58,D59,D60,D61,D62,D63,D64,D65,D66,D67)</f>
        <v>4.4210526315789478</v>
      </c>
    </row>
    <row r="104" spans="1:4" x14ac:dyDescent="0.25">
      <c r="A104" t="s">
        <v>168</v>
      </c>
      <c r="D104">
        <f>AVERAGE(D68,D69,D70,D71,D72,D73,D74,D75,D76,D77,D78,D79,D80,D81,D82,D83,D84,D85,D86,D87,D88,D89,D90)</f>
        <v>-3.4347826086956523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453</v>
      </c>
      <c r="C2" t="s">
        <v>6</v>
      </c>
      <c r="D2">
        <v>2</v>
      </c>
    </row>
    <row r="3" spans="1:4" x14ac:dyDescent="0.25">
      <c r="A3" t="s">
        <v>4</v>
      </c>
      <c r="B3" t="s">
        <v>857</v>
      </c>
      <c r="C3" t="s">
        <v>2353</v>
      </c>
      <c r="D3">
        <v>4</v>
      </c>
    </row>
    <row r="4" spans="1:4" x14ac:dyDescent="0.25">
      <c r="A4" t="s">
        <v>4</v>
      </c>
      <c r="B4" t="s">
        <v>859</v>
      </c>
      <c r="C4" t="s">
        <v>2354</v>
      </c>
      <c r="D4">
        <v>3</v>
      </c>
    </row>
    <row r="5" spans="1:4" x14ac:dyDescent="0.25">
      <c r="A5" t="s">
        <v>4</v>
      </c>
      <c r="B5" t="s">
        <v>859</v>
      </c>
      <c r="C5" t="s">
        <v>564</v>
      </c>
      <c r="D5">
        <v>2</v>
      </c>
    </row>
    <row r="6" spans="1:4" x14ac:dyDescent="0.25">
      <c r="A6" t="s">
        <v>4</v>
      </c>
      <c r="B6" t="s">
        <v>2355</v>
      </c>
      <c r="C6" t="s">
        <v>1347</v>
      </c>
      <c r="D6">
        <v>3</v>
      </c>
    </row>
    <row r="7" spans="1:4" x14ac:dyDescent="0.25">
      <c r="A7" t="s">
        <v>4</v>
      </c>
      <c r="B7" t="s">
        <v>2355</v>
      </c>
      <c r="C7" t="s">
        <v>176</v>
      </c>
      <c r="D7">
        <v>4</v>
      </c>
    </row>
    <row r="8" spans="1:4" x14ac:dyDescent="0.25">
      <c r="A8" t="s">
        <v>4</v>
      </c>
      <c r="B8" t="s">
        <v>759</v>
      </c>
      <c r="C8" t="s">
        <v>178</v>
      </c>
      <c r="D8">
        <v>2</v>
      </c>
    </row>
    <row r="9" spans="1:4" x14ac:dyDescent="0.25">
      <c r="A9" t="s">
        <v>4</v>
      </c>
      <c r="B9" t="s">
        <v>494</v>
      </c>
      <c r="C9" t="s">
        <v>180</v>
      </c>
      <c r="D9">
        <v>4</v>
      </c>
    </row>
    <row r="10" spans="1:4" x14ac:dyDescent="0.25">
      <c r="A10" t="s">
        <v>4</v>
      </c>
      <c r="B10" t="s">
        <v>254</v>
      </c>
      <c r="C10" t="s">
        <v>182</v>
      </c>
      <c r="D10">
        <v>5</v>
      </c>
    </row>
    <row r="11" spans="1:4" x14ac:dyDescent="0.25">
      <c r="A11" t="s">
        <v>4</v>
      </c>
      <c r="B11" t="s">
        <v>254</v>
      </c>
      <c r="C11" t="s">
        <v>183</v>
      </c>
      <c r="D11">
        <v>6</v>
      </c>
    </row>
    <row r="12" spans="1:4" x14ac:dyDescent="0.25">
      <c r="A12" t="s">
        <v>4</v>
      </c>
      <c r="B12" t="s">
        <v>19</v>
      </c>
      <c r="C12" t="s">
        <v>2356</v>
      </c>
      <c r="D12">
        <v>8</v>
      </c>
    </row>
    <row r="13" spans="1:4" x14ac:dyDescent="0.25">
      <c r="A13" t="s">
        <v>4</v>
      </c>
      <c r="B13" t="s">
        <v>263</v>
      </c>
      <c r="C13" t="s">
        <v>314</v>
      </c>
      <c r="D13">
        <v>6</v>
      </c>
    </row>
    <row r="14" spans="1:4" x14ac:dyDescent="0.25">
      <c r="A14" t="s">
        <v>4</v>
      </c>
      <c r="B14" t="s">
        <v>1016</v>
      </c>
      <c r="C14" t="s">
        <v>26</v>
      </c>
      <c r="D14">
        <v>3</v>
      </c>
    </row>
    <row r="15" spans="1:4" x14ac:dyDescent="0.25">
      <c r="A15" t="s">
        <v>4</v>
      </c>
      <c r="B15" t="s">
        <v>1040</v>
      </c>
      <c r="C15" t="s">
        <v>2155</v>
      </c>
      <c r="D15">
        <v>0</v>
      </c>
    </row>
    <row r="16" spans="1:4" x14ac:dyDescent="0.25">
      <c r="A16" t="s">
        <v>4</v>
      </c>
      <c r="B16" t="s">
        <v>1073</v>
      </c>
      <c r="C16" t="s">
        <v>1872</v>
      </c>
      <c r="D16">
        <v>2</v>
      </c>
    </row>
    <row r="17" spans="1:4" x14ac:dyDescent="0.25">
      <c r="A17" t="s">
        <v>4</v>
      </c>
      <c r="B17" t="s">
        <v>1396</v>
      </c>
      <c r="C17" t="s">
        <v>34</v>
      </c>
      <c r="D17">
        <v>0</v>
      </c>
    </row>
    <row r="18" spans="1:4" x14ac:dyDescent="0.25">
      <c r="A18" t="s">
        <v>4</v>
      </c>
      <c r="B18" t="s">
        <v>896</v>
      </c>
      <c r="C18" t="s">
        <v>35</v>
      </c>
      <c r="D18">
        <v>-1</v>
      </c>
    </row>
    <row r="19" spans="1:4" x14ac:dyDescent="0.25">
      <c r="A19" t="s">
        <v>4</v>
      </c>
      <c r="B19" t="s">
        <v>896</v>
      </c>
      <c r="C19" t="s">
        <v>2298</v>
      </c>
      <c r="D19">
        <v>-2</v>
      </c>
    </row>
    <row r="20" spans="1:4" x14ac:dyDescent="0.25">
      <c r="A20" t="s">
        <v>4</v>
      </c>
      <c r="B20" t="s">
        <v>1112</v>
      </c>
      <c r="C20" t="s">
        <v>707</v>
      </c>
      <c r="D20">
        <v>1</v>
      </c>
    </row>
    <row r="21" spans="1:4" x14ac:dyDescent="0.25">
      <c r="A21" t="s">
        <v>4</v>
      </c>
      <c r="B21" t="s">
        <v>31</v>
      </c>
      <c r="C21" t="s">
        <v>708</v>
      </c>
      <c r="D21">
        <v>3</v>
      </c>
    </row>
    <row r="22" spans="1:4" x14ac:dyDescent="0.25">
      <c r="A22" t="s">
        <v>4</v>
      </c>
      <c r="B22" t="s">
        <v>554</v>
      </c>
      <c r="C22" t="s">
        <v>790</v>
      </c>
      <c r="D22">
        <v>4</v>
      </c>
    </row>
    <row r="23" spans="1:4" x14ac:dyDescent="0.25">
      <c r="A23" t="s">
        <v>4</v>
      </c>
      <c r="B23" t="s">
        <v>675</v>
      </c>
      <c r="C23" t="s">
        <v>791</v>
      </c>
      <c r="D23">
        <v>2</v>
      </c>
    </row>
    <row r="24" spans="1:4" x14ac:dyDescent="0.25">
      <c r="A24" t="s">
        <v>4</v>
      </c>
      <c r="B24" t="s">
        <v>675</v>
      </c>
      <c r="C24" t="s">
        <v>1120</v>
      </c>
      <c r="D24">
        <v>4</v>
      </c>
    </row>
    <row r="25" spans="1:4" x14ac:dyDescent="0.25">
      <c r="A25" t="s">
        <v>40</v>
      </c>
      <c r="B25" t="s">
        <v>124</v>
      </c>
      <c r="C25" t="s">
        <v>587</v>
      </c>
      <c r="D25">
        <v>1</v>
      </c>
    </row>
    <row r="26" spans="1:4" x14ac:dyDescent="0.25">
      <c r="A26" t="s">
        <v>40</v>
      </c>
      <c r="B26" t="s">
        <v>716</v>
      </c>
      <c r="C26" t="s">
        <v>334</v>
      </c>
      <c r="D26">
        <v>3</v>
      </c>
    </row>
    <row r="27" spans="1:4" x14ac:dyDescent="0.25">
      <c r="A27" t="s">
        <v>40</v>
      </c>
      <c r="B27" t="s">
        <v>1431</v>
      </c>
      <c r="C27" t="s">
        <v>1751</v>
      </c>
      <c r="D27">
        <v>2</v>
      </c>
    </row>
    <row r="28" spans="1:4" x14ac:dyDescent="0.25">
      <c r="A28" t="s">
        <v>40</v>
      </c>
      <c r="B28" t="s">
        <v>1431</v>
      </c>
      <c r="C28" t="s">
        <v>591</v>
      </c>
      <c r="D28">
        <v>1</v>
      </c>
    </row>
    <row r="29" spans="1:4" x14ac:dyDescent="0.25">
      <c r="A29" t="s">
        <v>40</v>
      </c>
      <c r="B29" t="s">
        <v>329</v>
      </c>
      <c r="C29" t="s">
        <v>214</v>
      </c>
      <c r="D29">
        <v>3</v>
      </c>
    </row>
    <row r="30" spans="1:4" x14ac:dyDescent="0.25">
      <c r="A30" t="s">
        <v>40</v>
      </c>
      <c r="B30" t="s">
        <v>1280</v>
      </c>
      <c r="C30" t="s">
        <v>2357</v>
      </c>
      <c r="D30">
        <v>1</v>
      </c>
    </row>
    <row r="31" spans="1:4" x14ac:dyDescent="0.25">
      <c r="A31" t="s">
        <v>40</v>
      </c>
      <c r="B31" t="s">
        <v>566</v>
      </c>
      <c r="C31" t="s">
        <v>2358</v>
      </c>
      <c r="D31">
        <v>4</v>
      </c>
    </row>
    <row r="32" spans="1:4" x14ac:dyDescent="0.25">
      <c r="A32" t="s">
        <v>40</v>
      </c>
      <c r="B32" t="s">
        <v>1495</v>
      </c>
      <c r="C32" t="s">
        <v>2359</v>
      </c>
      <c r="D32">
        <v>2</v>
      </c>
    </row>
    <row r="33" spans="1:4" x14ac:dyDescent="0.25">
      <c r="A33" t="s">
        <v>40</v>
      </c>
      <c r="B33" t="s">
        <v>1776</v>
      </c>
      <c r="C33" t="s">
        <v>2360</v>
      </c>
      <c r="D33">
        <v>4</v>
      </c>
    </row>
    <row r="34" spans="1:4" x14ac:dyDescent="0.25">
      <c r="A34" t="s">
        <v>40</v>
      </c>
      <c r="B34" t="s">
        <v>941</v>
      </c>
      <c r="C34" t="s">
        <v>1128</v>
      </c>
      <c r="D34">
        <v>1</v>
      </c>
    </row>
    <row r="35" spans="1:4" x14ac:dyDescent="0.25">
      <c r="A35" t="s">
        <v>40</v>
      </c>
      <c r="B35" t="s">
        <v>943</v>
      </c>
      <c r="C35" t="s">
        <v>2361</v>
      </c>
      <c r="D35">
        <v>4</v>
      </c>
    </row>
    <row r="36" spans="1:4" x14ac:dyDescent="0.25">
      <c r="A36" t="s">
        <v>40</v>
      </c>
      <c r="B36" t="s">
        <v>729</v>
      </c>
      <c r="C36" t="s">
        <v>468</v>
      </c>
      <c r="D36">
        <v>2</v>
      </c>
    </row>
    <row r="37" spans="1:4" x14ac:dyDescent="0.25">
      <c r="A37" t="s">
        <v>40</v>
      </c>
      <c r="B37" t="s">
        <v>67</v>
      </c>
      <c r="C37" t="s">
        <v>470</v>
      </c>
      <c r="D37">
        <v>0</v>
      </c>
    </row>
    <row r="38" spans="1:4" x14ac:dyDescent="0.25">
      <c r="A38" t="s">
        <v>40</v>
      </c>
      <c r="B38" t="s">
        <v>2112</v>
      </c>
      <c r="C38" t="s">
        <v>1828</v>
      </c>
      <c r="D38">
        <v>-2</v>
      </c>
    </row>
    <row r="39" spans="1:4" x14ac:dyDescent="0.25">
      <c r="A39" t="s">
        <v>40</v>
      </c>
      <c r="B39" t="s">
        <v>2112</v>
      </c>
      <c r="C39" t="s">
        <v>2362</v>
      </c>
      <c r="D39">
        <v>-3</v>
      </c>
    </row>
    <row r="40" spans="1:4" x14ac:dyDescent="0.25">
      <c r="A40" t="s">
        <v>40</v>
      </c>
      <c r="B40" t="s">
        <v>2363</v>
      </c>
      <c r="C40" t="s">
        <v>1518</v>
      </c>
      <c r="D40">
        <v>-1</v>
      </c>
    </row>
    <row r="41" spans="1:4" x14ac:dyDescent="0.25">
      <c r="A41" t="s">
        <v>40</v>
      </c>
      <c r="B41" t="s">
        <v>552</v>
      </c>
      <c r="C41" t="s">
        <v>2304</v>
      </c>
      <c r="D41">
        <v>0</v>
      </c>
    </row>
    <row r="42" spans="1:4" x14ac:dyDescent="0.25">
      <c r="A42" t="s">
        <v>40</v>
      </c>
      <c r="B42" t="s">
        <v>552</v>
      </c>
      <c r="C42" t="s">
        <v>476</v>
      </c>
      <c r="D42">
        <v>1</v>
      </c>
    </row>
    <row r="43" spans="1:4" x14ac:dyDescent="0.25">
      <c r="A43" t="s">
        <v>40</v>
      </c>
      <c r="B43" t="s">
        <v>483</v>
      </c>
      <c r="C43" t="s">
        <v>1758</v>
      </c>
      <c r="D43">
        <v>3</v>
      </c>
    </row>
    <row r="44" spans="1:4" x14ac:dyDescent="0.25">
      <c r="A44" t="s">
        <v>40</v>
      </c>
      <c r="B44" t="s">
        <v>1627</v>
      </c>
      <c r="C44" t="s">
        <v>478</v>
      </c>
      <c r="D44">
        <v>4</v>
      </c>
    </row>
    <row r="45" spans="1:4" x14ac:dyDescent="0.25">
      <c r="A45" t="s">
        <v>40</v>
      </c>
      <c r="B45" t="s">
        <v>1627</v>
      </c>
      <c r="C45" t="s">
        <v>1593</v>
      </c>
      <c r="D45">
        <v>5</v>
      </c>
    </row>
    <row r="46" spans="1:4" x14ac:dyDescent="0.25">
      <c r="A46" t="s">
        <v>80</v>
      </c>
      <c r="B46" t="s">
        <v>795</v>
      </c>
      <c r="C46" t="s">
        <v>1673</v>
      </c>
      <c r="D46">
        <v>7</v>
      </c>
    </row>
    <row r="47" spans="1:4" x14ac:dyDescent="0.25">
      <c r="A47" t="s">
        <v>80</v>
      </c>
      <c r="B47" t="s">
        <v>1664</v>
      </c>
      <c r="C47" t="s">
        <v>2336</v>
      </c>
      <c r="D47">
        <v>5</v>
      </c>
    </row>
    <row r="48" spans="1:4" x14ac:dyDescent="0.25">
      <c r="A48" t="s">
        <v>80</v>
      </c>
      <c r="B48" t="s">
        <v>487</v>
      </c>
      <c r="C48" t="s">
        <v>2168</v>
      </c>
      <c r="D48">
        <v>7</v>
      </c>
    </row>
    <row r="49" spans="1:4" x14ac:dyDescent="0.25">
      <c r="A49" t="s">
        <v>80</v>
      </c>
      <c r="B49" t="s">
        <v>565</v>
      </c>
      <c r="C49" t="s">
        <v>1596</v>
      </c>
      <c r="D49">
        <v>10</v>
      </c>
    </row>
    <row r="50" spans="1:4" x14ac:dyDescent="0.25">
      <c r="A50" t="s">
        <v>80</v>
      </c>
      <c r="B50" t="s">
        <v>862</v>
      </c>
      <c r="C50" t="s">
        <v>2364</v>
      </c>
      <c r="D50">
        <v>12</v>
      </c>
    </row>
    <row r="51" spans="1:4" x14ac:dyDescent="0.25">
      <c r="A51" t="s">
        <v>80</v>
      </c>
      <c r="B51" t="s">
        <v>724</v>
      </c>
      <c r="C51" t="s">
        <v>1678</v>
      </c>
      <c r="D51">
        <v>10</v>
      </c>
    </row>
    <row r="52" spans="1:4" x14ac:dyDescent="0.25">
      <c r="A52" t="s">
        <v>80</v>
      </c>
      <c r="B52" t="s">
        <v>937</v>
      </c>
      <c r="C52" t="s">
        <v>2365</v>
      </c>
      <c r="D52">
        <v>13</v>
      </c>
    </row>
    <row r="53" spans="1:4" x14ac:dyDescent="0.25">
      <c r="A53" t="s">
        <v>80</v>
      </c>
      <c r="B53" t="s">
        <v>1432</v>
      </c>
      <c r="C53" t="s">
        <v>1152</v>
      </c>
      <c r="D53">
        <v>12</v>
      </c>
    </row>
    <row r="54" spans="1:4" x14ac:dyDescent="0.25">
      <c r="A54" t="s">
        <v>80</v>
      </c>
      <c r="B54" t="s">
        <v>1723</v>
      </c>
      <c r="C54" t="s">
        <v>1601</v>
      </c>
      <c r="D54">
        <v>10</v>
      </c>
    </row>
    <row r="55" spans="1:4" x14ac:dyDescent="0.25">
      <c r="A55" t="s">
        <v>80</v>
      </c>
      <c r="B55" t="s">
        <v>836</v>
      </c>
      <c r="C55" t="s">
        <v>2366</v>
      </c>
      <c r="D55">
        <v>13</v>
      </c>
    </row>
    <row r="56" spans="1:4" x14ac:dyDescent="0.25">
      <c r="A56" t="s">
        <v>80</v>
      </c>
      <c r="B56" t="s">
        <v>740</v>
      </c>
      <c r="C56" t="s">
        <v>2367</v>
      </c>
      <c r="D56">
        <v>16</v>
      </c>
    </row>
    <row r="57" spans="1:4" x14ac:dyDescent="0.25">
      <c r="A57" t="s">
        <v>80</v>
      </c>
      <c r="B57" t="s">
        <v>661</v>
      </c>
      <c r="C57" t="s">
        <v>2368</v>
      </c>
      <c r="D57">
        <v>19</v>
      </c>
    </row>
    <row r="58" spans="1:4" x14ac:dyDescent="0.25">
      <c r="A58" t="s">
        <v>80</v>
      </c>
      <c r="B58" t="s">
        <v>922</v>
      </c>
      <c r="C58" t="s">
        <v>2369</v>
      </c>
      <c r="D58">
        <v>17</v>
      </c>
    </row>
    <row r="59" spans="1:4" x14ac:dyDescent="0.25">
      <c r="A59" t="s">
        <v>80</v>
      </c>
      <c r="B59" t="s">
        <v>190</v>
      </c>
      <c r="C59" t="s">
        <v>2370</v>
      </c>
      <c r="D59">
        <v>19</v>
      </c>
    </row>
    <row r="60" spans="1:4" x14ac:dyDescent="0.25">
      <c r="A60" t="s">
        <v>80</v>
      </c>
      <c r="B60" t="s">
        <v>110</v>
      </c>
      <c r="C60" t="s">
        <v>2371</v>
      </c>
      <c r="D60">
        <v>21</v>
      </c>
    </row>
    <row r="61" spans="1:4" x14ac:dyDescent="0.25">
      <c r="A61" t="s">
        <v>80</v>
      </c>
      <c r="B61" t="s">
        <v>144</v>
      </c>
      <c r="C61" t="s">
        <v>2082</v>
      </c>
      <c r="D61">
        <v>24</v>
      </c>
    </row>
    <row r="62" spans="1:4" x14ac:dyDescent="0.25">
      <c r="A62" t="s">
        <v>80</v>
      </c>
      <c r="B62" t="s">
        <v>1882</v>
      </c>
      <c r="C62" t="s">
        <v>2372</v>
      </c>
      <c r="D62">
        <v>22</v>
      </c>
    </row>
    <row r="63" spans="1:4" x14ac:dyDescent="0.25">
      <c r="A63" t="s">
        <v>80</v>
      </c>
      <c r="B63" t="s">
        <v>1619</v>
      </c>
      <c r="C63" t="s">
        <v>2373</v>
      </c>
      <c r="D63">
        <v>23</v>
      </c>
    </row>
    <row r="64" spans="1:4" x14ac:dyDescent="0.25">
      <c r="A64" t="s">
        <v>80</v>
      </c>
      <c r="B64" t="s">
        <v>1619</v>
      </c>
      <c r="C64" t="s">
        <v>2084</v>
      </c>
      <c r="D64">
        <v>24</v>
      </c>
    </row>
    <row r="65" spans="1:4" x14ac:dyDescent="0.25">
      <c r="A65" t="s">
        <v>80</v>
      </c>
      <c r="B65" t="s">
        <v>1844</v>
      </c>
      <c r="C65" t="s">
        <v>2374</v>
      </c>
      <c r="D65">
        <v>22</v>
      </c>
    </row>
    <row r="66" spans="1:4" x14ac:dyDescent="0.25">
      <c r="A66" t="s">
        <v>80</v>
      </c>
      <c r="B66" t="s">
        <v>152</v>
      </c>
      <c r="C66" t="s">
        <v>2375</v>
      </c>
      <c r="D66">
        <v>20</v>
      </c>
    </row>
    <row r="67" spans="1:4" x14ac:dyDescent="0.25">
      <c r="A67" t="s">
        <v>80</v>
      </c>
      <c r="B67" t="s">
        <v>33</v>
      </c>
      <c r="C67" t="s">
        <v>2376</v>
      </c>
      <c r="D67">
        <v>18</v>
      </c>
    </row>
    <row r="68" spans="1:4" x14ac:dyDescent="0.25">
      <c r="A68" t="s">
        <v>123</v>
      </c>
      <c r="B68" t="s">
        <v>124</v>
      </c>
      <c r="C68" t="s">
        <v>2377</v>
      </c>
      <c r="D68">
        <v>16</v>
      </c>
    </row>
    <row r="69" spans="1:4" x14ac:dyDescent="0.25">
      <c r="A69" t="s">
        <v>123</v>
      </c>
      <c r="B69" t="s">
        <v>777</v>
      </c>
      <c r="C69" t="s">
        <v>2378</v>
      </c>
      <c r="D69">
        <v>15</v>
      </c>
    </row>
    <row r="70" spans="1:4" x14ac:dyDescent="0.25">
      <c r="A70" t="s">
        <v>123</v>
      </c>
      <c r="B70" t="s">
        <v>777</v>
      </c>
      <c r="C70" t="s">
        <v>2379</v>
      </c>
      <c r="D70">
        <v>14</v>
      </c>
    </row>
    <row r="71" spans="1:4" x14ac:dyDescent="0.25">
      <c r="A71" t="s">
        <v>123</v>
      </c>
      <c r="B71" t="s">
        <v>1545</v>
      </c>
      <c r="C71" t="s">
        <v>2380</v>
      </c>
      <c r="D71">
        <v>16</v>
      </c>
    </row>
    <row r="72" spans="1:4" x14ac:dyDescent="0.25">
      <c r="A72" t="s">
        <v>123</v>
      </c>
      <c r="B72" t="s">
        <v>1192</v>
      </c>
      <c r="C72" t="s">
        <v>981</v>
      </c>
      <c r="D72">
        <v>19</v>
      </c>
    </row>
    <row r="73" spans="1:4" x14ac:dyDescent="0.25">
      <c r="A73" t="s">
        <v>123</v>
      </c>
      <c r="B73" t="s">
        <v>800</v>
      </c>
      <c r="C73" t="s">
        <v>982</v>
      </c>
      <c r="D73">
        <v>21</v>
      </c>
    </row>
    <row r="74" spans="1:4" x14ac:dyDescent="0.25">
      <c r="A74" t="s">
        <v>123</v>
      </c>
      <c r="B74" t="s">
        <v>568</v>
      </c>
      <c r="C74" t="s">
        <v>2381</v>
      </c>
      <c r="D74">
        <v>22</v>
      </c>
    </row>
    <row r="75" spans="1:4" x14ac:dyDescent="0.25">
      <c r="A75" t="s">
        <v>123</v>
      </c>
      <c r="B75" t="s">
        <v>179</v>
      </c>
      <c r="C75" t="s">
        <v>2382</v>
      </c>
      <c r="D75">
        <v>23</v>
      </c>
    </row>
    <row r="76" spans="1:4" x14ac:dyDescent="0.25">
      <c r="A76" t="s">
        <v>123</v>
      </c>
      <c r="B76" t="s">
        <v>405</v>
      </c>
      <c r="C76" t="s">
        <v>2383</v>
      </c>
      <c r="D76">
        <v>21</v>
      </c>
    </row>
    <row r="77" spans="1:4" x14ac:dyDescent="0.25">
      <c r="A77" t="s">
        <v>123</v>
      </c>
      <c r="B77" t="s">
        <v>93</v>
      </c>
      <c r="C77" t="s">
        <v>2096</v>
      </c>
      <c r="D77">
        <v>22</v>
      </c>
    </row>
    <row r="78" spans="1:4" x14ac:dyDescent="0.25">
      <c r="A78" t="s">
        <v>123</v>
      </c>
      <c r="B78" t="s">
        <v>368</v>
      </c>
      <c r="C78" t="s">
        <v>2384</v>
      </c>
      <c r="D78">
        <v>20</v>
      </c>
    </row>
    <row r="79" spans="1:4" x14ac:dyDescent="0.25">
      <c r="A79" t="s">
        <v>123</v>
      </c>
      <c r="B79" t="s">
        <v>1228</v>
      </c>
      <c r="C79" t="s">
        <v>2385</v>
      </c>
      <c r="D79">
        <v>21</v>
      </c>
    </row>
    <row r="80" spans="1:4" x14ac:dyDescent="0.25">
      <c r="A80" t="s">
        <v>123</v>
      </c>
      <c r="B80" t="s">
        <v>1228</v>
      </c>
      <c r="C80" t="s">
        <v>2386</v>
      </c>
      <c r="D80">
        <v>22</v>
      </c>
    </row>
    <row r="81" spans="1:4" x14ac:dyDescent="0.25">
      <c r="A81" t="s">
        <v>123</v>
      </c>
      <c r="B81" t="s">
        <v>1228</v>
      </c>
      <c r="C81" t="s">
        <v>2031</v>
      </c>
      <c r="D81">
        <v>23</v>
      </c>
    </row>
    <row r="82" spans="1:4" x14ac:dyDescent="0.25">
      <c r="A82" t="s">
        <v>123</v>
      </c>
      <c r="B82" t="s">
        <v>943</v>
      </c>
      <c r="C82" t="s">
        <v>2033</v>
      </c>
      <c r="D82">
        <v>25</v>
      </c>
    </row>
    <row r="83" spans="1:4" x14ac:dyDescent="0.25">
      <c r="A83" t="s">
        <v>123</v>
      </c>
      <c r="B83" t="s">
        <v>701</v>
      </c>
      <c r="C83" t="s">
        <v>2099</v>
      </c>
      <c r="D83">
        <v>27</v>
      </c>
    </row>
    <row r="84" spans="1:4" x14ac:dyDescent="0.25">
      <c r="A84" t="s">
        <v>123</v>
      </c>
      <c r="B84" t="s">
        <v>1040</v>
      </c>
      <c r="C84" t="s">
        <v>2387</v>
      </c>
      <c r="D84">
        <v>30</v>
      </c>
    </row>
    <row r="85" spans="1:4" x14ac:dyDescent="0.25">
      <c r="A85" t="s">
        <v>123</v>
      </c>
      <c r="B85" t="s">
        <v>1739</v>
      </c>
      <c r="C85" t="s">
        <v>1426</v>
      </c>
      <c r="D85">
        <v>32</v>
      </c>
    </row>
    <row r="86" spans="1:4" x14ac:dyDescent="0.25">
      <c r="A86" t="s">
        <v>123</v>
      </c>
      <c r="B86" t="s">
        <v>444</v>
      </c>
      <c r="C86" t="s">
        <v>1427</v>
      </c>
      <c r="D86">
        <v>29</v>
      </c>
    </row>
    <row r="87" spans="1:4" x14ac:dyDescent="0.25">
      <c r="A87" t="s">
        <v>123</v>
      </c>
      <c r="B87" t="s">
        <v>896</v>
      </c>
      <c r="C87" t="s">
        <v>2388</v>
      </c>
      <c r="D87">
        <v>32</v>
      </c>
    </row>
    <row r="88" spans="1:4" x14ac:dyDescent="0.25">
      <c r="A88" t="s">
        <v>123</v>
      </c>
      <c r="B88" t="s">
        <v>1177</v>
      </c>
      <c r="C88" t="s">
        <v>2389</v>
      </c>
      <c r="D88">
        <v>30</v>
      </c>
    </row>
    <row r="89" spans="1:4" x14ac:dyDescent="0.25">
      <c r="A89" t="s">
        <v>123</v>
      </c>
      <c r="B89" t="s">
        <v>2390</v>
      </c>
      <c r="C89" t="s">
        <v>2391</v>
      </c>
      <c r="D89">
        <v>32</v>
      </c>
    </row>
    <row r="90" spans="1:4" x14ac:dyDescent="0.25">
      <c r="A90" t="s">
        <v>123</v>
      </c>
      <c r="B90" t="s">
        <v>1356</v>
      </c>
      <c r="C90" t="s">
        <v>2043</v>
      </c>
      <c r="D90">
        <v>29</v>
      </c>
    </row>
    <row r="91" spans="1:4" x14ac:dyDescent="0.25">
      <c r="A91" t="s">
        <v>123</v>
      </c>
      <c r="B91" t="s">
        <v>346</v>
      </c>
      <c r="C91" t="s">
        <v>2392</v>
      </c>
      <c r="D91">
        <v>31</v>
      </c>
    </row>
    <row r="92" spans="1:4" x14ac:dyDescent="0.25">
      <c r="A92" t="s">
        <v>123</v>
      </c>
      <c r="B92" t="s">
        <v>1874</v>
      </c>
      <c r="C92" t="s">
        <v>2393</v>
      </c>
      <c r="D92">
        <v>33</v>
      </c>
    </row>
    <row r="93" spans="1:4" x14ac:dyDescent="0.25">
      <c r="A93" t="s">
        <v>123</v>
      </c>
      <c r="B93" t="s">
        <v>1261</v>
      </c>
      <c r="C93" t="s">
        <v>2394</v>
      </c>
      <c r="D93">
        <v>35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11.782608695652174</v>
      </c>
    </row>
    <row r="97" spans="1:4" x14ac:dyDescent="0.25">
      <c r="A97" t="s">
        <v>159</v>
      </c>
      <c r="D97">
        <f>MAX(D2:D93)</f>
        <v>35</v>
      </c>
    </row>
    <row r="98" spans="1:4" x14ac:dyDescent="0.25">
      <c r="A98" t="s">
        <v>160</v>
      </c>
      <c r="D98">
        <f>MIN(D2:D93)</f>
        <v>-3</v>
      </c>
    </row>
    <row r="99" spans="1:4" x14ac:dyDescent="0.25">
      <c r="A99" t="s">
        <v>161</v>
      </c>
      <c r="D99">
        <f>COUNTIF(D2:D93,"&gt;0")</f>
        <v>83</v>
      </c>
    </row>
    <row r="100" spans="1:4" x14ac:dyDescent="0.25">
      <c r="A100" t="s">
        <v>162</v>
      </c>
      <c r="D100">
        <f>COUNTIF(D2:D93,"=0")</f>
        <v>4</v>
      </c>
    </row>
    <row r="101" spans="1:4" x14ac:dyDescent="0.25">
      <c r="A101" t="s">
        <v>1264</v>
      </c>
      <c r="D101">
        <f>COUNTIF(D2:D93,"&lt;0")</f>
        <v>5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AVERAGE(D2,D3,D4,D5,D6,D7,D8,D9,D10,D11,D12,D13,D14,D15,D16,D17,D18,D19,D20,D21,D22,D23,D24)</f>
        <v>2.8260869565217392</v>
      </c>
    </row>
    <row r="105" spans="1:4" x14ac:dyDescent="0.25">
      <c r="A105" t="s">
        <v>166</v>
      </c>
      <c r="D105">
        <f>AVERAGE(D25,D26,D27,D28,D29,D30,D31,D32,D33,D34,D35,D36,D37,D38,D39,D40,D41,D42,D43,D44,D45)</f>
        <v>1.6666666666666667</v>
      </c>
    </row>
    <row r="106" spans="1:4" x14ac:dyDescent="0.25">
      <c r="A106" t="s">
        <v>167</v>
      </c>
      <c r="D106">
        <f>AVERAGE(D46,D47,D48,D49,D50,D51,D52,D53,D54,D55,D56,D57,D58,D59,D60,D61,D62,D63,D64,D65,D66,D67)</f>
        <v>15.636363636363637</v>
      </c>
    </row>
    <row r="107" spans="1:4" x14ac:dyDescent="0.25">
      <c r="A107" t="s">
        <v>168</v>
      </c>
      <c r="D107">
        <f>AVERAGE(D68,D69,D70,D71,D72,D73,D74,D75,D76,D77,D78,D79,D80,D81,D82,D83,D84,D85,D86,D87,D88,D89,D90,D91,D92,D93)</f>
        <v>24.615384615384617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1648</v>
      </c>
      <c r="C2" t="s">
        <v>1008</v>
      </c>
      <c r="D2">
        <v>-3</v>
      </c>
    </row>
    <row r="3" spans="1:4" x14ac:dyDescent="0.25">
      <c r="A3" t="s">
        <v>4</v>
      </c>
      <c r="B3" t="s">
        <v>1666</v>
      </c>
      <c r="C3" t="s">
        <v>306</v>
      </c>
      <c r="D3">
        <v>-1</v>
      </c>
    </row>
    <row r="4" spans="1:4" x14ac:dyDescent="0.25">
      <c r="A4" t="s">
        <v>4</v>
      </c>
      <c r="B4" t="s">
        <v>954</v>
      </c>
      <c r="C4" t="s">
        <v>1869</v>
      </c>
      <c r="D4">
        <v>-3</v>
      </c>
    </row>
    <row r="5" spans="1:4" x14ac:dyDescent="0.25">
      <c r="A5" t="s">
        <v>4</v>
      </c>
      <c r="B5" t="s">
        <v>1029</v>
      </c>
      <c r="C5" t="s">
        <v>1870</v>
      </c>
      <c r="D5">
        <v>-5</v>
      </c>
    </row>
    <row r="6" spans="1:4" x14ac:dyDescent="0.25">
      <c r="A6" t="s">
        <v>4</v>
      </c>
      <c r="B6" t="s">
        <v>570</v>
      </c>
      <c r="C6" t="s">
        <v>14</v>
      </c>
      <c r="D6">
        <v>-3</v>
      </c>
    </row>
    <row r="7" spans="1:4" x14ac:dyDescent="0.25">
      <c r="A7" t="s">
        <v>4</v>
      </c>
      <c r="B7" t="s">
        <v>1069</v>
      </c>
      <c r="C7" t="s">
        <v>16</v>
      </c>
      <c r="D7">
        <v>-1</v>
      </c>
    </row>
    <row r="8" spans="1:4" x14ac:dyDescent="0.25">
      <c r="A8" t="s">
        <v>4</v>
      </c>
      <c r="B8" t="s">
        <v>729</v>
      </c>
      <c r="C8" t="s">
        <v>2153</v>
      </c>
      <c r="D8">
        <v>-3</v>
      </c>
    </row>
    <row r="9" spans="1:4" x14ac:dyDescent="0.25">
      <c r="A9" t="s">
        <v>4</v>
      </c>
      <c r="B9" t="s">
        <v>142</v>
      </c>
      <c r="C9" t="s">
        <v>1697</v>
      </c>
      <c r="D9">
        <v>-6</v>
      </c>
    </row>
    <row r="10" spans="1:4" x14ac:dyDescent="0.25">
      <c r="A10" t="s">
        <v>4</v>
      </c>
      <c r="B10" t="s">
        <v>440</v>
      </c>
      <c r="C10" t="s">
        <v>1433</v>
      </c>
      <c r="D10">
        <v>-3</v>
      </c>
    </row>
    <row r="11" spans="1:4" x14ac:dyDescent="0.25">
      <c r="A11" t="s">
        <v>4</v>
      </c>
      <c r="B11" t="s">
        <v>2048</v>
      </c>
      <c r="C11" t="s">
        <v>2395</v>
      </c>
      <c r="D11">
        <v>-6</v>
      </c>
    </row>
    <row r="12" spans="1:4" x14ac:dyDescent="0.25">
      <c r="A12" t="s">
        <v>4</v>
      </c>
      <c r="B12" t="s">
        <v>228</v>
      </c>
      <c r="C12" t="s">
        <v>2396</v>
      </c>
      <c r="D12">
        <v>-8</v>
      </c>
    </row>
    <row r="13" spans="1:4" x14ac:dyDescent="0.25">
      <c r="A13" t="s">
        <v>4</v>
      </c>
      <c r="B13" t="s">
        <v>29</v>
      </c>
      <c r="C13" t="s">
        <v>2397</v>
      </c>
      <c r="D13">
        <v>-6</v>
      </c>
    </row>
    <row r="14" spans="1:4" x14ac:dyDescent="0.25">
      <c r="A14" t="s">
        <v>4</v>
      </c>
      <c r="B14" t="s">
        <v>1019</v>
      </c>
      <c r="C14" t="s">
        <v>2398</v>
      </c>
      <c r="D14">
        <v>-9</v>
      </c>
    </row>
    <row r="15" spans="1:4" x14ac:dyDescent="0.25">
      <c r="A15" t="s">
        <v>4</v>
      </c>
      <c r="B15" t="s">
        <v>294</v>
      </c>
      <c r="C15" t="s">
        <v>2399</v>
      </c>
      <c r="D15">
        <v>-10</v>
      </c>
    </row>
    <row r="16" spans="1:4" x14ac:dyDescent="0.25">
      <c r="A16" t="s">
        <v>4</v>
      </c>
      <c r="B16" t="s">
        <v>294</v>
      </c>
      <c r="C16" t="s">
        <v>2400</v>
      </c>
      <c r="D16">
        <v>-11</v>
      </c>
    </row>
    <row r="17" spans="1:4" x14ac:dyDescent="0.25">
      <c r="A17" t="s">
        <v>4</v>
      </c>
      <c r="B17" t="s">
        <v>675</v>
      </c>
      <c r="C17" t="s">
        <v>2401</v>
      </c>
      <c r="D17">
        <v>-13</v>
      </c>
    </row>
    <row r="18" spans="1:4" x14ac:dyDescent="0.25">
      <c r="A18" t="s">
        <v>4</v>
      </c>
      <c r="B18" t="s">
        <v>322</v>
      </c>
      <c r="C18" t="s">
        <v>2402</v>
      </c>
      <c r="D18">
        <v>-11</v>
      </c>
    </row>
    <row r="19" spans="1:4" x14ac:dyDescent="0.25">
      <c r="A19" t="s">
        <v>4</v>
      </c>
      <c r="B19" t="s">
        <v>1627</v>
      </c>
      <c r="C19" t="s">
        <v>2403</v>
      </c>
      <c r="D19">
        <v>-8</v>
      </c>
    </row>
    <row r="20" spans="1:4" x14ac:dyDescent="0.25">
      <c r="A20" t="s">
        <v>40</v>
      </c>
      <c r="B20" t="s">
        <v>2355</v>
      </c>
      <c r="C20" t="s">
        <v>2404</v>
      </c>
      <c r="D20">
        <v>-6</v>
      </c>
    </row>
    <row r="21" spans="1:4" x14ac:dyDescent="0.25">
      <c r="A21" t="s">
        <v>40</v>
      </c>
      <c r="B21" t="s">
        <v>2405</v>
      </c>
      <c r="C21" t="s">
        <v>2406</v>
      </c>
      <c r="D21">
        <v>-9</v>
      </c>
    </row>
    <row r="22" spans="1:4" x14ac:dyDescent="0.25">
      <c r="A22" t="s">
        <v>40</v>
      </c>
      <c r="B22" t="s">
        <v>361</v>
      </c>
      <c r="C22" t="s">
        <v>2407</v>
      </c>
      <c r="D22">
        <v>-12</v>
      </c>
    </row>
    <row r="23" spans="1:4" x14ac:dyDescent="0.25">
      <c r="A23" t="s">
        <v>40</v>
      </c>
      <c r="B23" t="s">
        <v>645</v>
      </c>
      <c r="C23" t="s">
        <v>1658</v>
      </c>
      <c r="D23">
        <v>-9</v>
      </c>
    </row>
    <row r="24" spans="1:4" x14ac:dyDescent="0.25">
      <c r="A24" t="s">
        <v>40</v>
      </c>
      <c r="B24" t="s">
        <v>335</v>
      </c>
      <c r="C24" t="s">
        <v>801</v>
      </c>
      <c r="D24">
        <v>-7</v>
      </c>
    </row>
    <row r="25" spans="1:4" x14ac:dyDescent="0.25">
      <c r="A25" t="s">
        <v>40</v>
      </c>
      <c r="B25" t="s">
        <v>1284</v>
      </c>
      <c r="C25" t="s">
        <v>2408</v>
      </c>
      <c r="D25">
        <v>-8</v>
      </c>
    </row>
    <row r="26" spans="1:4" x14ac:dyDescent="0.25">
      <c r="A26" t="s">
        <v>40</v>
      </c>
      <c r="B26" t="s">
        <v>1284</v>
      </c>
      <c r="C26" t="s">
        <v>2409</v>
      </c>
      <c r="D26">
        <v>-9</v>
      </c>
    </row>
    <row r="27" spans="1:4" x14ac:dyDescent="0.25">
      <c r="A27" t="s">
        <v>40</v>
      </c>
      <c r="B27" t="s">
        <v>140</v>
      </c>
      <c r="C27" t="s">
        <v>2410</v>
      </c>
      <c r="D27">
        <v>-7</v>
      </c>
    </row>
    <row r="28" spans="1:4" x14ac:dyDescent="0.25">
      <c r="A28" t="s">
        <v>40</v>
      </c>
      <c r="B28" t="s">
        <v>539</v>
      </c>
      <c r="C28" t="s">
        <v>2126</v>
      </c>
      <c r="D28">
        <v>-4</v>
      </c>
    </row>
    <row r="29" spans="1:4" x14ac:dyDescent="0.25">
      <c r="A29" t="s">
        <v>40</v>
      </c>
      <c r="B29" t="s">
        <v>1795</v>
      </c>
      <c r="C29" t="s">
        <v>603</v>
      </c>
      <c r="D29">
        <v>-6</v>
      </c>
    </row>
    <row r="30" spans="1:4" x14ac:dyDescent="0.25">
      <c r="A30" t="s">
        <v>40</v>
      </c>
      <c r="B30" t="s">
        <v>1038</v>
      </c>
      <c r="C30" t="s">
        <v>1515</v>
      </c>
      <c r="D30">
        <v>-3</v>
      </c>
    </row>
    <row r="31" spans="1:4" x14ac:dyDescent="0.25">
      <c r="A31" t="s">
        <v>40</v>
      </c>
      <c r="B31" t="s">
        <v>288</v>
      </c>
      <c r="C31" t="s">
        <v>2128</v>
      </c>
      <c r="D31">
        <v>-5</v>
      </c>
    </row>
    <row r="32" spans="1:4" x14ac:dyDescent="0.25">
      <c r="A32" t="s">
        <v>40</v>
      </c>
      <c r="B32" t="s">
        <v>290</v>
      </c>
      <c r="C32" t="s">
        <v>2213</v>
      </c>
      <c r="D32">
        <v>-7</v>
      </c>
    </row>
    <row r="33" spans="1:4" x14ac:dyDescent="0.25">
      <c r="A33" t="s">
        <v>40</v>
      </c>
      <c r="B33" t="s">
        <v>292</v>
      </c>
      <c r="C33" t="s">
        <v>1719</v>
      </c>
      <c r="D33">
        <v>-5</v>
      </c>
    </row>
    <row r="34" spans="1:4" x14ac:dyDescent="0.25">
      <c r="A34" t="s">
        <v>40</v>
      </c>
      <c r="B34" t="s">
        <v>1988</v>
      </c>
      <c r="C34" t="s">
        <v>2411</v>
      </c>
      <c r="D34">
        <v>-8</v>
      </c>
    </row>
    <row r="35" spans="1:4" x14ac:dyDescent="0.25">
      <c r="A35" t="s">
        <v>40</v>
      </c>
      <c r="B35" t="s">
        <v>1733</v>
      </c>
      <c r="C35" t="s">
        <v>2412</v>
      </c>
      <c r="D35">
        <v>-5</v>
      </c>
    </row>
    <row r="36" spans="1:4" x14ac:dyDescent="0.25">
      <c r="A36" t="s">
        <v>40</v>
      </c>
      <c r="B36" t="s">
        <v>38</v>
      </c>
      <c r="C36" t="s">
        <v>2413</v>
      </c>
      <c r="D36">
        <v>-2</v>
      </c>
    </row>
    <row r="37" spans="1:4" x14ac:dyDescent="0.25">
      <c r="A37" t="s">
        <v>80</v>
      </c>
      <c r="B37" t="s">
        <v>487</v>
      </c>
      <c r="C37" t="s">
        <v>2218</v>
      </c>
      <c r="D37">
        <v>-3</v>
      </c>
    </row>
    <row r="38" spans="1:4" x14ac:dyDescent="0.25">
      <c r="A38" t="s">
        <v>80</v>
      </c>
      <c r="B38" t="s">
        <v>954</v>
      </c>
      <c r="C38" t="s">
        <v>2414</v>
      </c>
      <c r="D38">
        <v>-5</v>
      </c>
    </row>
    <row r="39" spans="1:4" x14ac:dyDescent="0.25">
      <c r="A39" t="s">
        <v>80</v>
      </c>
      <c r="B39" t="s">
        <v>912</v>
      </c>
      <c r="C39" t="s">
        <v>619</v>
      </c>
      <c r="D39">
        <v>-7</v>
      </c>
    </row>
    <row r="40" spans="1:4" x14ac:dyDescent="0.25">
      <c r="A40" t="s">
        <v>80</v>
      </c>
      <c r="B40" t="s">
        <v>275</v>
      </c>
      <c r="C40" t="s">
        <v>92</v>
      </c>
      <c r="D40">
        <v>-5</v>
      </c>
    </row>
    <row r="41" spans="1:4" x14ac:dyDescent="0.25">
      <c r="A41" t="s">
        <v>80</v>
      </c>
      <c r="B41" t="s">
        <v>804</v>
      </c>
      <c r="C41" t="s">
        <v>94</v>
      </c>
      <c r="D41">
        <v>-4</v>
      </c>
    </row>
    <row r="42" spans="1:4" x14ac:dyDescent="0.25">
      <c r="A42" t="s">
        <v>80</v>
      </c>
      <c r="B42" t="s">
        <v>804</v>
      </c>
      <c r="C42" t="s">
        <v>1763</v>
      </c>
      <c r="D42">
        <v>-3</v>
      </c>
    </row>
    <row r="43" spans="1:4" x14ac:dyDescent="0.25">
      <c r="A43" t="s">
        <v>80</v>
      </c>
      <c r="B43" t="s">
        <v>804</v>
      </c>
      <c r="C43" t="s">
        <v>2415</v>
      </c>
      <c r="D43">
        <v>-2</v>
      </c>
    </row>
    <row r="44" spans="1:4" x14ac:dyDescent="0.25">
      <c r="A44" t="s">
        <v>80</v>
      </c>
      <c r="B44" t="s">
        <v>219</v>
      </c>
      <c r="C44" t="s">
        <v>2416</v>
      </c>
      <c r="D44">
        <v>-3</v>
      </c>
    </row>
    <row r="45" spans="1:4" x14ac:dyDescent="0.25">
      <c r="A45" t="s">
        <v>80</v>
      </c>
      <c r="B45" t="s">
        <v>219</v>
      </c>
      <c r="C45" t="s">
        <v>624</v>
      </c>
      <c r="D45">
        <v>-4</v>
      </c>
    </row>
    <row r="46" spans="1:4" x14ac:dyDescent="0.25">
      <c r="A46" t="s">
        <v>80</v>
      </c>
      <c r="B46" t="s">
        <v>1170</v>
      </c>
      <c r="C46" t="s">
        <v>626</v>
      </c>
      <c r="D46">
        <v>-5</v>
      </c>
    </row>
    <row r="47" spans="1:4" x14ac:dyDescent="0.25">
      <c r="A47" t="s">
        <v>80</v>
      </c>
      <c r="B47" t="s">
        <v>1170</v>
      </c>
      <c r="C47" t="s">
        <v>100</v>
      </c>
      <c r="D47">
        <v>-6</v>
      </c>
    </row>
    <row r="48" spans="1:4" x14ac:dyDescent="0.25">
      <c r="A48" t="s">
        <v>80</v>
      </c>
      <c r="B48" t="s">
        <v>101</v>
      </c>
      <c r="C48" t="s">
        <v>102</v>
      </c>
      <c r="D48">
        <v>-7</v>
      </c>
    </row>
    <row r="49" spans="1:4" x14ac:dyDescent="0.25">
      <c r="A49" t="s">
        <v>80</v>
      </c>
      <c r="B49" t="s">
        <v>101</v>
      </c>
      <c r="C49" t="s">
        <v>103</v>
      </c>
      <c r="D49">
        <v>-8</v>
      </c>
    </row>
    <row r="50" spans="1:4" x14ac:dyDescent="0.25">
      <c r="A50" t="s">
        <v>80</v>
      </c>
      <c r="B50" t="s">
        <v>541</v>
      </c>
      <c r="C50" t="s">
        <v>105</v>
      </c>
      <c r="D50">
        <v>-5</v>
      </c>
    </row>
    <row r="51" spans="1:4" x14ac:dyDescent="0.25">
      <c r="A51" t="s">
        <v>80</v>
      </c>
      <c r="B51" t="s">
        <v>190</v>
      </c>
      <c r="C51" t="s">
        <v>2417</v>
      </c>
      <c r="D51">
        <v>-6</v>
      </c>
    </row>
    <row r="52" spans="1:4" x14ac:dyDescent="0.25">
      <c r="A52" t="s">
        <v>80</v>
      </c>
      <c r="B52" t="s">
        <v>1700</v>
      </c>
      <c r="C52" t="s">
        <v>2418</v>
      </c>
      <c r="D52">
        <v>-8</v>
      </c>
    </row>
    <row r="53" spans="1:4" x14ac:dyDescent="0.25">
      <c r="A53" t="s">
        <v>80</v>
      </c>
      <c r="B53" t="s">
        <v>288</v>
      </c>
      <c r="C53" t="s">
        <v>265</v>
      </c>
      <c r="D53">
        <v>-6</v>
      </c>
    </row>
    <row r="54" spans="1:4" x14ac:dyDescent="0.25">
      <c r="A54" t="s">
        <v>80</v>
      </c>
      <c r="B54" t="s">
        <v>386</v>
      </c>
      <c r="C54" t="s">
        <v>2227</v>
      </c>
      <c r="D54">
        <v>-5</v>
      </c>
    </row>
    <row r="55" spans="1:4" x14ac:dyDescent="0.25">
      <c r="A55" t="s">
        <v>80</v>
      </c>
      <c r="B55" t="s">
        <v>1398</v>
      </c>
      <c r="C55" t="s">
        <v>835</v>
      </c>
      <c r="D55">
        <v>-8</v>
      </c>
    </row>
    <row r="56" spans="1:4" x14ac:dyDescent="0.25">
      <c r="A56" t="s">
        <v>80</v>
      </c>
      <c r="B56" t="s">
        <v>1048</v>
      </c>
      <c r="C56" t="s">
        <v>837</v>
      </c>
      <c r="D56">
        <v>-6</v>
      </c>
    </row>
    <row r="57" spans="1:4" x14ac:dyDescent="0.25">
      <c r="A57" t="s">
        <v>80</v>
      </c>
      <c r="B57" t="s">
        <v>732</v>
      </c>
      <c r="C57" t="s">
        <v>838</v>
      </c>
      <c r="D57">
        <v>-3</v>
      </c>
    </row>
    <row r="58" spans="1:4" x14ac:dyDescent="0.25">
      <c r="A58" t="s">
        <v>80</v>
      </c>
      <c r="B58" t="s">
        <v>72</v>
      </c>
      <c r="C58" t="s">
        <v>1235</v>
      </c>
      <c r="D58">
        <v>-6</v>
      </c>
    </row>
    <row r="59" spans="1:4" x14ac:dyDescent="0.25">
      <c r="A59" t="s">
        <v>123</v>
      </c>
      <c r="B59" t="s">
        <v>2419</v>
      </c>
      <c r="C59" t="s">
        <v>2420</v>
      </c>
      <c r="D59">
        <v>-8</v>
      </c>
    </row>
    <row r="60" spans="1:4" x14ac:dyDescent="0.25">
      <c r="A60" t="s">
        <v>123</v>
      </c>
      <c r="B60" t="s">
        <v>2421</v>
      </c>
      <c r="C60" t="s">
        <v>1238</v>
      </c>
      <c r="D60">
        <v>-5</v>
      </c>
    </row>
    <row r="61" spans="1:4" x14ac:dyDescent="0.25">
      <c r="A61" t="s">
        <v>123</v>
      </c>
      <c r="B61" t="s">
        <v>1266</v>
      </c>
      <c r="C61" t="s">
        <v>758</v>
      </c>
      <c r="D61">
        <v>-2</v>
      </c>
    </row>
    <row r="62" spans="1:4" x14ac:dyDescent="0.25">
      <c r="A62" t="s">
        <v>123</v>
      </c>
      <c r="B62" t="s">
        <v>616</v>
      </c>
      <c r="C62" t="s">
        <v>1537</v>
      </c>
      <c r="D62">
        <v>-4</v>
      </c>
    </row>
    <row r="63" spans="1:4" x14ac:dyDescent="0.25">
      <c r="A63" t="s">
        <v>123</v>
      </c>
      <c r="B63" t="s">
        <v>643</v>
      </c>
      <c r="C63" t="s">
        <v>1538</v>
      </c>
      <c r="D63">
        <v>-5</v>
      </c>
    </row>
    <row r="64" spans="1:4" x14ac:dyDescent="0.25">
      <c r="A64" t="s">
        <v>123</v>
      </c>
      <c r="B64" t="s">
        <v>832</v>
      </c>
      <c r="C64" t="s">
        <v>282</v>
      </c>
      <c r="D64">
        <v>-6</v>
      </c>
    </row>
    <row r="65" spans="1:4" x14ac:dyDescent="0.25">
      <c r="A65" t="s">
        <v>123</v>
      </c>
      <c r="B65" t="s">
        <v>1013</v>
      </c>
      <c r="C65" t="s">
        <v>2422</v>
      </c>
      <c r="D65">
        <v>-3</v>
      </c>
    </row>
    <row r="66" spans="1:4" x14ac:dyDescent="0.25">
      <c r="A66" t="s">
        <v>123</v>
      </c>
      <c r="B66" t="s">
        <v>1090</v>
      </c>
      <c r="C66" t="s">
        <v>2313</v>
      </c>
      <c r="D66">
        <v>-4</v>
      </c>
    </row>
    <row r="67" spans="1:4" x14ac:dyDescent="0.25">
      <c r="A67" t="s">
        <v>123</v>
      </c>
      <c r="B67" t="s">
        <v>106</v>
      </c>
      <c r="C67" t="s">
        <v>2423</v>
      </c>
      <c r="D67">
        <v>-7</v>
      </c>
    </row>
    <row r="68" spans="1:4" x14ac:dyDescent="0.25">
      <c r="A68" t="s">
        <v>123</v>
      </c>
      <c r="B68" t="s">
        <v>442</v>
      </c>
      <c r="C68" t="s">
        <v>2240</v>
      </c>
      <c r="D68">
        <v>-6</v>
      </c>
    </row>
    <row r="69" spans="1:4" x14ac:dyDescent="0.25">
      <c r="A69" t="s">
        <v>123</v>
      </c>
      <c r="B69" t="s">
        <v>442</v>
      </c>
      <c r="C69" t="s">
        <v>2315</v>
      </c>
      <c r="D69">
        <v>-5</v>
      </c>
    </row>
    <row r="70" spans="1:4" x14ac:dyDescent="0.25">
      <c r="A70" t="s">
        <v>123</v>
      </c>
      <c r="B70" t="s">
        <v>70</v>
      </c>
      <c r="C70" t="s">
        <v>2424</v>
      </c>
      <c r="D70">
        <v>-7</v>
      </c>
    </row>
    <row r="71" spans="1:4" x14ac:dyDescent="0.25">
      <c r="A71" t="s">
        <v>123</v>
      </c>
      <c r="B71" t="s">
        <v>70</v>
      </c>
      <c r="C71" t="s">
        <v>2425</v>
      </c>
      <c r="D71">
        <v>-8</v>
      </c>
    </row>
    <row r="72" spans="1:4" x14ac:dyDescent="0.25">
      <c r="A72" t="s">
        <v>123</v>
      </c>
      <c r="B72" t="s">
        <v>671</v>
      </c>
      <c r="C72" t="s">
        <v>2146</v>
      </c>
      <c r="D72">
        <v>-7</v>
      </c>
    </row>
    <row r="73" spans="1:4" x14ac:dyDescent="0.25">
      <c r="A73" t="s">
        <v>123</v>
      </c>
      <c r="B73" t="s">
        <v>29</v>
      </c>
      <c r="C73" t="s">
        <v>289</v>
      </c>
      <c r="D73">
        <v>-8</v>
      </c>
    </row>
    <row r="74" spans="1:4" x14ac:dyDescent="0.25">
      <c r="A74" t="s">
        <v>123</v>
      </c>
      <c r="B74" t="s">
        <v>1356</v>
      </c>
      <c r="C74" t="s">
        <v>2426</v>
      </c>
      <c r="D74">
        <v>-9</v>
      </c>
    </row>
    <row r="75" spans="1:4" x14ac:dyDescent="0.25">
      <c r="A75" t="s">
        <v>123</v>
      </c>
      <c r="B75" t="s">
        <v>1356</v>
      </c>
      <c r="C75" t="s">
        <v>291</v>
      </c>
      <c r="D75">
        <v>-10</v>
      </c>
    </row>
    <row r="76" spans="1:4" x14ac:dyDescent="0.25">
      <c r="A76" t="s">
        <v>123</v>
      </c>
      <c r="B76" t="s">
        <v>233</v>
      </c>
      <c r="C76" t="s">
        <v>2427</v>
      </c>
      <c r="D76">
        <v>-8</v>
      </c>
    </row>
    <row r="77" spans="1:4" x14ac:dyDescent="0.25">
      <c r="A77" t="s">
        <v>123</v>
      </c>
      <c r="B77" t="s">
        <v>1180</v>
      </c>
      <c r="C77" t="s">
        <v>2428</v>
      </c>
      <c r="D77">
        <v>-9</v>
      </c>
    </row>
    <row r="78" spans="1:4" x14ac:dyDescent="0.25">
      <c r="A78" t="s">
        <v>123</v>
      </c>
      <c r="B78" t="s">
        <v>1180</v>
      </c>
      <c r="C78" t="s">
        <v>2429</v>
      </c>
      <c r="D78">
        <v>-10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-6.0779220779220777</v>
      </c>
    </row>
    <row r="82" spans="1:4" x14ac:dyDescent="0.25">
      <c r="A82" t="s">
        <v>159</v>
      </c>
      <c r="D82">
        <f>MAX(D2:D78)</f>
        <v>-1</v>
      </c>
    </row>
    <row r="83" spans="1:4" x14ac:dyDescent="0.25">
      <c r="A83" t="s">
        <v>160</v>
      </c>
      <c r="D83">
        <f>MIN(D2:D78)</f>
        <v>-13</v>
      </c>
    </row>
    <row r="84" spans="1:4" x14ac:dyDescent="0.25">
      <c r="A84" t="s">
        <v>161</v>
      </c>
      <c r="D84">
        <f>COUNTIF(D2:D78,"&gt;0")</f>
        <v>0</v>
      </c>
    </row>
    <row r="85" spans="1:4" x14ac:dyDescent="0.25">
      <c r="A85" t="s">
        <v>162</v>
      </c>
      <c r="D85">
        <f>COUNTIF(D2:D78,"=0")</f>
        <v>0</v>
      </c>
    </row>
    <row r="86" spans="1:4" x14ac:dyDescent="0.25">
      <c r="A86" t="s">
        <v>1633</v>
      </c>
      <c r="D86">
        <f>COUNTIF(D2:D78,"&lt;0")</f>
        <v>77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AVERAGE(D2,D3,D4,D5,D6,D7,D8,D9,D10,D11,D12,D13,D14,D15,D16,D17,D18,D19)</f>
        <v>-6.1111111111111107</v>
      </c>
    </row>
    <row r="90" spans="1:4" x14ac:dyDescent="0.25">
      <c r="A90" t="s">
        <v>166</v>
      </c>
      <c r="D90">
        <f>AVERAGE(D20,D21,D22,D23,D24,D25,D26,D27,D28,D29,D30,D31,D32,D33,D34,D35,D36)</f>
        <v>-6.5882352941176467</v>
      </c>
    </row>
    <row r="91" spans="1:4" x14ac:dyDescent="0.25">
      <c r="A91" t="s">
        <v>167</v>
      </c>
      <c r="D91">
        <f>AVERAGE(D37,D38,D39,D40,D41,D42,D43,D44,D45,D46,D47,D48,D49,D50,D51,D52,D53,D54,D55,D56,D57,D58)</f>
        <v>-5.2272727272727275</v>
      </c>
    </row>
    <row r="92" spans="1:4" x14ac:dyDescent="0.25">
      <c r="A92" t="s">
        <v>168</v>
      </c>
      <c r="D92">
        <f>AVERAGE(D59,D60,D61,D62,D63,D64,D65,D66,D67,D68,D69,D70,D71,D72,D73,D74,D75,D76,D77,D78)</f>
        <v>-6.55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714</v>
      </c>
      <c r="C2" t="s">
        <v>6</v>
      </c>
      <c r="D2">
        <v>2</v>
      </c>
    </row>
    <row r="3" spans="1:4" x14ac:dyDescent="0.25">
      <c r="A3" t="s">
        <v>4</v>
      </c>
      <c r="B3" t="s">
        <v>211</v>
      </c>
      <c r="C3" t="s">
        <v>306</v>
      </c>
      <c r="D3">
        <v>-1</v>
      </c>
    </row>
    <row r="4" spans="1:4" x14ac:dyDescent="0.25">
      <c r="A4" t="s">
        <v>4</v>
      </c>
      <c r="B4" t="s">
        <v>1119</v>
      </c>
      <c r="C4" t="s">
        <v>1869</v>
      </c>
      <c r="D4">
        <v>-3</v>
      </c>
    </row>
    <row r="5" spans="1:4" x14ac:dyDescent="0.25">
      <c r="A5" t="s">
        <v>4</v>
      </c>
      <c r="B5" t="s">
        <v>1495</v>
      </c>
      <c r="C5" t="s">
        <v>2430</v>
      </c>
      <c r="D5">
        <v>0</v>
      </c>
    </row>
    <row r="6" spans="1:4" x14ac:dyDescent="0.25">
      <c r="A6" t="s">
        <v>4</v>
      </c>
      <c r="B6" t="s">
        <v>307</v>
      </c>
      <c r="C6" t="s">
        <v>1109</v>
      </c>
      <c r="D6">
        <v>-3</v>
      </c>
    </row>
    <row r="7" spans="1:4" x14ac:dyDescent="0.25">
      <c r="A7" t="s">
        <v>4</v>
      </c>
      <c r="B7" t="s">
        <v>56</v>
      </c>
      <c r="C7" t="s">
        <v>434</v>
      </c>
      <c r="D7">
        <v>-1</v>
      </c>
    </row>
    <row r="8" spans="1:4" x14ac:dyDescent="0.25">
      <c r="A8" t="s">
        <v>4</v>
      </c>
      <c r="B8" t="s">
        <v>2431</v>
      </c>
      <c r="C8" t="s">
        <v>22</v>
      </c>
      <c r="D8">
        <v>2</v>
      </c>
    </row>
    <row r="9" spans="1:4" x14ac:dyDescent="0.25">
      <c r="A9" t="s">
        <v>4</v>
      </c>
      <c r="B9" t="s">
        <v>1817</v>
      </c>
      <c r="C9" t="s">
        <v>24</v>
      </c>
      <c r="D9">
        <v>4</v>
      </c>
    </row>
    <row r="10" spans="1:4" x14ac:dyDescent="0.25">
      <c r="A10" t="s">
        <v>4</v>
      </c>
      <c r="B10" t="s">
        <v>1151</v>
      </c>
      <c r="C10" t="s">
        <v>26</v>
      </c>
      <c r="D10">
        <v>3</v>
      </c>
    </row>
    <row r="11" spans="1:4" x14ac:dyDescent="0.25">
      <c r="A11" t="s">
        <v>4</v>
      </c>
      <c r="B11" t="s">
        <v>1151</v>
      </c>
      <c r="C11" t="s">
        <v>917</v>
      </c>
      <c r="D11">
        <v>2</v>
      </c>
    </row>
    <row r="12" spans="1:4" x14ac:dyDescent="0.25">
      <c r="A12" t="s">
        <v>4</v>
      </c>
      <c r="B12" t="s">
        <v>663</v>
      </c>
      <c r="C12" t="s">
        <v>1575</v>
      </c>
      <c r="D12">
        <v>4</v>
      </c>
    </row>
    <row r="13" spans="1:4" x14ac:dyDescent="0.25">
      <c r="A13" t="s">
        <v>4</v>
      </c>
      <c r="B13" t="s">
        <v>987</v>
      </c>
      <c r="C13" t="s">
        <v>32</v>
      </c>
      <c r="D13">
        <v>1</v>
      </c>
    </row>
    <row r="14" spans="1:4" x14ac:dyDescent="0.25">
      <c r="A14" t="s">
        <v>4</v>
      </c>
      <c r="B14" t="s">
        <v>667</v>
      </c>
      <c r="C14" t="s">
        <v>1114</v>
      </c>
      <c r="D14">
        <v>2</v>
      </c>
    </row>
    <row r="15" spans="1:4" x14ac:dyDescent="0.25">
      <c r="A15" t="s">
        <v>4</v>
      </c>
      <c r="B15" t="s">
        <v>1640</v>
      </c>
      <c r="C15" t="s">
        <v>2121</v>
      </c>
      <c r="D15">
        <v>0</v>
      </c>
    </row>
    <row r="16" spans="1:4" x14ac:dyDescent="0.25">
      <c r="A16" t="s">
        <v>4</v>
      </c>
      <c r="B16" t="s">
        <v>344</v>
      </c>
      <c r="C16" t="s">
        <v>580</v>
      </c>
      <c r="D16">
        <v>-3</v>
      </c>
    </row>
    <row r="17" spans="1:4" x14ac:dyDescent="0.25">
      <c r="A17" t="s">
        <v>4</v>
      </c>
      <c r="B17" t="s">
        <v>394</v>
      </c>
      <c r="C17" t="s">
        <v>1506</v>
      </c>
      <c r="D17">
        <v>-5</v>
      </c>
    </row>
    <row r="18" spans="1:4" x14ac:dyDescent="0.25">
      <c r="A18" t="s">
        <v>40</v>
      </c>
      <c r="B18" t="s">
        <v>1055</v>
      </c>
      <c r="C18" t="s">
        <v>2432</v>
      </c>
      <c r="D18">
        <v>-7</v>
      </c>
    </row>
    <row r="19" spans="1:4" x14ac:dyDescent="0.25">
      <c r="A19" t="s">
        <v>40</v>
      </c>
      <c r="B19" t="s">
        <v>43</v>
      </c>
      <c r="C19" t="s">
        <v>2433</v>
      </c>
      <c r="D19">
        <v>-9</v>
      </c>
    </row>
    <row r="20" spans="1:4" x14ac:dyDescent="0.25">
      <c r="A20" t="s">
        <v>40</v>
      </c>
      <c r="B20" t="s">
        <v>1683</v>
      </c>
      <c r="C20" t="s">
        <v>2434</v>
      </c>
      <c r="D20">
        <v>-12</v>
      </c>
    </row>
    <row r="21" spans="1:4" x14ac:dyDescent="0.25">
      <c r="A21" t="s">
        <v>40</v>
      </c>
      <c r="B21" t="s">
        <v>364</v>
      </c>
      <c r="C21" t="s">
        <v>2435</v>
      </c>
      <c r="D21">
        <v>-10</v>
      </c>
    </row>
    <row r="22" spans="1:4" x14ac:dyDescent="0.25">
      <c r="A22" t="s">
        <v>40</v>
      </c>
      <c r="B22" t="s">
        <v>433</v>
      </c>
      <c r="C22" t="s">
        <v>2436</v>
      </c>
      <c r="D22">
        <v>-12</v>
      </c>
    </row>
    <row r="23" spans="1:4" x14ac:dyDescent="0.25">
      <c r="A23" t="s">
        <v>40</v>
      </c>
      <c r="B23" t="s">
        <v>804</v>
      </c>
      <c r="C23" t="s">
        <v>2437</v>
      </c>
      <c r="D23">
        <v>-9</v>
      </c>
    </row>
    <row r="24" spans="1:4" x14ac:dyDescent="0.25">
      <c r="A24" t="s">
        <v>40</v>
      </c>
      <c r="B24" t="s">
        <v>740</v>
      </c>
      <c r="C24" t="s">
        <v>55</v>
      </c>
      <c r="D24">
        <v>-6</v>
      </c>
    </row>
    <row r="25" spans="1:4" x14ac:dyDescent="0.25">
      <c r="A25" t="s">
        <v>40</v>
      </c>
      <c r="B25" t="s">
        <v>188</v>
      </c>
      <c r="C25" t="s">
        <v>2409</v>
      </c>
      <c r="D25">
        <v>-9</v>
      </c>
    </row>
    <row r="26" spans="1:4" x14ac:dyDescent="0.25">
      <c r="A26" t="s">
        <v>40</v>
      </c>
      <c r="B26" t="s">
        <v>284</v>
      </c>
      <c r="C26" t="s">
        <v>1661</v>
      </c>
      <c r="D26">
        <v>-8</v>
      </c>
    </row>
    <row r="27" spans="1:4" x14ac:dyDescent="0.25">
      <c r="A27" t="s">
        <v>40</v>
      </c>
      <c r="B27" t="s">
        <v>284</v>
      </c>
      <c r="C27" t="s">
        <v>2410</v>
      </c>
      <c r="D27">
        <v>-7</v>
      </c>
    </row>
    <row r="28" spans="1:4" x14ac:dyDescent="0.25">
      <c r="A28" t="s">
        <v>40</v>
      </c>
      <c r="B28" t="s">
        <v>764</v>
      </c>
      <c r="C28" t="s">
        <v>2438</v>
      </c>
      <c r="D28">
        <v>-9</v>
      </c>
    </row>
    <row r="29" spans="1:4" x14ac:dyDescent="0.25">
      <c r="A29" t="s">
        <v>40</v>
      </c>
      <c r="B29" t="s">
        <v>411</v>
      </c>
      <c r="C29" t="s">
        <v>603</v>
      </c>
      <c r="D29">
        <v>-6</v>
      </c>
    </row>
    <row r="30" spans="1:4" x14ac:dyDescent="0.25">
      <c r="A30" t="s">
        <v>40</v>
      </c>
      <c r="B30" t="s">
        <v>924</v>
      </c>
      <c r="C30" t="s">
        <v>806</v>
      </c>
      <c r="D30">
        <v>-9</v>
      </c>
    </row>
    <row r="31" spans="1:4" x14ac:dyDescent="0.25">
      <c r="A31" t="s">
        <v>40</v>
      </c>
      <c r="B31" t="s">
        <v>1376</v>
      </c>
      <c r="C31" t="s">
        <v>808</v>
      </c>
      <c r="D31">
        <v>-11</v>
      </c>
    </row>
    <row r="32" spans="1:4" x14ac:dyDescent="0.25">
      <c r="A32" t="s">
        <v>40</v>
      </c>
      <c r="B32" t="s">
        <v>503</v>
      </c>
      <c r="C32" t="s">
        <v>809</v>
      </c>
      <c r="D32">
        <v>-9</v>
      </c>
    </row>
    <row r="33" spans="1:4" x14ac:dyDescent="0.25">
      <c r="A33" t="s">
        <v>40</v>
      </c>
      <c r="B33" t="s">
        <v>1640</v>
      </c>
      <c r="C33" t="s">
        <v>811</v>
      </c>
      <c r="D33">
        <v>-11</v>
      </c>
    </row>
    <row r="34" spans="1:4" x14ac:dyDescent="0.25">
      <c r="A34" t="s">
        <v>40</v>
      </c>
      <c r="B34" t="s">
        <v>389</v>
      </c>
      <c r="C34" t="s">
        <v>2439</v>
      </c>
      <c r="D34">
        <v>-12</v>
      </c>
    </row>
    <row r="35" spans="1:4" x14ac:dyDescent="0.25">
      <c r="A35" t="s">
        <v>40</v>
      </c>
      <c r="B35" t="s">
        <v>2390</v>
      </c>
      <c r="C35" t="s">
        <v>2440</v>
      </c>
      <c r="D35">
        <v>-14</v>
      </c>
    </row>
    <row r="36" spans="1:4" x14ac:dyDescent="0.25">
      <c r="A36" t="s">
        <v>40</v>
      </c>
      <c r="B36" t="s">
        <v>120</v>
      </c>
      <c r="C36" t="s">
        <v>2441</v>
      </c>
      <c r="D36">
        <v>-11</v>
      </c>
    </row>
    <row r="37" spans="1:4" x14ac:dyDescent="0.25">
      <c r="A37" t="s">
        <v>40</v>
      </c>
      <c r="B37" t="s">
        <v>74</v>
      </c>
      <c r="C37" t="s">
        <v>84</v>
      </c>
      <c r="D37">
        <v>-8</v>
      </c>
    </row>
    <row r="38" spans="1:4" x14ac:dyDescent="0.25">
      <c r="A38" t="s">
        <v>40</v>
      </c>
      <c r="B38" t="s">
        <v>772</v>
      </c>
      <c r="C38" t="s">
        <v>816</v>
      </c>
      <c r="D38">
        <v>-10</v>
      </c>
    </row>
    <row r="39" spans="1:4" x14ac:dyDescent="0.25">
      <c r="A39" t="s">
        <v>80</v>
      </c>
      <c r="B39" t="s">
        <v>1007</v>
      </c>
      <c r="C39" t="s">
        <v>90</v>
      </c>
      <c r="D39">
        <v>-8</v>
      </c>
    </row>
    <row r="40" spans="1:4" x14ac:dyDescent="0.25">
      <c r="A40" t="s">
        <v>80</v>
      </c>
      <c r="B40" t="s">
        <v>7</v>
      </c>
      <c r="C40" t="s">
        <v>2442</v>
      </c>
      <c r="D40">
        <v>-10</v>
      </c>
    </row>
    <row r="41" spans="1:4" x14ac:dyDescent="0.25">
      <c r="A41" t="s">
        <v>80</v>
      </c>
      <c r="B41" t="s">
        <v>2443</v>
      </c>
      <c r="C41" t="s">
        <v>821</v>
      </c>
      <c r="D41">
        <v>-7</v>
      </c>
    </row>
    <row r="42" spans="1:4" x14ac:dyDescent="0.25">
      <c r="A42" t="s">
        <v>80</v>
      </c>
      <c r="B42" t="s">
        <v>1849</v>
      </c>
      <c r="C42" t="s">
        <v>2444</v>
      </c>
      <c r="D42">
        <v>-9</v>
      </c>
    </row>
    <row r="43" spans="1:4" x14ac:dyDescent="0.25">
      <c r="A43" t="s">
        <v>80</v>
      </c>
      <c r="B43" t="s">
        <v>305</v>
      </c>
      <c r="C43" t="s">
        <v>2223</v>
      </c>
      <c r="D43">
        <v>-10</v>
      </c>
    </row>
    <row r="44" spans="1:4" x14ac:dyDescent="0.25">
      <c r="A44" t="s">
        <v>80</v>
      </c>
      <c r="B44" t="s">
        <v>1190</v>
      </c>
      <c r="C44" t="s">
        <v>102</v>
      </c>
      <c r="D44">
        <v>-7</v>
      </c>
    </row>
    <row r="45" spans="1:4" x14ac:dyDescent="0.25">
      <c r="A45" t="s">
        <v>80</v>
      </c>
      <c r="B45" t="s">
        <v>2074</v>
      </c>
      <c r="C45" t="s">
        <v>627</v>
      </c>
      <c r="D45">
        <v>-5</v>
      </c>
    </row>
    <row r="46" spans="1:4" x14ac:dyDescent="0.25">
      <c r="A46" t="s">
        <v>80</v>
      </c>
      <c r="B46" t="s">
        <v>643</v>
      </c>
      <c r="C46" t="s">
        <v>2445</v>
      </c>
      <c r="D46">
        <v>-3</v>
      </c>
    </row>
    <row r="47" spans="1:4" x14ac:dyDescent="0.25">
      <c r="A47" t="s">
        <v>80</v>
      </c>
      <c r="B47" t="s">
        <v>277</v>
      </c>
      <c r="C47" t="s">
        <v>2446</v>
      </c>
      <c r="D47">
        <v>0</v>
      </c>
    </row>
    <row r="48" spans="1:4" x14ac:dyDescent="0.25">
      <c r="A48" t="s">
        <v>80</v>
      </c>
      <c r="B48" t="s">
        <v>1816</v>
      </c>
      <c r="C48" t="s">
        <v>2447</v>
      </c>
      <c r="D48">
        <v>2</v>
      </c>
    </row>
    <row r="49" spans="1:4" x14ac:dyDescent="0.25">
      <c r="A49" t="s">
        <v>80</v>
      </c>
      <c r="B49" t="s">
        <v>1598</v>
      </c>
      <c r="C49" t="s">
        <v>2448</v>
      </c>
      <c r="D49">
        <v>0</v>
      </c>
    </row>
    <row r="50" spans="1:4" x14ac:dyDescent="0.25">
      <c r="A50" t="s">
        <v>80</v>
      </c>
      <c r="B50" t="s">
        <v>1795</v>
      </c>
      <c r="C50" t="s">
        <v>2449</v>
      </c>
      <c r="D50">
        <v>3</v>
      </c>
    </row>
    <row r="51" spans="1:4" x14ac:dyDescent="0.25">
      <c r="A51" t="s">
        <v>80</v>
      </c>
      <c r="B51" t="s">
        <v>67</v>
      </c>
      <c r="C51" t="s">
        <v>2450</v>
      </c>
      <c r="D51">
        <v>5</v>
      </c>
    </row>
    <row r="52" spans="1:4" x14ac:dyDescent="0.25">
      <c r="A52" t="s">
        <v>80</v>
      </c>
      <c r="B52" t="s">
        <v>812</v>
      </c>
      <c r="C52" t="s">
        <v>1688</v>
      </c>
      <c r="D52">
        <v>8</v>
      </c>
    </row>
    <row r="53" spans="1:4" x14ac:dyDescent="0.25">
      <c r="A53" t="s">
        <v>80</v>
      </c>
      <c r="B53" t="s">
        <v>1043</v>
      </c>
      <c r="C53" t="s">
        <v>501</v>
      </c>
      <c r="D53">
        <v>6</v>
      </c>
    </row>
    <row r="54" spans="1:4" x14ac:dyDescent="0.25">
      <c r="A54" t="s">
        <v>80</v>
      </c>
      <c r="B54" t="s">
        <v>503</v>
      </c>
      <c r="C54" t="s">
        <v>2451</v>
      </c>
      <c r="D54">
        <v>8</v>
      </c>
    </row>
    <row r="55" spans="1:4" x14ac:dyDescent="0.25">
      <c r="A55" t="s">
        <v>80</v>
      </c>
      <c r="B55" t="s">
        <v>503</v>
      </c>
      <c r="C55" t="s">
        <v>2452</v>
      </c>
      <c r="D55">
        <v>9</v>
      </c>
    </row>
    <row r="56" spans="1:4" x14ac:dyDescent="0.25">
      <c r="A56" t="s">
        <v>80</v>
      </c>
      <c r="B56" t="s">
        <v>2453</v>
      </c>
      <c r="C56" t="s">
        <v>1168</v>
      </c>
      <c r="D56">
        <v>7</v>
      </c>
    </row>
    <row r="57" spans="1:4" x14ac:dyDescent="0.25">
      <c r="A57" t="s">
        <v>80</v>
      </c>
      <c r="B57" t="s">
        <v>1132</v>
      </c>
      <c r="C57" t="s">
        <v>2454</v>
      </c>
      <c r="D57">
        <v>10</v>
      </c>
    </row>
    <row r="58" spans="1:4" x14ac:dyDescent="0.25">
      <c r="A58" t="s">
        <v>80</v>
      </c>
      <c r="B58" t="s">
        <v>1261</v>
      </c>
      <c r="C58" t="s">
        <v>2455</v>
      </c>
      <c r="D58">
        <v>8</v>
      </c>
    </row>
    <row r="59" spans="1:4" x14ac:dyDescent="0.25">
      <c r="A59" t="s">
        <v>123</v>
      </c>
      <c r="B59" t="s">
        <v>859</v>
      </c>
      <c r="C59" t="s">
        <v>2456</v>
      </c>
      <c r="D59">
        <v>7</v>
      </c>
    </row>
    <row r="60" spans="1:4" x14ac:dyDescent="0.25">
      <c r="A60" t="s">
        <v>123</v>
      </c>
      <c r="B60" t="s">
        <v>859</v>
      </c>
      <c r="C60" t="s">
        <v>2457</v>
      </c>
      <c r="D60">
        <v>6</v>
      </c>
    </row>
    <row r="61" spans="1:4" x14ac:dyDescent="0.25">
      <c r="A61" t="s">
        <v>123</v>
      </c>
      <c r="B61" t="s">
        <v>355</v>
      </c>
      <c r="C61" t="s">
        <v>1174</v>
      </c>
      <c r="D61">
        <v>3</v>
      </c>
    </row>
    <row r="62" spans="1:4" x14ac:dyDescent="0.25">
      <c r="A62" t="s">
        <v>123</v>
      </c>
      <c r="B62" t="s">
        <v>1280</v>
      </c>
      <c r="C62" t="s">
        <v>647</v>
      </c>
      <c r="D62">
        <v>4</v>
      </c>
    </row>
    <row r="63" spans="1:4" x14ac:dyDescent="0.25">
      <c r="A63" t="s">
        <v>123</v>
      </c>
      <c r="B63" t="s">
        <v>641</v>
      </c>
      <c r="C63" t="s">
        <v>649</v>
      </c>
      <c r="D63">
        <v>3</v>
      </c>
    </row>
    <row r="64" spans="1:4" x14ac:dyDescent="0.25">
      <c r="A64" t="s">
        <v>123</v>
      </c>
      <c r="B64" t="s">
        <v>1958</v>
      </c>
      <c r="C64" t="s">
        <v>652</v>
      </c>
      <c r="D64">
        <v>1</v>
      </c>
    </row>
    <row r="65" spans="1:4" x14ac:dyDescent="0.25">
      <c r="A65" t="s">
        <v>123</v>
      </c>
      <c r="B65" t="s">
        <v>868</v>
      </c>
      <c r="C65" t="s">
        <v>653</v>
      </c>
      <c r="D65">
        <v>0</v>
      </c>
    </row>
    <row r="66" spans="1:4" x14ac:dyDescent="0.25">
      <c r="A66" t="s">
        <v>123</v>
      </c>
      <c r="B66" t="s">
        <v>868</v>
      </c>
      <c r="C66" t="s">
        <v>849</v>
      </c>
      <c r="D66">
        <v>-1</v>
      </c>
    </row>
    <row r="67" spans="1:4" x14ac:dyDescent="0.25">
      <c r="A67" t="s">
        <v>123</v>
      </c>
      <c r="B67" t="s">
        <v>259</v>
      </c>
      <c r="C67" t="s">
        <v>2458</v>
      </c>
      <c r="D67">
        <v>2</v>
      </c>
    </row>
    <row r="68" spans="1:4" x14ac:dyDescent="0.25">
      <c r="A68" t="s">
        <v>123</v>
      </c>
      <c r="B68" t="s">
        <v>1817</v>
      </c>
      <c r="C68" t="s">
        <v>1961</v>
      </c>
      <c r="D68">
        <v>4</v>
      </c>
    </row>
    <row r="69" spans="1:4" x14ac:dyDescent="0.25">
      <c r="A69" t="s">
        <v>123</v>
      </c>
      <c r="B69" t="s">
        <v>598</v>
      </c>
      <c r="C69" t="s">
        <v>1963</v>
      </c>
      <c r="D69">
        <v>2</v>
      </c>
    </row>
    <row r="70" spans="1:4" x14ac:dyDescent="0.25">
      <c r="A70" t="s">
        <v>123</v>
      </c>
      <c r="B70" t="s">
        <v>376</v>
      </c>
      <c r="C70" t="s">
        <v>2459</v>
      </c>
      <c r="D70">
        <v>5</v>
      </c>
    </row>
    <row r="71" spans="1:4" x14ac:dyDescent="0.25">
      <c r="A71" t="s">
        <v>123</v>
      </c>
      <c r="B71" t="s">
        <v>192</v>
      </c>
      <c r="C71" t="s">
        <v>1183</v>
      </c>
      <c r="D71">
        <v>6</v>
      </c>
    </row>
    <row r="72" spans="1:4" x14ac:dyDescent="0.25">
      <c r="A72" t="s">
        <v>123</v>
      </c>
      <c r="B72" t="s">
        <v>192</v>
      </c>
      <c r="C72" t="s">
        <v>1184</v>
      </c>
      <c r="D72">
        <v>7</v>
      </c>
    </row>
    <row r="73" spans="1:4" x14ac:dyDescent="0.25">
      <c r="A73" t="s">
        <v>123</v>
      </c>
      <c r="B73" t="s">
        <v>317</v>
      </c>
      <c r="C73" t="s">
        <v>2460</v>
      </c>
      <c r="D73">
        <v>10</v>
      </c>
    </row>
    <row r="74" spans="1:4" x14ac:dyDescent="0.25">
      <c r="A74" t="s">
        <v>123</v>
      </c>
      <c r="B74" t="s">
        <v>1200</v>
      </c>
      <c r="C74" t="s">
        <v>423</v>
      </c>
      <c r="D74">
        <v>9</v>
      </c>
    </row>
    <row r="75" spans="1:4" x14ac:dyDescent="0.25">
      <c r="A75" t="s">
        <v>123</v>
      </c>
      <c r="B75" t="s">
        <v>1335</v>
      </c>
      <c r="C75" t="s">
        <v>1486</v>
      </c>
      <c r="D75">
        <v>12</v>
      </c>
    </row>
    <row r="76" spans="1:4" x14ac:dyDescent="0.25">
      <c r="A76" t="s">
        <v>123</v>
      </c>
      <c r="B76" t="s">
        <v>290</v>
      </c>
      <c r="C76" t="s">
        <v>2461</v>
      </c>
      <c r="D76">
        <v>9</v>
      </c>
    </row>
    <row r="77" spans="1:4" x14ac:dyDescent="0.25">
      <c r="A77" t="s">
        <v>123</v>
      </c>
      <c r="B77" t="s">
        <v>1940</v>
      </c>
      <c r="C77" t="s">
        <v>680</v>
      </c>
      <c r="D77">
        <v>7</v>
      </c>
    </row>
    <row r="78" spans="1:4" x14ac:dyDescent="0.25">
      <c r="A78" t="s">
        <v>123</v>
      </c>
      <c r="B78" t="s">
        <v>1750</v>
      </c>
      <c r="C78" t="s">
        <v>2462</v>
      </c>
      <c r="D78">
        <v>8</v>
      </c>
    </row>
    <row r="79" spans="1:4" x14ac:dyDescent="0.25">
      <c r="A79" t="s">
        <v>123</v>
      </c>
      <c r="B79" t="s">
        <v>1750</v>
      </c>
      <c r="C79" t="s">
        <v>2463</v>
      </c>
      <c r="D79">
        <v>9</v>
      </c>
    </row>
    <row r="80" spans="1:4" x14ac:dyDescent="0.25">
      <c r="A80" t="s">
        <v>123</v>
      </c>
      <c r="B80" t="s">
        <v>732</v>
      </c>
      <c r="C80" t="s">
        <v>2464</v>
      </c>
      <c r="D80">
        <v>6</v>
      </c>
    </row>
    <row r="81" spans="1:4" x14ac:dyDescent="0.25">
      <c r="A81" t="s">
        <v>123</v>
      </c>
      <c r="B81" t="s">
        <v>505</v>
      </c>
      <c r="C81" t="s">
        <v>1626</v>
      </c>
      <c r="D81">
        <v>7</v>
      </c>
    </row>
    <row r="82" spans="1:4" x14ac:dyDescent="0.25">
      <c r="A82" t="s">
        <v>123</v>
      </c>
      <c r="B82" t="s">
        <v>505</v>
      </c>
      <c r="C82" t="s">
        <v>2465</v>
      </c>
      <c r="D82">
        <v>8</v>
      </c>
    </row>
    <row r="83" spans="1:4" x14ac:dyDescent="0.25">
      <c r="A83" t="s">
        <v>123</v>
      </c>
      <c r="B83" t="s">
        <v>900</v>
      </c>
      <c r="C83" t="s">
        <v>2466</v>
      </c>
      <c r="D83">
        <v>6</v>
      </c>
    </row>
    <row r="84" spans="1:4" x14ac:dyDescent="0.25">
      <c r="A84" t="s">
        <v>123</v>
      </c>
      <c r="B84" t="s">
        <v>999</v>
      </c>
      <c r="C84" t="s">
        <v>2467</v>
      </c>
      <c r="D84">
        <v>7</v>
      </c>
    </row>
    <row r="85" spans="1:4" x14ac:dyDescent="0.25">
      <c r="A85" t="s">
        <v>123</v>
      </c>
      <c r="B85" t="s">
        <v>999</v>
      </c>
      <c r="C85" t="s">
        <v>1859</v>
      </c>
      <c r="D85">
        <v>8</v>
      </c>
    </row>
    <row r="86" spans="1:4" x14ac:dyDescent="0.25">
      <c r="A86" t="s">
        <v>123</v>
      </c>
      <c r="B86" t="s">
        <v>1809</v>
      </c>
      <c r="C86" t="s">
        <v>2468</v>
      </c>
      <c r="D86">
        <v>7</v>
      </c>
    </row>
    <row r="87" spans="1:4" x14ac:dyDescent="0.25">
      <c r="A87" t="s">
        <v>123</v>
      </c>
      <c r="B87" t="s">
        <v>483</v>
      </c>
      <c r="C87" t="s">
        <v>2469</v>
      </c>
      <c r="D87">
        <v>6</v>
      </c>
    </row>
    <row r="88" spans="1:4" x14ac:dyDescent="0.25">
      <c r="A88" t="s">
        <v>123</v>
      </c>
      <c r="B88" t="s">
        <v>483</v>
      </c>
      <c r="C88" t="s">
        <v>2470</v>
      </c>
      <c r="D88">
        <v>5</v>
      </c>
    </row>
    <row r="89" spans="1:4" x14ac:dyDescent="0.25">
      <c r="A89" t="s">
        <v>123</v>
      </c>
      <c r="B89" t="s">
        <v>394</v>
      </c>
      <c r="C89" t="s">
        <v>2471</v>
      </c>
      <c r="D89">
        <v>6</v>
      </c>
    </row>
    <row r="90" spans="1:4" x14ac:dyDescent="0.25">
      <c r="A90" t="s">
        <v>123</v>
      </c>
      <c r="B90" t="s">
        <v>394</v>
      </c>
      <c r="C90" t="s">
        <v>2472</v>
      </c>
      <c r="D90">
        <v>7</v>
      </c>
    </row>
    <row r="91" spans="1:4" x14ac:dyDescent="0.25">
      <c r="A91" t="s">
        <v>123</v>
      </c>
      <c r="B91" t="s">
        <v>1135</v>
      </c>
      <c r="C91" t="s">
        <v>2473</v>
      </c>
      <c r="D91">
        <v>8</v>
      </c>
    </row>
    <row r="92" spans="1:4" x14ac:dyDescent="0.25">
      <c r="A92" t="s">
        <v>123</v>
      </c>
      <c r="B92" t="s">
        <v>1135</v>
      </c>
      <c r="C92" t="s">
        <v>2474</v>
      </c>
      <c r="D92">
        <v>9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0.16483516483516483</v>
      </c>
    </row>
    <row r="96" spans="1:4" x14ac:dyDescent="0.25">
      <c r="A96" t="s">
        <v>159</v>
      </c>
      <c r="D96">
        <f>MAX(D2:D92)</f>
        <v>12</v>
      </c>
    </row>
    <row r="97" spans="1:4" x14ac:dyDescent="0.25">
      <c r="A97" t="s">
        <v>160</v>
      </c>
      <c r="D97">
        <f>MIN(D2:D92)</f>
        <v>-14</v>
      </c>
    </row>
    <row r="98" spans="1:4" x14ac:dyDescent="0.25">
      <c r="A98" t="s">
        <v>161</v>
      </c>
      <c r="D98">
        <f>COUNTIF(D2:D92,"&gt;0")</f>
        <v>50</v>
      </c>
    </row>
    <row r="99" spans="1:4" x14ac:dyDescent="0.25">
      <c r="A99" t="s">
        <v>162</v>
      </c>
      <c r="D99">
        <f>COUNTIF(D2:D92,"=0")</f>
        <v>5</v>
      </c>
    </row>
    <row r="100" spans="1:4" x14ac:dyDescent="0.25">
      <c r="A100" t="s">
        <v>1186</v>
      </c>
      <c r="D100">
        <f>COUNTIF(D2:D92,"&lt;0")</f>
        <v>36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AVERAGE(D2,D3,D4,D5,D6,D7,D8,D9,D10,D11,D12,D13,D14,D15,D16,D17)</f>
        <v>0.25</v>
      </c>
    </row>
    <row r="104" spans="1:4" x14ac:dyDescent="0.25">
      <c r="A104" t="s">
        <v>166</v>
      </c>
      <c r="D104">
        <f>AVERAGE(D18,D19,D20,D21,D22,D23,D24,D25,D26,D27,D28,D29,D30,D31,D32,D33,D34,D35,D36,D37,D38)</f>
        <v>-9.4761904761904763</v>
      </c>
    </row>
    <row r="105" spans="1:4" x14ac:dyDescent="0.25">
      <c r="A105" t="s">
        <v>167</v>
      </c>
      <c r="D105">
        <f>AVERAGE(D39,D40,D41,D42,D43,D44,D45,D46,D47,D48,D49,D50,D51,D52,D53,D54,D55,D56,D57,D58)</f>
        <v>0.35</v>
      </c>
    </row>
    <row r="106" spans="1:4" x14ac:dyDescent="0.25">
      <c r="A106" t="s">
        <v>168</v>
      </c>
      <c r="D106">
        <f>AVERAGE(D59,D60,D61,D62,D63,D64,D65,D66,D67,D68,D69,D70,D71,D72,D73,D74,D75,D76,D77,D78,D79,D80,D81,D82,D83,D84,D85,D86,D87,D88,D89,D90,D91,D92)</f>
        <v>5.9705882352941178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427</v>
      </c>
      <c r="C2" t="s">
        <v>171</v>
      </c>
      <c r="D2">
        <v>3</v>
      </c>
    </row>
    <row r="3" spans="1:4" x14ac:dyDescent="0.25">
      <c r="A3" t="s">
        <v>4</v>
      </c>
      <c r="B3" t="s">
        <v>1244</v>
      </c>
      <c r="C3" t="s">
        <v>690</v>
      </c>
      <c r="D3">
        <v>6</v>
      </c>
    </row>
    <row r="4" spans="1:4" x14ac:dyDescent="0.25">
      <c r="A4" t="s">
        <v>4</v>
      </c>
      <c r="B4" t="s">
        <v>1408</v>
      </c>
      <c r="C4" t="s">
        <v>2475</v>
      </c>
      <c r="D4">
        <v>9</v>
      </c>
    </row>
    <row r="5" spans="1:4" x14ac:dyDescent="0.25">
      <c r="A5" t="s">
        <v>4</v>
      </c>
      <c r="B5" t="s">
        <v>1119</v>
      </c>
      <c r="C5" t="s">
        <v>2476</v>
      </c>
      <c r="D5">
        <v>11</v>
      </c>
    </row>
    <row r="6" spans="1:4" x14ac:dyDescent="0.25">
      <c r="A6" t="s">
        <v>4</v>
      </c>
      <c r="B6" t="s">
        <v>645</v>
      </c>
      <c r="C6" t="s">
        <v>2477</v>
      </c>
      <c r="D6">
        <v>13</v>
      </c>
    </row>
    <row r="7" spans="1:4" x14ac:dyDescent="0.25">
      <c r="A7" t="s">
        <v>4</v>
      </c>
      <c r="B7" t="s">
        <v>497</v>
      </c>
      <c r="C7" t="s">
        <v>2478</v>
      </c>
      <c r="D7">
        <v>11</v>
      </c>
    </row>
    <row r="8" spans="1:4" x14ac:dyDescent="0.25">
      <c r="A8" t="s">
        <v>4</v>
      </c>
      <c r="B8" t="s">
        <v>1441</v>
      </c>
      <c r="C8" t="s">
        <v>1271</v>
      </c>
      <c r="D8">
        <v>8</v>
      </c>
    </row>
    <row r="9" spans="1:4" x14ac:dyDescent="0.25">
      <c r="A9" t="s">
        <v>4</v>
      </c>
      <c r="B9" t="s">
        <v>1776</v>
      </c>
      <c r="C9" t="s">
        <v>1272</v>
      </c>
      <c r="D9">
        <v>10</v>
      </c>
    </row>
    <row r="10" spans="1:4" x14ac:dyDescent="0.25">
      <c r="A10" t="s">
        <v>4</v>
      </c>
      <c r="B10" t="s">
        <v>1349</v>
      </c>
      <c r="C10" t="s">
        <v>1014</v>
      </c>
      <c r="D10">
        <v>8</v>
      </c>
    </row>
    <row r="11" spans="1:4" x14ac:dyDescent="0.25">
      <c r="A11" t="s">
        <v>4</v>
      </c>
      <c r="B11" t="s">
        <v>1349</v>
      </c>
      <c r="C11" t="s">
        <v>786</v>
      </c>
      <c r="D11">
        <v>7</v>
      </c>
    </row>
    <row r="12" spans="1:4" x14ac:dyDescent="0.25">
      <c r="A12" t="s">
        <v>4</v>
      </c>
      <c r="B12" t="s">
        <v>437</v>
      </c>
      <c r="C12" t="s">
        <v>1015</v>
      </c>
      <c r="D12">
        <v>9</v>
      </c>
    </row>
    <row r="13" spans="1:4" x14ac:dyDescent="0.25">
      <c r="A13" t="s">
        <v>4</v>
      </c>
      <c r="B13" t="s">
        <v>600</v>
      </c>
      <c r="C13" t="s">
        <v>2479</v>
      </c>
      <c r="D13">
        <v>6</v>
      </c>
    </row>
    <row r="14" spans="1:4" x14ac:dyDescent="0.25">
      <c r="A14" t="s">
        <v>4</v>
      </c>
      <c r="B14" t="s">
        <v>1602</v>
      </c>
      <c r="C14" t="s">
        <v>1577</v>
      </c>
      <c r="D14">
        <v>5</v>
      </c>
    </row>
    <row r="15" spans="1:4" x14ac:dyDescent="0.25">
      <c r="A15" t="s">
        <v>4</v>
      </c>
      <c r="B15" t="s">
        <v>702</v>
      </c>
      <c r="C15" t="s">
        <v>324</v>
      </c>
      <c r="D15">
        <v>7</v>
      </c>
    </row>
    <row r="16" spans="1:4" x14ac:dyDescent="0.25">
      <c r="A16" t="s">
        <v>4</v>
      </c>
      <c r="B16" t="s">
        <v>924</v>
      </c>
      <c r="C16" t="s">
        <v>1201</v>
      </c>
      <c r="D16">
        <v>4</v>
      </c>
    </row>
    <row r="17" spans="1:4" x14ac:dyDescent="0.25">
      <c r="A17" t="s">
        <v>4</v>
      </c>
      <c r="B17" t="s">
        <v>70</v>
      </c>
      <c r="C17" t="s">
        <v>449</v>
      </c>
      <c r="D17">
        <v>2</v>
      </c>
    </row>
    <row r="18" spans="1:4" x14ac:dyDescent="0.25">
      <c r="A18" t="s">
        <v>4</v>
      </c>
      <c r="B18" t="s">
        <v>267</v>
      </c>
      <c r="C18" t="s">
        <v>2480</v>
      </c>
      <c r="D18">
        <v>4</v>
      </c>
    </row>
    <row r="19" spans="1:4" x14ac:dyDescent="0.25">
      <c r="A19" t="s">
        <v>4</v>
      </c>
      <c r="B19" t="s">
        <v>267</v>
      </c>
      <c r="C19" t="s">
        <v>1749</v>
      </c>
      <c r="D19">
        <v>5</v>
      </c>
    </row>
    <row r="20" spans="1:4" x14ac:dyDescent="0.25">
      <c r="A20" t="s">
        <v>4</v>
      </c>
      <c r="B20" t="s">
        <v>1940</v>
      </c>
      <c r="C20" t="s">
        <v>204</v>
      </c>
      <c r="D20">
        <v>7</v>
      </c>
    </row>
    <row r="21" spans="1:4" x14ac:dyDescent="0.25">
      <c r="A21" t="s">
        <v>4</v>
      </c>
      <c r="B21" t="s">
        <v>1177</v>
      </c>
      <c r="C21" t="s">
        <v>207</v>
      </c>
      <c r="D21">
        <v>5</v>
      </c>
    </row>
    <row r="22" spans="1:4" x14ac:dyDescent="0.25">
      <c r="A22" t="s">
        <v>4</v>
      </c>
      <c r="B22" t="s">
        <v>732</v>
      </c>
      <c r="C22" t="s">
        <v>2481</v>
      </c>
      <c r="D22">
        <v>8</v>
      </c>
    </row>
    <row r="23" spans="1:4" x14ac:dyDescent="0.25">
      <c r="A23" t="s">
        <v>4</v>
      </c>
      <c r="B23" t="s">
        <v>422</v>
      </c>
      <c r="C23" t="s">
        <v>2482</v>
      </c>
      <c r="D23">
        <v>6</v>
      </c>
    </row>
    <row r="24" spans="1:4" x14ac:dyDescent="0.25">
      <c r="A24" t="s">
        <v>4</v>
      </c>
      <c r="B24" t="s">
        <v>508</v>
      </c>
      <c r="C24" t="s">
        <v>1209</v>
      </c>
      <c r="D24">
        <v>7</v>
      </c>
    </row>
    <row r="25" spans="1:4" x14ac:dyDescent="0.25">
      <c r="A25" t="s">
        <v>4</v>
      </c>
      <c r="B25" t="s">
        <v>508</v>
      </c>
      <c r="C25" t="s">
        <v>2483</v>
      </c>
      <c r="D25">
        <v>8</v>
      </c>
    </row>
    <row r="26" spans="1:4" x14ac:dyDescent="0.25">
      <c r="A26" t="s">
        <v>40</v>
      </c>
      <c r="B26" t="s">
        <v>1430</v>
      </c>
      <c r="C26" t="s">
        <v>216</v>
      </c>
      <c r="D26">
        <v>6</v>
      </c>
    </row>
    <row r="27" spans="1:4" x14ac:dyDescent="0.25">
      <c r="A27" t="s">
        <v>40</v>
      </c>
      <c r="B27" t="s">
        <v>271</v>
      </c>
      <c r="C27" t="s">
        <v>2358</v>
      </c>
      <c r="D27">
        <v>4</v>
      </c>
    </row>
    <row r="28" spans="1:4" x14ac:dyDescent="0.25">
      <c r="A28" t="s">
        <v>40</v>
      </c>
      <c r="B28" t="s">
        <v>616</v>
      </c>
      <c r="C28" t="s">
        <v>2484</v>
      </c>
      <c r="D28">
        <v>1</v>
      </c>
    </row>
    <row r="29" spans="1:4" x14ac:dyDescent="0.25">
      <c r="A29" t="s">
        <v>40</v>
      </c>
      <c r="B29" t="s">
        <v>1493</v>
      </c>
      <c r="C29" t="s">
        <v>1514</v>
      </c>
      <c r="D29">
        <v>-2</v>
      </c>
    </row>
    <row r="30" spans="1:4" x14ac:dyDescent="0.25">
      <c r="A30" t="s">
        <v>40</v>
      </c>
      <c r="B30" t="s">
        <v>1011</v>
      </c>
      <c r="C30" t="s">
        <v>2485</v>
      </c>
      <c r="D30">
        <v>-5</v>
      </c>
    </row>
    <row r="31" spans="1:4" x14ac:dyDescent="0.25">
      <c r="A31" t="s">
        <v>40</v>
      </c>
      <c r="B31" t="s">
        <v>1432</v>
      </c>
      <c r="C31" t="s">
        <v>1827</v>
      </c>
      <c r="D31">
        <v>-2</v>
      </c>
    </row>
    <row r="32" spans="1:4" x14ac:dyDescent="0.25">
      <c r="A32" t="s">
        <v>40</v>
      </c>
      <c r="B32" t="s">
        <v>433</v>
      </c>
      <c r="C32" t="s">
        <v>1134</v>
      </c>
      <c r="D32">
        <v>-1</v>
      </c>
    </row>
    <row r="33" spans="1:4" x14ac:dyDescent="0.25">
      <c r="A33" t="s">
        <v>40</v>
      </c>
      <c r="B33" t="s">
        <v>95</v>
      </c>
      <c r="C33" t="s">
        <v>1516</v>
      </c>
      <c r="D33">
        <v>1</v>
      </c>
    </row>
    <row r="34" spans="1:4" x14ac:dyDescent="0.25">
      <c r="A34" t="s">
        <v>40</v>
      </c>
      <c r="B34" t="s">
        <v>1151</v>
      </c>
      <c r="C34" t="s">
        <v>230</v>
      </c>
      <c r="D34">
        <v>2</v>
      </c>
    </row>
    <row r="35" spans="1:4" x14ac:dyDescent="0.25">
      <c r="A35" t="s">
        <v>40</v>
      </c>
      <c r="B35" t="s">
        <v>1151</v>
      </c>
      <c r="C35" t="s">
        <v>1667</v>
      </c>
      <c r="D35">
        <v>3</v>
      </c>
    </row>
    <row r="36" spans="1:4" x14ac:dyDescent="0.25">
      <c r="A36" t="s">
        <v>40</v>
      </c>
      <c r="B36" t="s">
        <v>104</v>
      </c>
      <c r="C36" t="s">
        <v>2486</v>
      </c>
      <c r="D36">
        <v>1</v>
      </c>
    </row>
    <row r="37" spans="1:4" x14ac:dyDescent="0.25">
      <c r="A37" t="s">
        <v>40</v>
      </c>
      <c r="B37" t="s">
        <v>108</v>
      </c>
      <c r="C37" t="s">
        <v>356</v>
      </c>
      <c r="D37">
        <v>3</v>
      </c>
    </row>
    <row r="38" spans="1:4" x14ac:dyDescent="0.25">
      <c r="A38" t="s">
        <v>40</v>
      </c>
      <c r="B38" t="s">
        <v>114</v>
      </c>
      <c r="C38" t="s">
        <v>2270</v>
      </c>
      <c r="D38">
        <v>5</v>
      </c>
    </row>
    <row r="39" spans="1:4" x14ac:dyDescent="0.25">
      <c r="A39" t="s">
        <v>40</v>
      </c>
      <c r="B39" t="s">
        <v>477</v>
      </c>
      <c r="C39" t="s">
        <v>360</v>
      </c>
      <c r="D39">
        <v>3</v>
      </c>
    </row>
    <row r="40" spans="1:4" x14ac:dyDescent="0.25">
      <c r="A40" t="s">
        <v>40</v>
      </c>
      <c r="B40" t="s">
        <v>1484</v>
      </c>
      <c r="C40" t="s">
        <v>480</v>
      </c>
      <c r="D40">
        <v>0</v>
      </c>
    </row>
    <row r="41" spans="1:4" x14ac:dyDescent="0.25">
      <c r="A41" t="s">
        <v>40</v>
      </c>
      <c r="B41" t="s">
        <v>927</v>
      </c>
      <c r="C41" t="s">
        <v>1224</v>
      </c>
      <c r="D41">
        <v>1</v>
      </c>
    </row>
    <row r="42" spans="1:4" x14ac:dyDescent="0.25">
      <c r="A42" t="s">
        <v>80</v>
      </c>
      <c r="B42" t="s">
        <v>1543</v>
      </c>
      <c r="C42" t="s">
        <v>2487</v>
      </c>
      <c r="D42">
        <v>3</v>
      </c>
    </row>
    <row r="43" spans="1:4" x14ac:dyDescent="0.25">
      <c r="A43" t="s">
        <v>80</v>
      </c>
      <c r="B43" t="s">
        <v>1431</v>
      </c>
      <c r="C43" t="s">
        <v>1226</v>
      </c>
      <c r="D43">
        <v>1</v>
      </c>
    </row>
    <row r="44" spans="1:4" x14ac:dyDescent="0.25">
      <c r="A44" t="s">
        <v>80</v>
      </c>
      <c r="B44" t="s">
        <v>935</v>
      </c>
      <c r="C44" t="s">
        <v>2488</v>
      </c>
      <c r="D44">
        <v>3</v>
      </c>
    </row>
    <row r="45" spans="1:4" x14ac:dyDescent="0.25">
      <c r="A45" t="s">
        <v>80</v>
      </c>
      <c r="B45" t="s">
        <v>2152</v>
      </c>
      <c r="C45" t="s">
        <v>2489</v>
      </c>
      <c r="D45">
        <v>1</v>
      </c>
    </row>
    <row r="46" spans="1:4" x14ac:dyDescent="0.25">
      <c r="A46" t="s">
        <v>80</v>
      </c>
      <c r="B46" t="s">
        <v>494</v>
      </c>
      <c r="C46" t="s">
        <v>2310</v>
      </c>
      <c r="D46">
        <v>0</v>
      </c>
    </row>
    <row r="47" spans="1:4" x14ac:dyDescent="0.25">
      <c r="A47" t="s">
        <v>80</v>
      </c>
      <c r="B47" t="s">
        <v>460</v>
      </c>
      <c r="C47" t="s">
        <v>257</v>
      </c>
      <c r="D47">
        <v>-2</v>
      </c>
    </row>
    <row r="48" spans="1:4" x14ac:dyDescent="0.25">
      <c r="A48" t="s">
        <v>80</v>
      </c>
      <c r="B48" t="s">
        <v>737</v>
      </c>
      <c r="C48" t="s">
        <v>2490</v>
      </c>
      <c r="D48">
        <v>0</v>
      </c>
    </row>
    <row r="49" spans="1:4" x14ac:dyDescent="0.25">
      <c r="A49" t="s">
        <v>80</v>
      </c>
      <c r="B49" t="s">
        <v>868</v>
      </c>
      <c r="C49" t="s">
        <v>1727</v>
      </c>
      <c r="D49">
        <v>-2</v>
      </c>
    </row>
    <row r="50" spans="1:4" x14ac:dyDescent="0.25">
      <c r="A50" t="s">
        <v>80</v>
      </c>
      <c r="B50" t="s">
        <v>1725</v>
      </c>
      <c r="C50" t="s">
        <v>1728</v>
      </c>
      <c r="D50">
        <v>0</v>
      </c>
    </row>
    <row r="51" spans="1:4" x14ac:dyDescent="0.25">
      <c r="A51" t="s">
        <v>80</v>
      </c>
      <c r="B51" t="s">
        <v>1349</v>
      </c>
      <c r="C51" t="s">
        <v>2491</v>
      </c>
      <c r="D51">
        <v>-1</v>
      </c>
    </row>
    <row r="52" spans="1:4" x14ac:dyDescent="0.25">
      <c r="A52" t="s">
        <v>80</v>
      </c>
      <c r="B52" t="s">
        <v>1349</v>
      </c>
      <c r="C52" t="s">
        <v>1729</v>
      </c>
      <c r="D52">
        <v>-2</v>
      </c>
    </row>
    <row r="53" spans="1:4" x14ac:dyDescent="0.25">
      <c r="A53" t="s">
        <v>80</v>
      </c>
      <c r="B53" t="s">
        <v>941</v>
      </c>
      <c r="C53" t="s">
        <v>748</v>
      </c>
      <c r="D53">
        <v>0</v>
      </c>
    </row>
    <row r="54" spans="1:4" x14ac:dyDescent="0.25">
      <c r="A54" t="s">
        <v>80</v>
      </c>
      <c r="B54" t="s">
        <v>284</v>
      </c>
      <c r="C54" t="s">
        <v>2492</v>
      </c>
      <c r="D54">
        <v>3</v>
      </c>
    </row>
    <row r="55" spans="1:4" x14ac:dyDescent="0.25">
      <c r="A55" t="s">
        <v>80</v>
      </c>
      <c r="B55" t="s">
        <v>190</v>
      </c>
      <c r="C55" t="s">
        <v>2493</v>
      </c>
      <c r="D55">
        <v>1</v>
      </c>
    </row>
    <row r="56" spans="1:4" x14ac:dyDescent="0.25">
      <c r="A56" t="s">
        <v>80</v>
      </c>
      <c r="B56" t="s">
        <v>190</v>
      </c>
      <c r="C56" t="s">
        <v>385</v>
      </c>
      <c r="D56">
        <v>0</v>
      </c>
    </row>
    <row r="57" spans="1:4" x14ac:dyDescent="0.25">
      <c r="A57" t="s">
        <v>80</v>
      </c>
      <c r="B57" t="s">
        <v>544</v>
      </c>
      <c r="C57" t="s">
        <v>2494</v>
      </c>
      <c r="D57">
        <v>-2</v>
      </c>
    </row>
    <row r="58" spans="1:4" x14ac:dyDescent="0.25">
      <c r="A58" t="s">
        <v>80</v>
      </c>
      <c r="B58" t="s">
        <v>2048</v>
      </c>
      <c r="C58" t="s">
        <v>2495</v>
      </c>
      <c r="D58">
        <v>0</v>
      </c>
    </row>
    <row r="59" spans="1:4" x14ac:dyDescent="0.25">
      <c r="A59" t="s">
        <v>80</v>
      </c>
      <c r="B59" t="s">
        <v>322</v>
      </c>
      <c r="C59" t="s">
        <v>1534</v>
      </c>
      <c r="D59">
        <v>1</v>
      </c>
    </row>
    <row r="60" spans="1:4" x14ac:dyDescent="0.25">
      <c r="A60" t="s">
        <v>80</v>
      </c>
      <c r="B60" t="s">
        <v>322</v>
      </c>
      <c r="C60" t="s">
        <v>2496</v>
      </c>
      <c r="D60">
        <v>2</v>
      </c>
    </row>
    <row r="61" spans="1:4" x14ac:dyDescent="0.25">
      <c r="A61" t="s">
        <v>80</v>
      </c>
      <c r="B61" t="s">
        <v>902</v>
      </c>
      <c r="C61" t="s">
        <v>841</v>
      </c>
      <c r="D61">
        <v>0</v>
      </c>
    </row>
    <row r="62" spans="1:4" x14ac:dyDescent="0.25">
      <c r="A62" t="s">
        <v>123</v>
      </c>
      <c r="B62" t="s">
        <v>1007</v>
      </c>
      <c r="C62" t="s">
        <v>276</v>
      </c>
      <c r="D62">
        <v>-3</v>
      </c>
    </row>
    <row r="63" spans="1:4" x14ac:dyDescent="0.25">
      <c r="A63" t="s">
        <v>123</v>
      </c>
      <c r="B63" t="s">
        <v>81</v>
      </c>
      <c r="C63" t="s">
        <v>2497</v>
      </c>
      <c r="D63">
        <v>-1</v>
      </c>
    </row>
    <row r="64" spans="1:4" x14ac:dyDescent="0.25">
      <c r="A64" t="s">
        <v>123</v>
      </c>
      <c r="B64" t="s">
        <v>81</v>
      </c>
      <c r="C64" t="s">
        <v>2498</v>
      </c>
      <c r="D64">
        <v>0</v>
      </c>
    </row>
    <row r="65" spans="1:4" x14ac:dyDescent="0.25">
      <c r="A65" t="s">
        <v>123</v>
      </c>
      <c r="B65" t="s">
        <v>757</v>
      </c>
      <c r="C65" t="s">
        <v>2235</v>
      </c>
      <c r="D65">
        <v>-3</v>
      </c>
    </row>
    <row r="66" spans="1:4" x14ac:dyDescent="0.25">
      <c r="A66" t="s">
        <v>123</v>
      </c>
      <c r="B66" t="s">
        <v>1267</v>
      </c>
      <c r="C66" t="s">
        <v>2499</v>
      </c>
      <c r="D66">
        <v>-1</v>
      </c>
    </row>
    <row r="67" spans="1:4" x14ac:dyDescent="0.25">
      <c r="A67" t="s">
        <v>123</v>
      </c>
      <c r="B67" t="s">
        <v>1027</v>
      </c>
      <c r="C67" t="s">
        <v>2342</v>
      </c>
      <c r="D67">
        <v>0</v>
      </c>
    </row>
    <row r="68" spans="1:4" x14ac:dyDescent="0.25">
      <c r="A68" t="s">
        <v>123</v>
      </c>
      <c r="B68" t="s">
        <v>398</v>
      </c>
      <c r="C68" t="s">
        <v>512</v>
      </c>
      <c r="D68">
        <v>-3</v>
      </c>
    </row>
    <row r="69" spans="1:4" x14ac:dyDescent="0.25">
      <c r="A69" t="s">
        <v>123</v>
      </c>
      <c r="B69" t="s">
        <v>641</v>
      </c>
      <c r="C69" t="s">
        <v>513</v>
      </c>
      <c r="D69">
        <v>-1</v>
      </c>
    </row>
    <row r="70" spans="1:4" x14ac:dyDescent="0.25">
      <c r="A70" t="s">
        <v>123</v>
      </c>
      <c r="B70" t="s">
        <v>568</v>
      </c>
      <c r="C70" t="s">
        <v>2241</v>
      </c>
      <c r="D70">
        <v>-4</v>
      </c>
    </row>
    <row r="71" spans="1:4" x14ac:dyDescent="0.25">
      <c r="A71" t="s">
        <v>123</v>
      </c>
      <c r="B71" t="s">
        <v>1723</v>
      </c>
      <c r="C71" t="s">
        <v>2500</v>
      </c>
      <c r="D71">
        <v>-6</v>
      </c>
    </row>
    <row r="72" spans="1:4" x14ac:dyDescent="0.25">
      <c r="A72" t="s">
        <v>123</v>
      </c>
      <c r="B72" t="s">
        <v>95</v>
      </c>
      <c r="C72" t="s">
        <v>2501</v>
      </c>
      <c r="D72">
        <v>-3</v>
      </c>
    </row>
    <row r="73" spans="1:4" x14ac:dyDescent="0.25">
      <c r="A73" t="s">
        <v>123</v>
      </c>
      <c r="B73" t="s">
        <v>872</v>
      </c>
      <c r="C73" t="s">
        <v>854</v>
      </c>
      <c r="D73">
        <v>-6</v>
      </c>
    </row>
    <row r="74" spans="1:4" x14ac:dyDescent="0.25">
      <c r="A74" t="s">
        <v>123</v>
      </c>
      <c r="B74" t="s">
        <v>221</v>
      </c>
      <c r="C74" t="s">
        <v>2502</v>
      </c>
      <c r="D74">
        <v>-3</v>
      </c>
    </row>
    <row r="75" spans="1:4" x14ac:dyDescent="0.25">
      <c r="A75" t="s">
        <v>123</v>
      </c>
      <c r="B75" t="s">
        <v>600</v>
      </c>
      <c r="C75" t="s">
        <v>2503</v>
      </c>
      <c r="D75">
        <v>-5</v>
      </c>
    </row>
    <row r="76" spans="1:4" x14ac:dyDescent="0.25">
      <c r="A76" t="s">
        <v>123</v>
      </c>
      <c r="B76" t="s">
        <v>64</v>
      </c>
      <c r="C76" t="s">
        <v>530</v>
      </c>
      <c r="D76">
        <v>-2</v>
      </c>
    </row>
    <row r="77" spans="1:4" x14ac:dyDescent="0.25">
      <c r="A77" t="s">
        <v>123</v>
      </c>
      <c r="B77" t="s">
        <v>607</v>
      </c>
      <c r="C77" t="s">
        <v>532</v>
      </c>
      <c r="D77">
        <v>-1</v>
      </c>
    </row>
    <row r="78" spans="1:4" x14ac:dyDescent="0.25">
      <c r="A78" t="s">
        <v>123</v>
      </c>
      <c r="B78" t="s">
        <v>607</v>
      </c>
      <c r="C78" t="s">
        <v>533</v>
      </c>
      <c r="D78">
        <v>0</v>
      </c>
    </row>
    <row r="79" spans="1:4" x14ac:dyDescent="0.25">
      <c r="A79" t="s">
        <v>123</v>
      </c>
      <c r="B79" t="s">
        <v>475</v>
      </c>
      <c r="C79" t="s">
        <v>535</v>
      </c>
      <c r="D79">
        <v>-1</v>
      </c>
    </row>
    <row r="80" spans="1:4" x14ac:dyDescent="0.25">
      <c r="A80" t="s">
        <v>123</v>
      </c>
      <c r="B80" t="s">
        <v>475</v>
      </c>
      <c r="C80" t="s">
        <v>2504</v>
      </c>
      <c r="D80">
        <v>-2</v>
      </c>
    </row>
    <row r="81" spans="1:4" x14ac:dyDescent="0.25">
      <c r="A81" t="s">
        <v>123</v>
      </c>
      <c r="B81" t="s">
        <v>999</v>
      </c>
      <c r="C81" t="s">
        <v>2505</v>
      </c>
      <c r="D81">
        <v>1</v>
      </c>
    </row>
    <row r="82" spans="1:4" x14ac:dyDescent="0.25">
      <c r="A82" t="s">
        <v>123</v>
      </c>
      <c r="B82" t="s">
        <v>394</v>
      </c>
      <c r="C82" t="s">
        <v>2506</v>
      </c>
      <c r="D82">
        <v>3</v>
      </c>
    </row>
    <row r="83" spans="1:4" x14ac:dyDescent="0.25">
      <c r="A83" t="s">
        <v>123</v>
      </c>
      <c r="B83" t="s">
        <v>1646</v>
      </c>
      <c r="C83" t="s">
        <v>2507</v>
      </c>
      <c r="D83">
        <v>1</v>
      </c>
    </row>
    <row r="84" spans="1:4" x14ac:dyDescent="0.25">
      <c r="A84" t="s">
        <v>123</v>
      </c>
      <c r="B84" t="s">
        <v>559</v>
      </c>
      <c r="C84" t="s">
        <v>2508</v>
      </c>
      <c r="D84">
        <v>2</v>
      </c>
    </row>
    <row r="85" spans="1:4" x14ac:dyDescent="0.25">
      <c r="A85" t="s">
        <v>123</v>
      </c>
      <c r="B85" t="s">
        <v>559</v>
      </c>
      <c r="C85" t="s">
        <v>2509</v>
      </c>
      <c r="D85">
        <v>3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1.9047619047619047</v>
      </c>
    </row>
    <row r="89" spans="1:4" x14ac:dyDescent="0.25">
      <c r="A89" t="s">
        <v>159</v>
      </c>
      <c r="D89">
        <f>MAX(D2:D85)</f>
        <v>13</v>
      </c>
    </row>
    <row r="90" spans="1:4" x14ac:dyDescent="0.25">
      <c r="A90" t="s">
        <v>160</v>
      </c>
      <c r="D90">
        <f>MIN(D2:D85)</f>
        <v>-6</v>
      </c>
    </row>
    <row r="91" spans="1:4" x14ac:dyDescent="0.25">
      <c r="A91" t="s">
        <v>161</v>
      </c>
      <c r="D91">
        <f>COUNTIF(D2:D85,"&gt;0")</f>
        <v>48</v>
      </c>
    </row>
    <row r="92" spans="1:4" x14ac:dyDescent="0.25">
      <c r="A92" t="s">
        <v>162</v>
      </c>
      <c r="D92">
        <f>COUNTIF(D2:D85,"=0")</f>
        <v>11</v>
      </c>
    </row>
    <row r="93" spans="1:4" x14ac:dyDescent="0.25">
      <c r="A93" t="s">
        <v>1264</v>
      </c>
      <c r="D93">
        <f>COUNTIF(D2:D85,"&lt;0")</f>
        <v>25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AVERAGE(D2,D3,D4,D5,D6,D7,D8,D9,D10,D11,D12,D13,D14,D15,D16,D17,D18,D19,D20,D21,D22,D23,D24,D25)</f>
        <v>7.041666666666667</v>
      </c>
    </row>
    <row r="97" spans="1:4" x14ac:dyDescent="0.25">
      <c r="A97" t="s">
        <v>166</v>
      </c>
      <c r="D97">
        <f>AVERAGE(D26,D27,D28,D29,D30,D31,D32,D33,D34,D35,D36,D37,D38,D39,D40,D41)</f>
        <v>1.25</v>
      </c>
    </row>
    <row r="98" spans="1:4" x14ac:dyDescent="0.25">
      <c r="A98" t="s">
        <v>167</v>
      </c>
      <c r="D98">
        <f>AVERAGE(D42,D43,D44,D45,D46,D47,D48,D49,D50,D51,D52,D53,D54,D55,D56,D57,D58,D59,D60,D61)</f>
        <v>0.3</v>
      </c>
    </row>
    <row r="99" spans="1:4" x14ac:dyDescent="0.25">
      <c r="A99" t="s">
        <v>168</v>
      </c>
      <c r="D99">
        <f>AVERAGE(D62,D63,D64,D65,D66,D67,D68,D69,D70,D71,D72,D73,D74,D75,D76,D77,D78,D79,D80,D81,D82,D83,D84,D85)</f>
        <v>-1.4583333333333333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1648</v>
      </c>
      <c r="C2" t="s">
        <v>6</v>
      </c>
      <c r="D2">
        <v>2</v>
      </c>
    </row>
    <row r="3" spans="1:4" x14ac:dyDescent="0.25">
      <c r="A3" t="s">
        <v>4</v>
      </c>
      <c r="B3" t="s">
        <v>1735</v>
      </c>
      <c r="C3" t="s">
        <v>2353</v>
      </c>
      <c r="D3">
        <v>4</v>
      </c>
    </row>
    <row r="4" spans="1:4" x14ac:dyDescent="0.25">
      <c r="A4" t="s">
        <v>4</v>
      </c>
      <c r="B4" t="s">
        <v>1118</v>
      </c>
      <c r="C4" t="s">
        <v>2354</v>
      </c>
      <c r="D4">
        <v>3</v>
      </c>
    </row>
    <row r="5" spans="1:4" x14ac:dyDescent="0.25">
      <c r="A5" t="s">
        <v>4</v>
      </c>
      <c r="B5" t="s">
        <v>1118</v>
      </c>
      <c r="C5" t="s">
        <v>564</v>
      </c>
      <c r="D5">
        <v>2</v>
      </c>
    </row>
    <row r="6" spans="1:4" x14ac:dyDescent="0.25">
      <c r="A6" t="s">
        <v>4</v>
      </c>
      <c r="B6" t="s">
        <v>2510</v>
      </c>
      <c r="C6" t="s">
        <v>176</v>
      </c>
      <c r="D6">
        <v>4</v>
      </c>
    </row>
    <row r="7" spans="1:4" x14ac:dyDescent="0.25">
      <c r="A7" t="s">
        <v>4</v>
      </c>
      <c r="B7" t="s">
        <v>15</v>
      </c>
      <c r="C7" t="s">
        <v>178</v>
      </c>
      <c r="D7">
        <v>2</v>
      </c>
    </row>
    <row r="8" spans="1:4" x14ac:dyDescent="0.25">
      <c r="A8" t="s">
        <v>4</v>
      </c>
      <c r="B8" t="s">
        <v>651</v>
      </c>
      <c r="C8" t="s">
        <v>180</v>
      </c>
      <c r="D8">
        <v>4</v>
      </c>
    </row>
    <row r="9" spans="1:4" x14ac:dyDescent="0.25">
      <c r="A9" t="s">
        <v>4</v>
      </c>
      <c r="B9" t="s">
        <v>651</v>
      </c>
      <c r="C9" t="s">
        <v>182</v>
      </c>
      <c r="D9">
        <v>5</v>
      </c>
    </row>
    <row r="10" spans="1:4" x14ac:dyDescent="0.25">
      <c r="A10" t="s">
        <v>4</v>
      </c>
      <c r="B10" t="s">
        <v>499</v>
      </c>
      <c r="C10" t="s">
        <v>2356</v>
      </c>
      <c r="D10">
        <v>8</v>
      </c>
    </row>
    <row r="11" spans="1:4" x14ac:dyDescent="0.25">
      <c r="A11" t="s">
        <v>4</v>
      </c>
      <c r="B11" t="s">
        <v>2154</v>
      </c>
      <c r="C11" t="s">
        <v>314</v>
      </c>
      <c r="D11">
        <v>6</v>
      </c>
    </row>
    <row r="12" spans="1:4" x14ac:dyDescent="0.25">
      <c r="A12" t="s">
        <v>4</v>
      </c>
      <c r="B12" t="s">
        <v>1350</v>
      </c>
      <c r="C12" t="s">
        <v>316</v>
      </c>
      <c r="D12">
        <v>8</v>
      </c>
    </row>
    <row r="13" spans="1:4" x14ac:dyDescent="0.25">
      <c r="A13" t="s">
        <v>4</v>
      </c>
      <c r="B13" t="s">
        <v>285</v>
      </c>
      <c r="C13" t="s">
        <v>2511</v>
      </c>
      <c r="D13">
        <v>9</v>
      </c>
    </row>
    <row r="14" spans="1:4" x14ac:dyDescent="0.25">
      <c r="A14" t="s">
        <v>4</v>
      </c>
      <c r="B14" t="s">
        <v>285</v>
      </c>
      <c r="C14" t="s">
        <v>189</v>
      </c>
      <c r="D14">
        <v>10</v>
      </c>
    </row>
    <row r="15" spans="1:4" x14ac:dyDescent="0.25">
      <c r="A15" t="s">
        <v>4</v>
      </c>
      <c r="B15" t="s">
        <v>1739</v>
      </c>
      <c r="C15" t="s">
        <v>2512</v>
      </c>
      <c r="D15">
        <v>11</v>
      </c>
    </row>
    <row r="16" spans="1:4" x14ac:dyDescent="0.25">
      <c r="A16" t="s">
        <v>4</v>
      </c>
      <c r="B16" t="s">
        <v>228</v>
      </c>
      <c r="C16" t="s">
        <v>2513</v>
      </c>
      <c r="D16">
        <v>12</v>
      </c>
    </row>
    <row r="17" spans="1:4" x14ac:dyDescent="0.25">
      <c r="A17" t="s">
        <v>4</v>
      </c>
      <c r="B17" t="s">
        <v>228</v>
      </c>
      <c r="C17" t="s">
        <v>2514</v>
      </c>
      <c r="D17">
        <v>13</v>
      </c>
    </row>
    <row r="18" spans="1:4" x14ac:dyDescent="0.25">
      <c r="A18" t="s">
        <v>4</v>
      </c>
      <c r="B18" t="s">
        <v>709</v>
      </c>
      <c r="C18" t="s">
        <v>2515</v>
      </c>
      <c r="D18">
        <v>12</v>
      </c>
    </row>
    <row r="19" spans="1:4" x14ac:dyDescent="0.25">
      <c r="A19" t="s">
        <v>4</v>
      </c>
      <c r="B19" t="s">
        <v>709</v>
      </c>
      <c r="C19" t="s">
        <v>2516</v>
      </c>
      <c r="D19">
        <v>11</v>
      </c>
    </row>
    <row r="20" spans="1:4" x14ac:dyDescent="0.25">
      <c r="A20" t="s">
        <v>4</v>
      </c>
      <c r="B20" t="s">
        <v>898</v>
      </c>
      <c r="C20" t="s">
        <v>2517</v>
      </c>
      <c r="D20">
        <v>13</v>
      </c>
    </row>
    <row r="21" spans="1:4" x14ac:dyDescent="0.25">
      <c r="A21" t="s">
        <v>4</v>
      </c>
      <c r="B21" t="s">
        <v>1356</v>
      </c>
      <c r="C21" t="s">
        <v>1358</v>
      </c>
      <c r="D21">
        <v>10</v>
      </c>
    </row>
    <row r="22" spans="1:4" x14ac:dyDescent="0.25">
      <c r="A22" t="s">
        <v>4</v>
      </c>
      <c r="B22" t="s">
        <v>900</v>
      </c>
      <c r="C22" t="s">
        <v>327</v>
      </c>
      <c r="D22">
        <v>9</v>
      </c>
    </row>
    <row r="23" spans="1:4" x14ac:dyDescent="0.25">
      <c r="A23" t="s">
        <v>4</v>
      </c>
      <c r="B23" t="s">
        <v>900</v>
      </c>
      <c r="C23" t="s">
        <v>2047</v>
      </c>
      <c r="D23">
        <v>8</v>
      </c>
    </row>
    <row r="24" spans="1:4" x14ac:dyDescent="0.25">
      <c r="A24" t="s">
        <v>4</v>
      </c>
      <c r="B24" t="s">
        <v>1646</v>
      </c>
      <c r="C24" t="s">
        <v>2518</v>
      </c>
      <c r="D24">
        <v>10</v>
      </c>
    </row>
    <row r="25" spans="1:4" x14ac:dyDescent="0.25">
      <c r="A25" t="s">
        <v>4</v>
      </c>
      <c r="B25" t="s">
        <v>1276</v>
      </c>
      <c r="C25" t="s">
        <v>2519</v>
      </c>
      <c r="D25">
        <v>11</v>
      </c>
    </row>
    <row r="26" spans="1:4" x14ac:dyDescent="0.25">
      <c r="A26" t="s">
        <v>4</v>
      </c>
      <c r="B26" t="s">
        <v>1276</v>
      </c>
      <c r="C26" t="s">
        <v>2520</v>
      </c>
      <c r="D26">
        <v>12</v>
      </c>
    </row>
    <row r="27" spans="1:4" x14ac:dyDescent="0.25">
      <c r="A27" t="s">
        <v>40</v>
      </c>
      <c r="B27" t="s">
        <v>1929</v>
      </c>
      <c r="C27" t="s">
        <v>2521</v>
      </c>
      <c r="D27">
        <v>15</v>
      </c>
    </row>
    <row r="28" spans="1:4" x14ac:dyDescent="0.25">
      <c r="A28" t="s">
        <v>40</v>
      </c>
      <c r="B28" t="s">
        <v>777</v>
      </c>
      <c r="C28" t="s">
        <v>2522</v>
      </c>
      <c r="D28">
        <v>12</v>
      </c>
    </row>
    <row r="29" spans="1:4" x14ac:dyDescent="0.25">
      <c r="A29" t="s">
        <v>40</v>
      </c>
      <c r="B29" t="s">
        <v>130</v>
      </c>
      <c r="C29" t="s">
        <v>1026</v>
      </c>
      <c r="D29">
        <v>10</v>
      </c>
    </row>
    <row r="30" spans="1:4" x14ac:dyDescent="0.25">
      <c r="A30" t="s">
        <v>40</v>
      </c>
      <c r="B30" t="s">
        <v>724</v>
      </c>
      <c r="C30" t="s">
        <v>1930</v>
      </c>
      <c r="D30">
        <v>9</v>
      </c>
    </row>
    <row r="31" spans="1:4" x14ac:dyDescent="0.25">
      <c r="A31" t="s">
        <v>40</v>
      </c>
      <c r="B31" t="s">
        <v>724</v>
      </c>
      <c r="C31" t="s">
        <v>2523</v>
      </c>
      <c r="D31">
        <v>8</v>
      </c>
    </row>
    <row r="32" spans="1:4" x14ac:dyDescent="0.25">
      <c r="A32" t="s">
        <v>40</v>
      </c>
      <c r="B32" t="s">
        <v>307</v>
      </c>
      <c r="C32" t="s">
        <v>2524</v>
      </c>
      <c r="D32">
        <v>11</v>
      </c>
    </row>
    <row r="33" spans="1:4" x14ac:dyDescent="0.25">
      <c r="A33" t="s">
        <v>40</v>
      </c>
      <c r="B33" t="s">
        <v>1065</v>
      </c>
      <c r="C33" t="s">
        <v>2525</v>
      </c>
      <c r="D33">
        <v>9</v>
      </c>
    </row>
    <row r="34" spans="1:4" x14ac:dyDescent="0.25">
      <c r="A34" t="s">
        <v>40</v>
      </c>
      <c r="B34" t="s">
        <v>1817</v>
      </c>
      <c r="C34" t="s">
        <v>2526</v>
      </c>
      <c r="D34">
        <v>11</v>
      </c>
    </row>
    <row r="35" spans="1:4" x14ac:dyDescent="0.25">
      <c r="A35" t="s">
        <v>40</v>
      </c>
      <c r="B35" t="s">
        <v>1170</v>
      </c>
      <c r="C35" t="s">
        <v>1934</v>
      </c>
      <c r="D35">
        <v>9</v>
      </c>
    </row>
    <row r="36" spans="1:4" x14ac:dyDescent="0.25">
      <c r="A36" t="s">
        <v>40</v>
      </c>
      <c r="B36" t="s">
        <v>519</v>
      </c>
      <c r="C36" t="s">
        <v>2527</v>
      </c>
      <c r="D36">
        <v>7</v>
      </c>
    </row>
    <row r="37" spans="1:4" x14ac:dyDescent="0.25">
      <c r="A37" t="s">
        <v>40</v>
      </c>
      <c r="B37" t="s">
        <v>1503</v>
      </c>
      <c r="C37" t="s">
        <v>2160</v>
      </c>
      <c r="D37">
        <v>8</v>
      </c>
    </row>
    <row r="38" spans="1:4" x14ac:dyDescent="0.25">
      <c r="A38" t="s">
        <v>40</v>
      </c>
      <c r="B38" t="s">
        <v>1503</v>
      </c>
      <c r="C38" t="s">
        <v>2528</v>
      </c>
      <c r="D38">
        <v>9</v>
      </c>
    </row>
    <row r="39" spans="1:4" x14ac:dyDescent="0.25">
      <c r="A39" t="s">
        <v>40</v>
      </c>
      <c r="B39" t="s">
        <v>1517</v>
      </c>
      <c r="C39" t="s">
        <v>2529</v>
      </c>
      <c r="D39">
        <v>8</v>
      </c>
    </row>
    <row r="40" spans="1:4" x14ac:dyDescent="0.25">
      <c r="A40" t="s">
        <v>40</v>
      </c>
      <c r="B40" t="s">
        <v>706</v>
      </c>
      <c r="C40" t="s">
        <v>1444</v>
      </c>
      <c r="D40">
        <v>5</v>
      </c>
    </row>
    <row r="41" spans="1:4" x14ac:dyDescent="0.25">
      <c r="A41" t="s">
        <v>40</v>
      </c>
      <c r="B41" t="s">
        <v>2363</v>
      </c>
      <c r="C41" t="s">
        <v>2267</v>
      </c>
      <c r="D41">
        <v>3</v>
      </c>
    </row>
    <row r="42" spans="1:4" x14ac:dyDescent="0.25">
      <c r="A42" t="s">
        <v>40</v>
      </c>
      <c r="B42" t="s">
        <v>2363</v>
      </c>
      <c r="C42" t="s">
        <v>728</v>
      </c>
      <c r="D42">
        <v>2</v>
      </c>
    </row>
    <row r="43" spans="1:4" x14ac:dyDescent="0.25">
      <c r="A43" t="s">
        <v>40</v>
      </c>
      <c r="B43" t="s">
        <v>1675</v>
      </c>
      <c r="C43" t="s">
        <v>1216</v>
      </c>
      <c r="D43">
        <v>4</v>
      </c>
    </row>
    <row r="44" spans="1:4" x14ac:dyDescent="0.25">
      <c r="A44" t="s">
        <v>40</v>
      </c>
      <c r="B44" t="s">
        <v>296</v>
      </c>
      <c r="C44" t="s">
        <v>1218</v>
      </c>
      <c r="D44">
        <v>2</v>
      </c>
    </row>
    <row r="45" spans="1:4" x14ac:dyDescent="0.25">
      <c r="A45" t="s">
        <v>40</v>
      </c>
      <c r="B45" t="s">
        <v>296</v>
      </c>
      <c r="C45" t="s">
        <v>2486</v>
      </c>
      <c r="D45">
        <v>1</v>
      </c>
    </row>
    <row r="46" spans="1:4" x14ac:dyDescent="0.25">
      <c r="A46" t="s">
        <v>40</v>
      </c>
      <c r="B46" t="s">
        <v>1489</v>
      </c>
      <c r="C46" t="s">
        <v>356</v>
      </c>
      <c r="D46">
        <v>3</v>
      </c>
    </row>
    <row r="47" spans="1:4" x14ac:dyDescent="0.25">
      <c r="A47" t="s">
        <v>80</v>
      </c>
      <c r="B47" t="s">
        <v>1541</v>
      </c>
      <c r="C47" t="s">
        <v>1221</v>
      </c>
      <c r="D47">
        <v>0</v>
      </c>
    </row>
    <row r="48" spans="1:4" x14ac:dyDescent="0.25">
      <c r="A48" t="s">
        <v>80</v>
      </c>
      <c r="B48" t="s">
        <v>269</v>
      </c>
      <c r="C48" t="s">
        <v>1760</v>
      </c>
      <c r="D48">
        <v>1</v>
      </c>
    </row>
    <row r="49" spans="1:4" x14ac:dyDescent="0.25">
      <c r="A49" t="s">
        <v>80</v>
      </c>
      <c r="B49" t="s">
        <v>269</v>
      </c>
      <c r="C49" t="s">
        <v>479</v>
      </c>
      <c r="D49">
        <v>2</v>
      </c>
    </row>
    <row r="50" spans="1:4" x14ac:dyDescent="0.25">
      <c r="A50" t="s">
        <v>80</v>
      </c>
      <c r="B50" t="s">
        <v>757</v>
      </c>
      <c r="C50" t="s">
        <v>480</v>
      </c>
      <c r="D50">
        <v>0</v>
      </c>
    </row>
    <row r="51" spans="1:4" x14ac:dyDescent="0.25">
      <c r="A51" t="s">
        <v>80</v>
      </c>
      <c r="B51" t="s">
        <v>935</v>
      </c>
      <c r="C51" t="s">
        <v>2487</v>
      </c>
      <c r="D51">
        <v>3</v>
      </c>
    </row>
    <row r="52" spans="1:4" x14ac:dyDescent="0.25">
      <c r="A52" t="s">
        <v>80</v>
      </c>
      <c r="B52" t="s">
        <v>355</v>
      </c>
      <c r="C52" t="s">
        <v>1226</v>
      </c>
      <c r="D52">
        <v>1</v>
      </c>
    </row>
    <row r="53" spans="1:4" x14ac:dyDescent="0.25">
      <c r="A53" t="s">
        <v>80</v>
      </c>
      <c r="B53" t="s">
        <v>1119</v>
      </c>
      <c r="C53" t="s">
        <v>2488</v>
      </c>
      <c r="D53">
        <v>3</v>
      </c>
    </row>
    <row r="54" spans="1:4" x14ac:dyDescent="0.25">
      <c r="A54" t="s">
        <v>80</v>
      </c>
      <c r="B54" t="s">
        <v>1683</v>
      </c>
      <c r="C54" t="s">
        <v>2530</v>
      </c>
      <c r="D54">
        <v>5</v>
      </c>
    </row>
    <row r="55" spans="1:4" x14ac:dyDescent="0.25">
      <c r="A55" t="s">
        <v>80</v>
      </c>
      <c r="B55" t="s">
        <v>433</v>
      </c>
      <c r="C55" t="s">
        <v>2531</v>
      </c>
      <c r="D55">
        <v>7</v>
      </c>
    </row>
    <row r="56" spans="1:4" x14ac:dyDescent="0.25">
      <c r="A56" t="s">
        <v>80</v>
      </c>
      <c r="B56" t="s">
        <v>184</v>
      </c>
      <c r="C56" t="s">
        <v>489</v>
      </c>
      <c r="D56">
        <v>4</v>
      </c>
    </row>
    <row r="57" spans="1:4" x14ac:dyDescent="0.25">
      <c r="A57" t="s">
        <v>80</v>
      </c>
      <c r="B57" t="s">
        <v>219</v>
      </c>
      <c r="C57" t="s">
        <v>491</v>
      </c>
      <c r="D57">
        <v>7</v>
      </c>
    </row>
    <row r="58" spans="1:4" x14ac:dyDescent="0.25">
      <c r="A58" t="s">
        <v>80</v>
      </c>
      <c r="B58" t="s">
        <v>874</v>
      </c>
      <c r="C58" t="s">
        <v>1526</v>
      </c>
      <c r="D58">
        <v>5</v>
      </c>
    </row>
    <row r="59" spans="1:4" x14ac:dyDescent="0.25">
      <c r="A59" t="s">
        <v>80</v>
      </c>
      <c r="B59" t="s">
        <v>263</v>
      </c>
      <c r="C59" t="s">
        <v>1528</v>
      </c>
      <c r="D59">
        <v>3</v>
      </c>
    </row>
    <row r="60" spans="1:4" x14ac:dyDescent="0.25">
      <c r="A60" t="s">
        <v>80</v>
      </c>
      <c r="B60" t="s">
        <v>1698</v>
      </c>
      <c r="C60" t="s">
        <v>495</v>
      </c>
      <c r="D60">
        <v>5</v>
      </c>
    </row>
    <row r="61" spans="1:4" x14ac:dyDescent="0.25">
      <c r="A61" t="s">
        <v>80</v>
      </c>
      <c r="B61" t="s">
        <v>110</v>
      </c>
      <c r="C61" t="s">
        <v>2492</v>
      </c>
      <c r="D61">
        <v>3</v>
      </c>
    </row>
    <row r="62" spans="1:4" x14ac:dyDescent="0.25">
      <c r="A62" t="s">
        <v>80</v>
      </c>
      <c r="B62" t="s">
        <v>876</v>
      </c>
      <c r="C62" t="s">
        <v>2493</v>
      </c>
      <c r="D62">
        <v>1</v>
      </c>
    </row>
    <row r="63" spans="1:4" x14ac:dyDescent="0.25">
      <c r="A63" t="s">
        <v>80</v>
      </c>
      <c r="B63" t="s">
        <v>1048</v>
      </c>
      <c r="C63" t="s">
        <v>2532</v>
      </c>
      <c r="D63">
        <v>-1</v>
      </c>
    </row>
    <row r="64" spans="1:4" x14ac:dyDescent="0.25">
      <c r="A64" t="s">
        <v>80</v>
      </c>
      <c r="B64" t="s">
        <v>1048</v>
      </c>
      <c r="C64" t="s">
        <v>2494</v>
      </c>
      <c r="D64">
        <v>-2</v>
      </c>
    </row>
    <row r="65" spans="1:4" x14ac:dyDescent="0.25">
      <c r="A65" t="s">
        <v>80</v>
      </c>
      <c r="B65" t="s">
        <v>1402</v>
      </c>
      <c r="C65" t="s">
        <v>838</v>
      </c>
      <c r="D65">
        <v>-3</v>
      </c>
    </row>
    <row r="66" spans="1:4" x14ac:dyDescent="0.25">
      <c r="A66" t="s">
        <v>80</v>
      </c>
      <c r="B66" t="s">
        <v>1402</v>
      </c>
      <c r="C66" t="s">
        <v>839</v>
      </c>
      <c r="D66">
        <v>-4</v>
      </c>
    </row>
    <row r="67" spans="1:4" x14ac:dyDescent="0.25">
      <c r="A67" t="s">
        <v>80</v>
      </c>
      <c r="B67" t="s">
        <v>294</v>
      </c>
      <c r="C67" t="s">
        <v>840</v>
      </c>
      <c r="D67">
        <v>-2</v>
      </c>
    </row>
    <row r="68" spans="1:4" x14ac:dyDescent="0.25">
      <c r="A68" t="s">
        <v>123</v>
      </c>
      <c r="B68" t="s">
        <v>352</v>
      </c>
      <c r="C68" t="s">
        <v>2533</v>
      </c>
      <c r="D68">
        <v>1</v>
      </c>
    </row>
    <row r="69" spans="1:4" x14ac:dyDescent="0.25">
      <c r="A69" t="s">
        <v>123</v>
      </c>
      <c r="B69" t="s">
        <v>1083</v>
      </c>
      <c r="C69" t="s">
        <v>2231</v>
      </c>
      <c r="D69">
        <v>-2</v>
      </c>
    </row>
    <row r="70" spans="1:4" x14ac:dyDescent="0.25">
      <c r="A70" t="s">
        <v>123</v>
      </c>
      <c r="B70" t="s">
        <v>273</v>
      </c>
      <c r="C70" t="s">
        <v>2498</v>
      </c>
      <c r="D70">
        <v>0</v>
      </c>
    </row>
    <row r="71" spans="1:4" x14ac:dyDescent="0.25">
      <c r="A71" t="s">
        <v>123</v>
      </c>
      <c r="B71" t="s">
        <v>1210</v>
      </c>
      <c r="C71" t="s">
        <v>2235</v>
      </c>
      <c r="D71">
        <v>-3</v>
      </c>
    </row>
    <row r="72" spans="1:4" x14ac:dyDescent="0.25">
      <c r="A72" t="s">
        <v>123</v>
      </c>
      <c r="B72" t="s">
        <v>357</v>
      </c>
      <c r="C72" t="s">
        <v>2342</v>
      </c>
      <c r="D72">
        <v>0</v>
      </c>
    </row>
    <row r="73" spans="1:4" x14ac:dyDescent="0.25">
      <c r="A73" t="s">
        <v>123</v>
      </c>
      <c r="B73" t="s">
        <v>590</v>
      </c>
      <c r="C73" t="s">
        <v>2534</v>
      </c>
      <c r="D73">
        <v>-2</v>
      </c>
    </row>
    <row r="74" spans="1:4" x14ac:dyDescent="0.25">
      <c r="A74" t="s">
        <v>123</v>
      </c>
      <c r="B74" t="s">
        <v>13</v>
      </c>
      <c r="C74" t="s">
        <v>652</v>
      </c>
      <c r="D74">
        <v>1</v>
      </c>
    </row>
    <row r="75" spans="1:4" x14ac:dyDescent="0.25">
      <c r="A75" t="s">
        <v>123</v>
      </c>
      <c r="B75" t="s">
        <v>1817</v>
      </c>
      <c r="C75" t="s">
        <v>850</v>
      </c>
      <c r="D75">
        <v>-2</v>
      </c>
    </row>
    <row r="76" spans="1:4" x14ac:dyDescent="0.25">
      <c r="A76" t="s">
        <v>123</v>
      </c>
      <c r="B76" t="s">
        <v>263</v>
      </c>
      <c r="C76" t="s">
        <v>141</v>
      </c>
      <c r="D76">
        <v>-4</v>
      </c>
    </row>
    <row r="77" spans="1:4" x14ac:dyDescent="0.25">
      <c r="A77" t="s">
        <v>123</v>
      </c>
      <c r="B77" t="s">
        <v>142</v>
      </c>
      <c r="C77" t="s">
        <v>2242</v>
      </c>
      <c r="D77">
        <v>-2</v>
      </c>
    </row>
    <row r="78" spans="1:4" x14ac:dyDescent="0.25">
      <c r="A78" t="s">
        <v>123</v>
      </c>
      <c r="B78" t="s">
        <v>876</v>
      </c>
      <c r="C78" t="s">
        <v>853</v>
      </c>
      <c r="D78">
        <v>-4</v>
      </c>
    </row>
    <row r="79" spans="1:4" x14ac:dyDescent="0.25">
      <c r="A79" t="s">
        <v>123</v>
      </c>
      <c r="B79" t="s">
        <v>148</v>
      </c>
      <c r="C79" t="s">
        <v>522</v>
      </c>
      <c r="D79">
        <v>-2</v>
      </c>
    </row>
    <row r="80" spans="1:4" x14ac:dyDescent="0.25">
      <c r="A80" t="s">
        <v>123</v>
      </c>
      <c r="B80" t="s">
        <v>1113</v>
      </c>
      <c r="C80" t="s">
        <v>2244</v>
      </c>
      <c r="D80">
        <v>-1</v>
      </c>
    </row>
    <row r="81" spans="1:4" x14ac:dyDescent="0.25">
      <c r="A81" t="s">
        <v>123</v>
      </c>
      <c r="B81" t="s">
        <v>1113</v>
      </c>
      <c r="C81" t="s">
        <v>2245</v>
      </c>
      <c r="D81">
        <v>0</v>
      </c>
    </row>
    <row r="82" spans="1:4" x14ac:dyDescent="0.25">
      <c r="A82" t="s">
        <v>123</v>
      </c>
      <c r="B82" t="s">
        <v>675</v>
      </c>
      <c r="C82" t="s">
        <v>526</v>
      </c>
      <c r="D82">
        <v>-1</v>
      </c>
    </row>
    <row r="83" spans="1:4" x14ac:dyDescent="0.25">
      <c r="A83" t="s">
        <v>123</v>
      </c>
      <c r="B83" t="s">
        <v>675</v>
      </c>
      <c r="C83" t="s">
        <v>527</v>
      </c>
      <c r="D83">
        <v>-2</v>
      </c>
    </row>
    <row r="84" spans="1:4" x14ac:dyDescent="0.25">
      <c r="A84" t="s">
        <v>123</v>
      </c>
      <c r="B84" t="s">
        <v>38</v>
      </c>
      <c r="C84" t="s">
        <v>2246</v>
      </c>
      <c r="D84">
        <v>-3</v>
      </c>
    </row>
    <row r="85" spans="1:4" x14ac:dyDescent="0.25">
      <c r="A85" t="s">
        <v>123</v>
      </c>
      <c r="B85" t="s">
        <v>38</v>
      </c>
      <c r="C85" t="s">
        <v>2316</v>
      </c>
      <c r="D85">
        <v>-4</v>
      </c>
    </row>
    <row r="86" spans="1:4" x14ac:dyDescent="0.25">
      <c r="A86" t="s">
        <v>123</v>
      </c>
      <c r="B86" t="s">
        <v>38</v>
      </c>
      <c r="C86" t="s">
        <v>530</v>
      </c>
      <c r="D86">
        <v>-2</v>
      </c>
    </row>
    <row r="87" spans="1:4" x14ac:dyDescent="0.25">
      <c r="A87" t="s">
        <v>123</v>
      </c>
      <c r="B87" t="s">
        <v>38</v>
      </c>
      <c r="C87" t="s">
        <v>860</v>
      </c>
      <c r="D87">
        <v>-3</v>
      </c>
    </row>
    <row r="88" spans="1:4" x14ac:dyDescent="0.25">
      <c r="A88" t="s">
        <v>123</v>
      </c>
      <c r="B88" t="s">
        <v>38</v>
      </c>
      <c r="C88" t="s">
        <v>2535</v>
      </c>
      <c r="D88">
        <v>-4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3.9540229885057472</v>
      </c>
    </row>
    <row r="92" spans="1:4" x14ac:dyDescent="0.25">
      <c r="A92" t="s">
        <v>159</v>
      </c>
      <c r="D92">
        <f>MAX(D2:D88)</f>
        <v>15</v>
      </c>
    </row>
    <row r="93" spans="1:4" x14ac:dyDescent="0.25">
      <c r="A93" t="s">
        <v>160</v>
      </c>
      <c r="D93">
        <f>MIN(D2:D88)</f>
        <v>-4</v>
      </c>
    </row>
    <row r="94" spans="1:4" x14ac:dyDescent="0.25">
      <c r="A94" t="s">
        <v>161</v>
      </c>
      <c r="D94">
        <f>COUNTIF(D2:D88,"&gt;0")</f>
        <v>61</v>
      </c>
    </row>
    <row r="95" spans="1:4" x14ac:dyDescent="0.25">
      <c r="A95" t="s">
        <v>162</v>
      </c>
      <c r="D95">
        <f>COUNTIF(D2:D88,"=0")</f>
        <v>5</v>
      </c>
    </row>
    <row r="96" spans="1:4" x14ac:dyDescent="0.25">
      <c r="A96" t="s">
        <v>1264</v>
      </c>
      <c r="D96">
        <f>COUNTIF(D2:D88,"&lt;0")</f>
        <v>21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AVERAGE(D2,D3,D4,D5,D6,D7,D8,D9,D10,D11,D12,D13,D14,D15,D16,D17,D18,D19,D20,D21,D22,D23,D24,D25,D26)</f>
        <v>7.96</v>
      </c>
    </row>
    <row r="100" spans="1:4" x14ac:dyDescent="0.25">
      <c r="A100" t="s">
        <v>166</v>
      </c>
      <c r="D100">
        <f>AVERAGE(D27,D28,D29,D30,D31,D32,D33,D34,D35,D36,D37,D38,D39,D40,D41,D42,D43,D44,D45,D46)</f>
        <v>7.3</v>
      </c>
    </row>
    <row r="101" spans="1:4" x14ac:dyDescent="0.25">
      <c r="A101" t="s">
        <v>167</v>
      </c>
      <c r="D101">
        <f>AVERAGE(D47,D48,D49,D50,D51,D52,D53,D54,D55,D56,D57,D58,D59,D60,D61,D62,D63,D64,D65,D66,D67)</f>
        <v>1.8095238095238095</v>
      </c>
    </row>
    <row r="102" spans="1:4" x14ac:dyDescent="0.25">
      <c r="A102" t="s">
        <v>168</v>
      </c>
      <c r="D102">
        <f>AVERAGE(D68,D69,D70,D71,D72,D73,D74,D75,D76,D77,D78,D79,D80,D81,D82,D83,D84,D85,D86,D87,D88)</f>
        <v>-1.8571428571428572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1010</v>
      </c>
      <c r="C2" t="s">
        <v>2536</v>
      </c>
      <c r="D2">
        <v>-1</v>
      </c>
    </row>
    <row r="3" spans="1:4" x14ac:dyDescent="0.25">
      <c r="A3" t="s">
        <v>4</v>
      </c>
      <c r="B3" t="s">
        <v>1010</v>
      </c>
      <c r="C3" t="s">
        <v>908</v>
      </c>
      <c r="D3">
        <v>-2</v>
      </c>
    </row>
    <row r="4" spans="1:4" x14ac:dyDescent="0.25">
      <c r="A4" t="s">
        <v>4</v>
      </c>
      <c r="B4" t="s">
        <v>514</v>
      </c>
      <c r="C4" t="s">
        <v>8</v>
      </c>
      <c r="D4">
        <v>0</v>
      </c>
    </row>
    <row r="5" spans="1:4" x14ac:dyDescent="0.25">
      <c r="A5" t="s">
        <v>4</v>
      </c>
      <c r="B5" t="s">
        <v>570</v>
      </c>
      <c r="C5" t="s">
        <v>1869</v>
      </c>
      <c r="D5">
        <v>-3</v>
      </c>
    </row>
    <row r="6" spans="1:4" x14ac:dyDescent="0.25">
      <c r="A6" t="s">
        <v>4</v>
      </c>
      <c r="B6" t="s">
        <v>834</v>
      </c>
      <c r="C6" t="s">
        <v>2430</v>
      </c>
      <c r="D6">
        <v>0</v>
      </c>
    </row>
    <row r="7" spans="1:4" x14ac:dyDescent="0.25">
      <c r="A7" t="s">
        <v>4</v>
      </c>
      <c r="B7" t="s">
        <v>834</v>
      </c>
      <c r="C7" t="s">
        <v>1193</v>
      </c>
      <c r="D7">
        <v>1</v>
      </c>
    </row>
    <row r="8" spans="1:4" x14ac:dyDescent="0.25">
      <c r="A8" t="s">
        <v>4</v>
      </c>
      <c r="B8" t="s">
        <v>181</v>
      </c>
      <c r="C8" t="s">
        <v>18</v>
      </c>
      <c r="D8">
        <v>-2</v>
      </c>
    </row>
    <row r="9" spans="1:4" x14ac:dyDescent="0.25">
      <c r="A9" t="s">
        <v>4</v>
      </c>
      <c r="B9" t="s">
        <v>1151</v>
      </c>
      <c r="C9" t="s">
        <v>20</v>
      </c>
      <c r="D9">
        <v>0</v>
      </c>
    </row>
    <row r="10" spans="1:4" x14ac:dyDescent="0.25">
      <c r="A10" t="s">
        <v>4</v>
      </c>
      <c r="B10" t="s">
        <v>1092</v>
      </c>
      <c r="C10" t="s">
        <v>22</v>
      </c>
      <c r="D10">
        <v>2</v>
      </c>
    </row>
    <row r="11" spans="1:4" x14ac:dyDescent="0.25">
      <c r="A11" t="s">
        <v>4</v>
      </c>
      <c r="B11" t="s">
        <v>142</v>
      </c>
      <c r="C11" t="s">
        <v>785</v>
      </c>
      <c r="D11">
        <v>5</v>
      </c>
    </row>
    <row r="12" spans="1:4" x14ac:dyDescent="0.25">
      <c r="A12" t="s">
        <v>4</v>
      </c>
      <c r="B12" t="s">
        <v>544</v>
      </c>
      <c r="C12" t="s">
        <v>918</v>
      </c>
      <c r="D12">
        <v>3</v>
      </c>
    </row>
    <row r="13" spans="1:4" x14ac:dyDescent="0.25">
      <c r="A13" t="s">
        <v>4</v>
      </c>
      <c r="B13" t="s">
        <v>1396</v>
      </c>
      <c r="C13" t="s">
        <v>1111</v>
      </c>
      <c r="D13">
        <v>5</v>
      </c>
    </row>
    <row r="14" spans="1:4" x14ac:dyDescent="0.25">
      <c r="A14" t="s">
        <v>4</v>
      </c>
      <c r="B14" t="s">
        <v>631</v>
      </c>
      <c r="C14" t="s">
        <v>2537</v>
      </c>
      <c r="D14">
        <v>4</v>
      </c>
    </row>
    <row r="15" spans="1:4" x14ac:dyDescent="0.25">
      <c r="A15" t="s">
        <v>4</v>
      </c>
      <c r="B15" t="s">
        <v>1202</v>
      </c>
      <c r="C15" t="s">
        <v>2479</v>
      </c>
      <c r="D15">
        <v>6</v>
      </c>
    </row>
    <row r="16" spans="1:4" x14ac:dyDescent="0.25">
      <c r="A16" t="s">
        <v>4</v>
      </c>
      <c r="B16" t="s">
        <v>417</v>
      </c>
      <c r="C16" t="s">
        <v>2538</v>
      </c>
      <c r="D16">
        <v>3</v>
      </c>
    </row>
    <row r="17" spans="1:4" x14ac:dyDescent="0.25">
      <c r="A17" t="s">
        <v>4</v>
      </c>
      <c r="B17" t="s">
        <v>118</v>
      </c>
      <c r="C17" t="s">
        <v>2539</v>
      </c>
      <c r="D17">
        <v>6</v>
      </c>
    </row>
    <row r="18" spans="1:4" x14ac:dyDescent="0.25">
      <c r="A18" t="s">
        <v>4</v>
      </c>
      <c r="B18" t="s">
        <v>120</v>
      </c>
      <c r="C18" t="s">
        <v>790</v>
      </c>
      <c r="D18">
        <v>4</v>
      </c>
    </row>
    <row r="19" spans="1:4" x14ac:dyDescent="0.25">
      <c r="A19" t="s">
        <v>4</v>
      </c>
      <c r="B19" t="s">
        <v>1222</v>
      </c>
      <c r="C19" t="s">
        <v>1748</v>
      </c>
      <c r="D19">
        <v>6</v>
      </c>
    </row>
    <row r="20" spans="1:4" x14ac:dyDescent="0.25">
      <c r="A20" t="s">
        <v>4</v>
      </c>
      <c r="B20" t="s">
        <v>1990</v>
      </c>
      <c r="C20" t="s">
        <v>2540</v>
      </c>
      <c r="D20">
        <v>8</v>
      </c>
    </row>
    <row r="21" spans="1:4" x14ac:dyDescent="0.25">
      <c r="A21" t="s">
        <v>4</v>
      </c>
      <c r="B21" t="s">
        <v>772</v>
      </c>
      <c r="C21" t="s">
        <v>206</v>
      </c>
      <c r="D21">
        <v>6</v>
      </c>
    </row>
    <row r="22" spans="1:4" x14ac:dyDescent="0.25">
      <c r="A22" t="s">
        <v>40</v>
      </c>
      <c r="B22" t="s">
        <v>1648</v>
      </c>
      <c r="C22" t="s">
        <v>1122</v>
      </c>
      <c r="D22">
        <v>4</v>
      </c>
    </row>
    <row r="23" spans="1:4" x14ac:dyDescent="0.25">
      <c r="A23" t="s">
        <v>40</v>
      </c>
      <c r="B23" t="s">
        <v>7</v>
      </c>
      <c r="C23" t="s">
        <v>715</v>
      </c>
      <c r="D23">
        <v>7</v>
      </c>
    </row>
    <row r="24" spans="1:4" x14ac:dyDescent="0.25">
      <c r="A24" t="s">
        <v>40</v>
      </c>
      <c r="B24" t="s">
        <v>1267</v>
      </c>
      <c r="C24" t="s">
        <v>2541</v>
      </c>
      <c r="D24">
        <v>9</v>
      </c>
    </row>
    <row r="25" spans="1:4" x14ac:dyDescent="0.25">
      <c r="A25" t="s">
        <v>40</v>
      </c>
      <c r="B25" t="s">
        <v>1432</v>
      </c>
      <c r="C25" t="s">
        <v>2524</v>
      </c>
      <c r="D25">
        <v>11</v>
      </c>
    </row>
    <row r="26" spans="1:4" x14ac:dyDescent="0.25">
      <c r="A26" t="s">
        <v>40</v>
      </c>
      <c r="B26" t="s">
        <v>15</v>
      </c>
      <c r="C26" t="s">
        <v>2525</v>
      </c>
      <c r="D26">
        <v>9</v>
      </c>
    </row>
    <row r="27" spans="1:4" x14ac:dyDescent="0.25">
      <c r="A27" t="s">
        <v>40</v>
      </c>
      <c r="B27" t="s">
        <v>943</v>
      </c>
      <c r="C27" t="s">
        <v>2526</v>
      </c>
      <c r="D27">
        <v>11</v>
      </c>
    </row>
    <row r="28" spans="1:4" x14ac:dyDescent="0.25">
      <c r="A28" t="s">
        <v>40</v>
      </c>
      <c r="B28" t="s">
        <v>110</v>
      </c>
      <c r="C28" t="s">
        <v>1934</v>
      </c>
      <c r="D28">
        <v>9</v>
      </c>
    </row>
    <row r="29" spans="1:4" x14ac:dyDescent="0.25">
      <c r="A29" t="s">
        <v>40</v>
      </c>
      <c r="B29" t="s">
        <v>706</v>
      </c>
      <c r="C29" t="s">
        <v>2527</v>
      </c>
      <c r="D29">
        <v>7</v>
      </c>
    </row>
    <row r="30" spans="1:4" x14ac:dyDescent="0.25">
      <c r="A30" t="s">
        <v>40</v>
      </c>
      <c r="B30" t="s">
        <v>2147</v>
      </c>
      <c r="C30" t="s">
        <v>2528</v>
      </c>
      <c r="D30">
        <v>9</v>
      </c>
    </row>
    <row r="31" spans="1:4" x14ac:dyDescent="0.25">
      <c r="A31" t="s">
        <v>80</v>
      </c>
      <c r="B31" t="s">
        <v>1022</v>
      </c>
      <c r="C31" t="s">
        <v>2542</v>
      </c>
      <c r="D31">
        <v>11</v>
      </c>
    </row>
    <row r="32" spans="1:4" x14ac:dyDescent="0.25">
      <c r="A32" t="s">
        <v>80</v>
      </c>
      <c r="B32" t="s">
        <v>1022</v>
      </c>
      <c r="C32" t="s">
        <v>2543</v>
      </c>
      <c r="D32">
        <v>12</v>
      </c>
    </row>
    <row r="33" spans="1:4" x14ac:dyDescent="0.25">
      <c r="A33" t="s">
        <v>80</v>
      </c>
      <c r="B33" t="s">
        <v>1024</v>
      </c>
      <c r="C33" t="s">
        <v>2544</v>
      </c>
      <c r="D33">
        <v>10</v>
      </c>
    </row>
    <row r="34" spans="1:4" x14ac:dyDescent="0.25">
      <c r="A34" t="s">
        <v>80</v>
      </c>
      <c r="B34" t="s">
        <v>1190</v>
      </c>
      <c r="C34" t="s">
        <v>2545</v>
      </c>
      <c r="D34">
        <v>12</v>
      </c>
    </row>
    <row r="35" spans="1:4" x14ac:dyDescent="0.25">
      <c r="A35" t="s">
        <v>80</v>
      </c>
      <c r="B35" t="s">
        <v>172</v>
      </c>
      <c r="C35" t="s">
        <v>1446</v>
      </c>
      <c r="D35">
        <v>10</v>
      </c>
    </row>
    <row r="36" spans="1:4" x14ac:dyDescent="0.25">
      <c r="A36" t="s">
        <v>80</v>
      </c>
      <c r="B36" t="s">
        <v>250</v>
      </c>
      <c r="C36" t="s">
        <v>1590</v>
      </c>
      <c r="D36">
        <v>7</v>
      </c>
    </row>
    <row r="37" spans="1:4" x14ac:dyDescent="0.25">
      <c r="A37" t="s">
        <v>80</v>
      </c>
      <c r="B37" t="s">
        <v>1549</v>
      </c>
      <c r="C37" t="s">
        <v>946</v>
      </c>
      <c r="D37">
        <v>9</v>
      </c>
    </row>
    <row r="38" spans="1:4" x14ac:dyDescent="0.25">
      <c r="A38" t="s">
        <v>80</v>
      </c>
      <c r="B38" t="s">
        <v>1011</v>
      </c>
      <c r="C38" t="s">
        <v>1592</v>
      </c>
      <c r="D38">
        <v>7</v>
      </c>
    </row>
    <row r="39" spans="1:4" x14ac:dyDescent="0.25">
      <c r="A39" t="s">
        <v>80</v>
      </c>
      <c r="B39" t="s">
        <v>623</v>
      </c>
      <c r="C39" t="s">
        <v>1671</v>
      </c>
      <c r="D39">
        <v>6</v>
      </c>
    </row>
    <row r="40" spans="1:4" x14ac:dyDescent="0.25">
      <c r="A40" t="s">
        <v>80</v>
      </c>
      <c r="B40" t="s">
        <v>1683</v>
      </c>
      <c r="C40" t="s">
        <v>2546</v>
      </c>
      <c r="D40">
        <v>4</v>
      </c>
    </row>
    <row r="41" spans="1:4" x14ac:dyDescent="0.25">
      <c r="A41" t="s">
        <v>80</v>
      </c>
      <c r="B41" t="s">
        <v>1069</v>
      </c>
      <c r="C41" t="s">
        <v>1144</v>
      </c>
      <c r="D41">
        <v>6</v>
      </c>
    </row>
    <row r="42" spans="1:4" x14ac:dyDescent="0.25">
      <c r="A42" t="s">
        <v>80</v>
      </c>
      <c r="B42" t="s">
        <v>97</v>
      </c>
      <c r="C42" t="s">
        <v>2547</v>
      </c>
      <c r="D42">
        <v>4</v>
      </c>
    </row>
    <row r="43" spans="1:4" x14ac:dyDescent="0.25">
      <c r="A43" t="s">
        <v>80</v>
      </c>
      <c r="B43" t="s">
        <v>1170</v>
      </c>
      <c r="C43" t="s">
        <v>2169</v>
      </c>
      <c r="D43">
        <v>6</v>
      </c>
    </row>
    <row r="44" spans="1:4" x14ac:dyDescent="0.25">
      <c r="A44" t="s">
        <v>80</v>
      </c>
      <c r="B44" t="s">
        <v>223</v>
      </c>
      <c r="C44" t="s">
        <v>2548</v>
      </c>
      <c r="D44">
        <v>4</v>
      </c>
    </row>
    <row r="45" spans="1:4" x14ac:dyDescent="0.25">
      <c r="A45" t="s">
        <v>80</v>
      </c>
      <c r="B45" t="s">
        <v>984</v>
      </c>
      <c r="C45" t="s">
        <v>2309</v>
      </c>
      <c r="D45">
        <v>2</v>
      </c>
    </row>
    <row r="46" spans="1:4" x14ac:dyDescent="0.25">
      <c r="A46" t="s">
        <v>80</v>
      </c>
      <c r="B46" t="s">
        <v>380</v>
      </c>
      <c r="C46" t="s">
        <v>2549</v>
      </c>
      <c r="D46">
        <v>5</v>
      </c>
    </row>
    <row r="47" spans="1:4" x14ac:dyDescent="0.25">
      <c r="A47" t="s">
        <v>80</v>
      </c>
      <c r="B47" t="s">
        <v>812</v>
      </c>
      <c r="C47" t="s">
        <v>488</v>
      </c>
      <c r="D47">
        <v>6</v>
      </c>
    </row>
    <row r="48" spans="1:4" x14ac:dyDescent="0.25">
      <c r="A48" t="s">
        <v>80</v>
      </c>
      <c r="B48" t="s">
        <v>812</v>
      </c>
      <c r="C48" t="s">
        <v>2272</v>
      </c>
      <c r="D48">
        <v>7</v>
      </c>
    </row>
    <row r="49" spans="1:4" x14ac:dyDescent="0.25">
      <c r="A49" t="s">
        <v>80</v>
      </c>
      <c r="B49" t="s">
        <v>1045</v>
      </c>
      <c r="C49" t="s">
        <v>2172</v>
      </c>
      <c r="D49">
        <v>5</v>
      </c>
    </row>
    <row r="50" spans="1:4" x14ac:dyDescent="0.25">
      <c r="A50" t="s">
        <v>80</v>
      </c>
      <c r="B50" t="s">
        <v>1844</v>
      </c>
      <c r="C50" t="s">
        <v>491</v>
      </c>
      <c r="D50">
        <v>7</v>
      </c>
    </row>
    <row r="51" spans="1:4" x14ac:dyDescent="0.25">
      <c r="A51" t="s">
        <v>80</v>
      </c>
      <c r="B51" t="s">
        <v>505</v>
      </c>
      <c r="C51" t="s">
        <v>1526</v>
      </c>
      <c r="D51">
        <v>5</v>
      </c>
    </row>
    <row r="52" spans="1:4" x14ac:dyDescent="0.25">
      <c r="A52" t="s">
        <v>80</v>
      </c>
      <c r="B52" t="s">
        <v>772</v>
      </c>
      <c r="C52" t="s">
        <v>2550</v>
      </c>
      <c r="D52">
        <v>8</v>
      </c>
    </row>
    <row r="53" spans="1:4" x14ac:dyDescent="0.25">
      <c r="A53" t="s">
        <v>80</v>
      </c>
      <c r="B53" t="s">
        <v>78</v>
      </c>
      <c r="C53" t="s">
        <v>1837</v>
      </c>
      <c r="D53">
        <v>6</v>
      </c>
    </row>
    <row r="54" spans="1:4" x14ac:dyDescent="0.25">
      <c r="A54" t="s">
        <v>123</v>
      </c>
      <c r="B54" t="s">
        <v>1138</v>
      </c>
      <c r="C54" t="s">
        <v>2449</v>
      </c>
      <c r="D54">
        <v>3</v>
      </c>
    </row>
    <row r="55" spans="1:4" x14ac:dyDescent="0.25">
      <c r="A55" t="s">
        <v>123</v>
      </c>
      <c r="B55" t="s">
        <v>1665</v>
      </c>
      <c r="C55" t="s">
        <v>2450</v>
      </c>
      <c r="D55">
        <v>5</v>
      </c>
    </row>
    <row r="56" spans="1:4" x14ac:dyDescent="0.25">
      <c r="A56" t="s">
        <v>123</v>
      </c>
      <c r="B56" t="s">
        <v>2152</v>
      </c>
      <c r="C56" t="s">
        <v>2551</v>
      </c>
      <c r="D56">
        <v>2</v>
      </c>
    </row>
    <row r="57" spans="1:4" x14ac:dyDescent="0.25">
      <c r="A57" t="s">
        <v>123</v>
      </c>
      <c r="B57" t="s">
        <v>800</v>
      </c>
      <c r="C57" t="s">
        <v>1607</v>
      </c>
      <c r="D57">
        <v>5</v>
      </c>
    </row>
    <row r="58" spans="1:4" x14ac:dyDescent="0.25">
      <c r="A58" t="s">
        <v>123</v>
      </c>
      <c r="B58" t="s">
        <v>759</v>
      </c>
      <c r="C58" t="s">
        <v>393</v>
      </c>
      <c r="D58">
        <v>3</v>
      </c>
    </row>
    <row r="59" spans="1:4" x14ac:dyDescent="0.25">
      <c r="A59" t="s">
        <v>123</v>
      </c>
      <c r="B59" t="s">
        <v>517</v>
      </c>
      <c r="C59" t="s">
        <v>395</v>
      </c>
      <c r="D59">
        <v>5</v>
      </c>
    </row>
    <row r="60" spans="1:4" x14ac:dyDescent="0.25">
      <c r="A60" t="s">
        <v>123</v>
      </c>
      <c r="B60" t="s">
        <v>60</v>
      </c>
      <c r="C60" t="s">
        <v>2552</v>
      </c>
      <c r="D60">
        <v>7</v>
      </c>
    </row>
    <row r="61" spans="1:4" x14ac:dyDescent="0.25">
      <c r="A61" t="s">
        <v>123</v>
      </c>
      <c r="B61" t="s">
        <v>315</v>
      </c>
      <c r="C61" t="s">
        <v>2553</v>
      </c>
      <c r="D61">
        <v>6</v>
      </c>
    </row>
    <row r="62" spans="1:4" x14ac:dyDescent="0.25">
      <c r="A62" t="s">
        <v>123</v>
      </c>
      <c r="B62" t="s">
        <v>890</v>
      </c>
      <c r="C62" t="s">
        <v>1611</v>
      </c>
      <c r="D62">
        <v>7</v>
      </c>
    </row>
    <row r="63" spans="1:4" x14ac:dyDescent="0.25">
      <c r="A63" t="s">
        <v>123</v>
      </c>
      <c r="B63" t="s">
        <v>890</v>
      </c>
      <c r="C63" t="s">
        <v>2455</v>
      </c>
      <c r="D63">
        <v>8</v>
      </c>
    </row>
    <row r="64" spans="1:4" x14ac:dyDescent="0.25">
      <c r="A64" t="s">
        <v>123</v>
      </c>
      <c r="B64" t="s">
        <v>67</v>
      </c>
      <c r="C64" t="s">
        <v>2456</v>
      </c>
      <c r="D64">
        <v>7</v>
      </c>
    </row>
    <row r="65" spans="1:4" x14ac:dyDescent="0.25">
      <c r="A65" t="s">
        <v>123</v>
      </c>
      <c r="B65" t="s">
        <v>67</v>
      </c>
      <c r="C65" t="s">
        <v>2457</v>
      </c>
      <c r="D65">
        <v>6</v>
      </c>
    </row>
    <row r="66" spans="1:4" x14ac:dyDescent="0.25">
      <c r="A66" t="s">
        <v>123</v>
      </c>
      <c r="B66" t="s">
        <v>386</v>
      </c>
      <c r="C66" t="s">
        <v>1738</v>
      </c>
      <c r="D66">
        <v>4</v>
      </c>
    </row>
    <row r="67" spans="1:4" x14ac:dyDescent="0.25">
      <c r="A67" t="s">
        <v>123</v>
      </c>
      <c r="B67" t="s">
        <v>1202</v>
      </c>
      <c r="C67" t="s">
        <v>761</v>
      </c>
      <c r="D67">
        <v>5</v>
      </c>
    </row>
    <row r="68" spans="1:4" x14ac:dyDescent="0.25">
      <c r="A68" t="s">
        <v>123</v>
      </c>
      <c r="B68" t="s">
        <v>1202</v>
      </c>
      <c r="C68" t="s">
        <v>1959</v>
      </c>
      <c r="D68">
        <v>6</v>
      </c>
    </row>
    <row r="69" spans="1:4" x14ac:dyDescent="0.25">
      <c r="A69" t="s">
        <v>123</v>
      </c>
      <c r="B69" t="s">
        <v>1048</v>
      </c>
      <c r="C69" t="s">
        <v>2554</v>
      </c>
      <c r="D69">
        <v>5</v>
      </c>
    </row>
    <row r="70" spans="1:4" x14ac:dyDescent="0.25">
      <c r="A70" t="s">
        <v>123</v>
      </c>
      <c r="B70" t="s">
        <v>1048</v>
      </c>
      <c r="C70" t="s">
        <v>2555</v>
      </c>
      <c r="D70">
        <v>4</v>
      </c>
    </row>
    <row r="71" spans="1:4" x14ac:dyDescent="0.25">
      <c r="A71" t="s">
        <v>123</v>
      </c>
      <c r="B71" t="s">
        <v>815</v>
      </c>
      <c r="C71" t="s">
        <v>2556</v>
      </c>
      <c r="D71">
        <v>5</v>
      </c>
    </row>
    <row r="72" spans="1:4" x14ac:dyDescent="0.25">
      <c r="A72" t="s">
        <v>123</v>
      </c>
      <c r="B72" t="s">
        <v>815</v>
      </c>
      <c r="C72" t="s">
        <v>1615</v>
      </c>
      <c r="D72">
        <v>6</v>
      </c>
    </row>
    <row r="73" spans="1:4" x14ac:dyDescent="0.25">
      <c r="A73" t="s">
        <v>123</v>
      </c>
      <c r="B73" t="s">
        <v>1988</v>
      </c>
      <c r="C73" t="s">
        <v>409</v>
      </c>
      <c r="D73">
        <v>7</v>
      </c>
    </row>
    <row r="74" spans="1:4" x14ac:dyDescent="0.25">
      <c r="A74" t="s">
        <v>123</v>
      </c>
      <c r="B74" t="s">
        <v>1988</v>
      </c>
      <c r="C74" t="s">
        <v>2557</v>
      </c>
      <c r="D74">
        <v>8</v>
      </c>
    </row>
    <row r="75" spans="1:4" x14ac:dyDescent="0.25">
      <c r="A75" t="s">
        <v>123</v>
      </c>
      <c r="B75" t="s">
        <v>900</v>
      </c>
      <c r="C75" t="s">
        <v>765</v>
      </c>
      <c r="D75">
        <v>7</v>
      </c>
    </row>
    <row r="76" spans="1:4" x14ac:dyDescent="0.25">
      <c r="A76" t="s">
        <v>123</v>
      </c>
      <c r="B76" t="s">
        <v>900</v>
      </c>
      <c r="C76" t="s">
        <v>1846</v>
      </c>
      <c r="D76">
        <v>6</v>
      </c>
    </row>
    <row r="77" spans="1:4" x14ac:dyDescent="0.25">
      <c r="A77" t="s">
        <v>123</v>
      </c>
      <c r="B77" t="s">
        <v>582</v>
      </c>
      <c r="C77" t="s">
        <v>412</v>
      </c>
      <c r="D77">
        <v>7</v>
      </c>
    </row>
    <row r="78" spans="1:4" x14ac:dyDescent="0.25">
      <c r="A78" t="s">
        <v>123</v>
      </c>
      <c r="B78" t="s">
        <v>582</v>
      </c>
      <c r="C78" t="s">
        <v>413</v>
      </c>
      <c r="D78">
        <v>8</v>
      </c>
    </row>
    <row r="79" spans="1:4" x14ac:dyDescent="0.25">
      <c r="A79" t="s">
        <v>123</v>
      </c>
      <c r="B79" t="s">
        <v>483</v>
      </c>
      <c r="C79" t="s">
        <v>1181</v>
      </c>
      <c r="D79">
        <v>7</v>
      </c>
    </row>
    <row r="80" spans="1:4" x14ac:dyDescent="0.25">
      <c r="A80" t="s">
        <v>123</v>
      </c>
      <c r="B80" t="s">
        <v>1489</v>
      </c>
      <c r="C80" t="s">
        <v>1848</v>
      </c>
      <c r="D80">
        <v>8</v>
      </c>
    </row>
    <row r="81" spans="1:4" x14ac:dyDescent="0.25">
      <c r="A81" t="s">
        <v>123</v>
      </c>
      <c r="B81" t="s">
        <v>1489</v>
      </c>
      <c r="C81" t="s">
        <v>2558</v>
      </c>
      <c r="D81">
        <v>9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5.65</v>
      </c>
    </row>
    <row r="85" spans="1:4" x14ac:dyDescent="0.25">
      <c r="A85" t="s">
        <v>159</v>
      </c>
      <c r="D85">
        <f>MAX(D2:D81)</f>
        <v>12</v>
      </c>
    </row>
    <row r="86" spans="1:4" x14ac:dyDescent="0.25">
      <c r="A86" t="s">
        <v>160</v>
      </c>
      <c r="D86">
        <f>MIN(D2:D81)</f>
        <v>-3</v>
      </c>
    </row>
    <row r="87" spans="1:4" x14ac:dyDescent="0.25">
      <c r="A87" t="s">
        <v>161</v>
      </c>
      <c r="D87">
        <f>COUNTIF(D2:D81,"&gt;0")</f>
        <v>73</v>
      </c>
    </row>
    <row r="88" spans="1:4" x14ac:dyDescent="0.25">
      <c r="A88" t="s">
        <v>162</v>
      </c>
      <c r="D88">
        <f>COUNTIF(D2:D81,"=0")</f>
        <v>3</v>
      </c>
    </row>
    <row r="89" spans="1:4" x14ac:dyDescent="0.25">
      <c r="A89" t="s">
        <v>1264</v>
      </c>
      <c r="D89">
        <f>COUNTIF(D2:D81,"&lt;0")</f>
        <v>4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AVERAGE(D2,D3,D4,D5,D6,D7,D8,D9,D10,D11,D12,D13,D14,D15,D16,D17,D18,D19,D20,D21)</f>
        <v>2.5499999999999998</v>
      </c>
    </row>
    <row r="93" spans="1:4" x14ac:dyDescent="0.25">
      <c r="A93" t="s">
        <v>166</v>
      </c>
      <c r="D93">
        <f>AVERAGE(D22,D23,D24,D25,D26,D27,D28,D29,D30)</f>
        <v>8.4444444444444446</v>
      </c>
    </row>
    <row r="94" spans="1:4" x14ac:dyDescent="0.25">
      <c r="A94" t="s">
        <v>167</v>
      </c>
      <c r="D94">
        <f>AVERAGE(D31,D32,D33,D34,D35,D36,D37,D38,D39,D40,D41,D42,D43,D44,D45,D46,D47,D48,D49,D50,D51,D52,D53)</f>
        <v>6.9130434782608692</v>
      </c>
    </row>
    <row r="95" spans="1:4" x14ac:dyDescent="0.25">
      <c r="A95" t="s">
        <v>168</v>
      </c>
      <c r="D95">
        <f>AVERAGE(D54,D55,D56,D57,D58,D59,D60,D61,D62,D63,D64,D65,D66,D67,D68,D69,D70,D71,D72,D73,D74,D75,D76,D77,D78,D79,D80,D81)</f>
        <v>5.9285714285714288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1704</v>
      </c>
      <c r="C2" t="s">
        <v>6</v>
      </c>
      <c r="D2">
        <v>2</v>
      </c>
    </row>
    <row r="3" spans="1:4" x14ac:dyDescent="0.25">
      <c r="A3" t="s">
        <v>4</v>
      </c>
      <c r="B3" t="s">
        <v>1680</v>
      </c>
      <c r="C3" t="s">
        <v>2353</v>
      </c>
      <c r="D3">
        <v>4</v>
      </c>
    </row>
    <row r="4" spans="1:4" x14ac:dyDescent="0.25">
      <c r="A4" t="s">
        <v>4</v>
      </c>
      <c r="B4" t="s">
        <v>43</v>
      </c>
      <c r="C4" t="s">
        <v>564</v>
      </c>
      <c r="D4">
        <v>2</v>
      </c>
    </row>
    <row r="5" spans="1:4" x14ac:dyDescent="0.25">
      <c r="A5" t="s">
        <v>4</v>
      </c>
      <c r="B5" t="s">
        <v>648</v>
      </c>
      <c r="C5" t="s">
        <v>12</v>
      </c>
      <c r="D5">
        <v>0</v>
      </c>
    </row>
    <row r="6" spans="1:4" x14ac:dyDescent="0.25">
      <c r="A6" t="s">
        <v>4</v>
      </c>
      <c r="B6" t="s">
        <v>1816</v>
      </c>
      <c r="C6" t="s">
        <v>1348</v>
      </c>
      <c r="D6">
        <v>3</v>
      </c>
    </row>
    <row r="7" spans="1:4" x14ac:dyDescent="0.25">
      <c r="A7" t="s">
        <v>4</v>
      </c>
      <c r="B7" t="s">
        <v>184</v>
      </c>
      <c r="C7" t="s">
        <v>182</v>
      </c>
      <c r="D7">
        <v>5</v>
      </c>
    </row>
    <row r="8" spans="1:4" x14ac:dyDescent="0.25">
      <c r="A8" t="s">
        <v>4</v>
      </c>
      <c r="B8" t="s">
        <v>261</v>
      </c>
      <c r="C8" t="s">
        <v>2559</v>
      </c>
      <c r="D8">
        <v>3</v>
      </c>
    </row>
    <row r="9" spans="1:4" x14ac:dyDescent="0.25">
      <c r="A9" t="s">
        <v>4</v>
      </c>
      <c r="B9" t="s">
        <v>1503</v>
      </c>
      <c r="C9" t="s">
        <v>2560</v>
      </c>
      <c r="D9">
        <v>5</v>
      </c>
    </row>
    <row r="10" spans="1:4" x14ac:dyDescent="0.25">
      <c r="A10" t="s">
        <v>4</v>
      </c>
      <c r="B10" t="s">
        <v>1335</v>
      </c>
      <c r="C10" t="s">
        <v>187</v>
      </c>
      <c r="D10">
        <v>7</v>
      </c>
    </row>
    <row r="11" spans="1:4" x14ac:dyDescent="0.25">
      <c r="A11" t="s">
        <v>4</v>
      </c>
      <c r="B11" t="s">
        <v>503</v>
      </c>
      <c r="C11" t="s">
        <v>785</v>
      </c>
      <c r="D11">
        <v>5</v>
      </c>
    </row>
    <row r="12" spans="1:4" x14ac:dyDescent="0.25">
      <c r="A12" t="s">
        <v>4</v>
      </c>
      <c r="B12" t="s">
        <v>877</v>
      </c>
      <c r="C12" t="s">
        <v>918</v>
      </c>
      <c r="D12">
        <v>3</v>
      </c>
    </row>
    <row r="13" spans="1:4" x14ac:dyDescent="0.25">
      <c r="A13" t="s">
        <v>4</v>
      </c>
      <c r="B13" t="s">
        <v>392</v>
      </c>
      <c r="C13" t="s">
        <v>443</v>
      </c>
      <c r="D13">
        <v>0</v>
      </c>
    </row>
    <row r="14" spans="1:4" x14ac:dyDescent="0.25">
      <c r="A14" t="s">
        <v>4</v>
      </c>
      <c r="B14" t="s">
        <v>554</v>
      </c>
      <c r="C14" t="s">
        <v>1114</v>
      </c>
      <c r="D14">
        <v>2</v>
      </c>
    </row>
    <row r="15" spans="1:4" x14ac:dyDescent="0.25">
      <c r="A15" t="s">
        <v>4</v>
      </c>
      <c r="B15" t="s">
        <v>1180</v>
      </c>
      <c r="C15" t="s">
        <v>1578</v>
      </c>
      <c r="D15">
        <v>4</v>
      </c>
    </row>
    <row r="16" spans="1:4" x14ac:dyDescent="0.25">
      <c r="A16" t="s">
        <v>4</v>
      </c>
      <c r="B16" t="s">
        <v>76</v>
      </c>
      <c r="C16" t="s">
        <v>197</v>
      </c>
      <c r="D16">
        <v>5</v>
      </c>
    </row>
    <row r="17" spans="1:4" x14ac:dyDescent="0.25">
      <c r="A17" t="s">
        <v>4</v>
      </c>
      <c r="B17" t="s">
        <v>76</v>
      </c>
      <c r="C17" t="s">
        <v>1579</v>
      </c>
      <c r="D17">
        <v>6</v>
      </c>
    </row>
    <row r="18" spans="1:4" x14ac:dyDescent="0.25">
      <c r="A18" t="s">
        <v>40</v>
      </c>
      <c r="B18" t="s">
        <v>1541</v>
      </c>
      <c r="C18" t="s">
        <v>1201</v>
      </c>
      <c r="D18">
        <v>4</v>
      </c>
    </row>
    <row r="19" spans="1:4" x14ac:dyDescent="0.25">
      <c r="A19" t="s">
        <v>40</v>
      </c>
      <c r="B19" t="s">
        <v>205</v>
      </c>
      <c r="C19" t="s">
        <v>1203</v>
      </c>
      <c r="D19">
        <v>6</v>
      </c>
    </row>
    <row r="20" spans="1:4" x14ac:dyDescent="0.25">
      <c r="A20" t="s">
        <v>40</v>
      </c>
      <c r="B20" t="s">
        <v>205</v>
      </c>
      <c r="C20" t="s">
        <v>201</v>
      </c>
      <c r="D20">
        <v>7</v>
      </c>
    </row>
    <row r="21" spans="1:4" x14ac:dyDescent="0.25">
      <c r="A21" t="s">
        <v>40</v>
      </c>
      <c r="B21" t="s">
        <v>1244</v>
      </c>
      <c r="C21" t="s">
        <v>1748</v>
      </c>
      <c r="D21">
        <v>6</v>
      </c>
    </row>
    <row r="22" spans="1:4" x14ac:dyDescent="0.25">
      <c r="A22" t="s">
        <v>40</v>
      </c>
      <c r="B22" t="s">
        <v>618</v>
      </c>
      <c r="C22" t="s">
        <v>1120</v>
      </c>
      <c r="D22">
        <v>4</v>
      </c>
    </row>
    <row r="23" spans="1:4" x14ac:dyDescent="0.25">
      <c r="A23" t="s">
        <v>40</v>
      </c>
      <c r="B23" t="s">
        <v>357</v>
      </c>
      <c r="C23" t="s">
        <v>1207</v>
      </c>
      <c r="D23">
        <v>5</v>
      </c>
    </row>
    <row r="24" spans="1:4" x14ac:dyDescent="0.25">
      <c r="A24" t="s">
        <v>40</v>
      </c>
      <c r="B24" t="s">
        <v>357</v>
      </c>
      <c r="C24" t="s">
        <v>206</v>
      </c>
      <c r="D24">
        <v>6</v>
      </c>
    </row>
    <row r="25" spans="1:4" x14ac:dyDescent="0.25">
      <c r="A25" t="s">
        <v>40</v>
      </c>
      <c r="B25" t="s">
        <v>132</v>
      </c>
      <c r="C25" t="s">
        <v>1122</v>
      </c>
      <c r="D25">
        <v>4</v>
      </c>
    </row>
    <row r="26" spans="1:4" x14ac:dyDescent="0.25">
      <c r="A26" t="s">
        <v>40</v>
      </c>
      <c r="B26" t="s">
        <v>54</v>
      </c>
      <c r="C26" t="s">
        <v>1123</v>
      </c>
      <c r="D26">
        <v>6</v>
      </c>
    </row>
    <row r="27" spans="1:4" x14ac:dyDescent="0.25">
      <c r="A27" t="s">
        <v>40</v>
      </c>
      <c r="B27" t="s">
        <v>256</v>
      </c>
      <c r="C27" t="s">
        <v>1752</v>
      </c>
      <c r="D27">
        <v>4</v>
      </c>
    </row>
    <row r="28" spans="1:4" x14ac:dyDescent="0.25">
      <c r="A28" t="s">
        <v>40</v>
      </c>
      <c r="B28" t="s">
        <v>1069</v>
      </c>
      <c r="C28" t="s">
        <v>2124</v>
      </c>
      <c r="D28">
        <v>6</v>
      </c>
    </row>
    <row r="29" spans="1:4" x14ac:dyDescent="0.25">
      <c r="A29" t="s">
        <v>40</v>
      </c>
      <c r="B29" t="s">
        <v>186</v>
      </c>
      <c r="C29" t="s">
        <v>2561</v>
      </c>
      <c r="D29">
        <v>8</v>
      </c>
    </row>
    <row r="30" spans="1:4" x14ac:dyDescent="0.25">
      <c r="A30" t="s">
        <v>40</v>
      </c>
      <c r="B30" t="s">
        <v>628</v>
      </c>
      <c r="C30" t="s">
        <v>1211</v>
      </c>
      <c r="D30">
        <v>6</v>
      </c>
    </row>
    <row r="31" spans="1:4" x14ac:dyDescent="0.25">
      <c r="A31" t="s">
        <v>40</v>
      </c>
      <c r="B31" t="s">
        <v>746</v>
      </c>
      <c r="C31" t="s">
        <v>720</v>
      </c>
      <c r="D31">
        <v>4</v>
      </c>
    </row>
    <row r="32" spans="1:4" x14ac:dyDescent="0.25">
      <c r="A32" t="s">
        <v>40</v>
      </c>
      <c r="B32" t="s">
        <v>746</v>
      </c>
      <c r="C32" t="s">
        <v>722</v>
      </c>
      <c r="D32">
        <v>3</v>
      </c>
    </row>
    <row r="33" spans="1:4" x14ac:dyDescent="0.25">
      <c r="A33" t="s">
        <v>40</v>
      </c>
      <c r="B33" t="s">
        <v>2562</v>
      </c>
      <c r="C33" t="s">
        <v>343</v>
      </c>
      <c r="D33">
        <v>2</v>
      </c>
    </row>
    <row r="34" spans="1:4" x14ac:dyDescent="0.25">
      <c r="A34" t="s">
        <v>40</v>
      </c>
      <c r="B34" t="s">
        <v>378</v>
      </c>
      <c r="C34" t="s">
        <v>2563</v>
      </c>
      <c r="D34">
        <v>5</v>
      </c>
    </row>
    <row r="35" spans="1:4" x14ac:dyDescent="0.25">
      <c r="A35" t="s">
        <v>40</v>
      </c>
      <c r="B35" t="s">
        <v>1638</v>
      </c>
      <c r="C35" t="s">
        <v>1443</v>
      </c>
      <c r="D35">
        <v>7</v>
      </c>
    </row>
    <row r="36" spans="1:4" x14ac:dyDescent="0.25">
      <c r="A36" t="s">
        <v>40</v>
      </c>
      <c r="B36" t="s">
        <v>196</v>
      </c>
      <c r="C36" t="s">
        <v>1444</v>
      </c>
      <c r="D36">
        <v>5</v>
      </c>
    </row>
    <row r="37" spans="1:4" x14ac:dyDescent="0.25">
      <c r="A37" t="s">
        <v>40</v>
      </c>
      <c r="B37" t="s">
        <v>146</v>
      </c>
      <c r="C37" t="s">
        <v>1445</v>
      </c>
      <c r="D37">
        <v>7</v>
      </c>
    </row>
    <row r="38" spans="1:4" x14ac:dyDescent="0.25">
      <c r="A38" t="s">
        <v>40</v>
      </c>
      <c r="B38" t="s">
        <v>392</v>
      </c>
      <c r="C38" t="s">
        <v>2268</v>
      </c>
      <c r="D38">
        <v>5</v>
      </c>
    </row>
    <row r="39" spans="1:4" x14ac:dyDescent="0.25">
      <c r="A39" t="s">
        <v>40</v>
      </c>
      <c r="B39" t="s">
        <v>33</v>
      </c>
      <c r="C39" t="s">
        <v>2564</v>
      </c>
      <c r="D39">
        <v>6</v>
      </c>
    </row>
    <row r="40" spans="1:4" x14ac:dyDescent="0.25">
      <c r="A40" t="s">
        <v>40</v>
      </c>
      <c r="B40" t="s">
        <v>33</v>
      </c>
      <c r="C40" t="s">
        <v>2565</v>
      </c>
      <c r="D40">
        <v>7</v>
      </c>
    </row>
    <row r="41" spans="1:4" x14ac:dyDescent="0.25">
      <c r="A41" t="s">
        <v>40</v>
      </c>
      <c r="B41" t="s">
        <v>793</v>
      </c>
      <c r="C41" t="s">
        <v>1137</v>
      </c>
      <c r="D41">
        <v>5</v>
      </c>
    </row>
    <row r="42" spans="1:4" x14ac:dyDescent="0.25">
      <c r="A42" t="s">
        <v>80</v>
      </c>
      <c r="B42" t="s">
        <v>453</v>
      </c>
      <c r="C42" t="s">
        <v>1669</v>
      </c>
      <c r="D42">
        <v>6</v>
      </c>
    </row>
    <row r="43" spans="1:4" x14ac:dyDescent="0.25">
      <c r="A43" t="s">
        <v>80</v>
      </c>
      <c r="B43" t="s">
        <v>1922</v>
      </c>
      <c r="C43" t="s">
        <v>2269</v>
      </c>
      <c r="D43">
        <v>4</v>
      </c>
    </row>
    <row r="44" spans="1:4" x14ac:dyDescent="0.25">
      <c r="A44" t="s">
        <v>80</v>
      </c>
      <c r="B44" t="s">
        <v>1244</v>
      </c>
      <c r="C44" t="s">
        <v>1672</v>
      </c>
      <c r="D44">
        <v>7</v>
      </c>
    </row>
    <row r="45" spans="1:4" x14ac:dyDescent="0.25">
      <c r="A45" t="s">
        <v>80</v>
      </c>
      <c r="B45" t="s">
        <v>1573</v>
      </c>
      <c r="C45" t="s">
        <v>2305</v>
      </c>
      <c r="D45">
        <v>5</v>
      </c>
    </row>
    <row r="46" spans="1:4" x14ac:dyDescent="0.25">
      <c r="A46" t="s">
        <v>80</v>
      </c>
      <c r="B46" t="s">
        <v>1824</v>
      </c>
      <c r="C46" t="s">
        <v>735</v>
      </c>
      <c r="D46">
        <v>3</v>
      </c>
    </row>
    <row r="47" spans="1:4" x14ac:dyDescent="0.25">
      <c r="A47" t="s">
        <v>80</v>
      </c>
      <c r="B47" t="s">
        <v>179</v>
      </c>
      <c r="C47" t="s">
        <v>482</v>
      </c>
      <c r="D47">
        <v>1</v>
      </c>
    </row>
    <row r="48" spans="1:4" x14ac:dyDescent="0.25">
      <c r="A48" t="s">
        <v>80</v>
      </c>
      <c r="B48" t="s">
        <v>465</v>
      </c>
      <c r="C48" t="s">
        <v>2308</v>
      </c>
      <c r="D48">
        <v>-1</v>
      </c>
    </row>
    <row r="49" spans="1:4" x14ac:dyDescent="0.25">
      <c r="A49" t="s">
        <v>80</v>
      </c>
      <c r="B49" t="s">
        <v>60</v>
      </c>
      <c r="C49" t="s">
        <v>1763</v>
      </c>
      <c r="D49">
        <v>-3</v>
      </c>
    </row>
    <row r="50" spans="1:4" x14ac:dyDescent="0.25">
      <c r="A50" t="s">
        <v>80</v>
      </c>
      <c r="B50" t="s">
        <v>190</v>
      </c>
      <c r="C50" t="s">
        <v>822</v>
      </c>
      <c r="D50">
        <v>-5</v>
      </c>
    </row>
    <row r="51" spans="1:4" x14ac:dyDescent="0.25">
      <c r="A51" t="s">
        <v>80</v>
      </c>
      <c r="B51" t="s">
        <v>225</v>
      </c>
      <c r="C51" t="s">
        <v>2566</v>
      </c>
      <c r="D51">
        <v>-7</v>
      </c>
    </row>
    <row r="52" spans="1:4" x14ac:dyDescent="0.25">
      <c r="A52" t="s">
        <v>80</v>
      </c>
      <c r="B52" t="s">
        <v>288</v>
      </c>
      <c r="C52" t="s">
        <v>100</v>
      </c>
      <c r="D52">
        <v>-6</v>
      </c>
    </row>
    <row r="53" spans="1:4" x14ac:dyDescent="0.25">
      <c r="A53" t="s">
        <v>80</v>
      </c>
      <c r="B53" t="s">
        <v>116</v>
      </c>
      <c r="C53" t="s">
        <v>2567</v>
      </c>
      <c r="D53">
        <v>-9</v>
      </c>
    </row>
    <row r="54" spans="1:4" x14ac:dyDescent="0.25">
      <c r="A54" t="s">
        <v>80</v>
      </c>
      <c r="B54" t="s">
        <v>788</v>
      </c>
      <c r="C54" t="s">
        <v>828</v>
      </c>
      <c r="D54">
        <v>-7</v>
      </c>
    </row>
    <row r="55" spans="1:4" x14ac:dyDescent="0.25">
      <c r="A55" t="s">
        <v>80</v>
      </c>
      <c r="B55" t="s">
        <v>788</v>
      </c>
      <c r="C55" t="s">
        <v>2417</v>
      </c>
      <c r="D55">
        <v>-6</v>
      </c>
    </row>
    <row r="56" spans="1:4" x14ac:dyDescent="0.25">
      <c r="A56" t="s">
        <v>80</v>
      </c>
      <c r="B56" t="s">
        <v>2147</v>
      </c>
      <c r="C56" t="s">
        <v>2418</v>
      </c>
      <c r="D56">
        <v>-8</v>
      </c>
    </row>
    <row r="57" spans="1:4" x14ac:dyDescent="0.25">
      <c r="A57" t="s">
        <v>80</v>
      </c>
      <c r="B57" t="s">
        <v>74</v>
      </c>
      <c r="C57" t="s">
        <v>109</v>
      </c>
      <c r="D57">
        <v>-9</v>
      </c>
    </row>
    <row r="58" spans="1:4" x14ac:dyDescent="0.25">
      <c r="A58" t="s">
        <v>80</v>
      </c>
      <c r="B58" t="s">
        <v>74</v>
      </c>
      <c r="C58" t="s">
        <v>2568</v>
      </c>
      <c r="D58">
        <v>-10</v>
      </c>
    </row>
    <row r="59" spans="1:4" x14ac:dyDescent="0.25">
      <c r="A59" t="s">
        <v>80</v>
      </c>
      <c r="B59" t="s">
        <v>1990</v>
      </c>
      <c r="C59" t="s">
        <v>266</v>
      </c>
      <c r="D59">
        <v>-8</v>
      </c>
    </row>
    <row r="60" spans="1:4" x14ac:dyDescent="0.25">
      <c r="A60" t="s">
        <v>80</v>
      </c>
      <c r="B60" t="s">
        <v>772</v>
      </c>
      <c r="C60" t="s">
        <v>2569</v>
      </c>
      <c r="D60">
        <v>-6</v>
      </c>
    </row>
    <row r="61" spans="1:4" x14ac:dyDescent="0.25">
      <c r="A61" t="s">
        <v>123</v>
      </c>
      <c r="B61" t="s">
        <v>1524</v>
      </c>
      <c r="C61" t="s">
        <v>115</v>
      </c>
      <c r="D61">
        <v>-8</v>
      </c>
    </row>
    <row r="62" spans="1:4" x14ac:dyDescent="0.25">
      <c r="A62" t="s">
        <v>123</v>
      </c>
      <c r="B62" t="s">
        <v>2570</v>
      </c>
      <c r="C62" t="s">
        <v>2571</v>
      </c>
      <c r="D62">
        <v>-10</v>
      </c>
    </row>
    <row r="63" spans="1:4" x14ac:dyDescent="0.25">
      <c r="A63" t="s">
        <v>123</v>
      </c>
      <c r="B63" t="s">
        <v>1210</v>
      </c>
      <c r="C63" t="s">
        <v>2572</v>
      </c>
      <c r="D63">
        <v>-11</v>
      </c>
    </row>
    <row r="64" spans="1:4" x14ac:dyDescent="0.25">
      <c r="A64" t="s">
        <v>123</v>
      </c>
      <c r="B64" t="s">
        <v>1824</v>
      </c>
      <c r="C64" t="s">
        <v>2573</v>
      </c>
      <c r="D64">
        <v>-9</v>
      </c>
    </row>
    <row r="65" spans="1:4" x14ac:dyDescent="0.25">
      <c r="A65" t="s">
        <v>123</v>
      </c>
      <c r="B65" t="s">
        <v>759</v>
      </c>
      <c r="C65" t="s">
        <v>2574</v>
      </c>
      <c r="D65">
        <v>-10</v>
      </c>
    </row>
    <row r="66" spans="1:4" x14ac:dyDescent="0.25">
      <c r="A66" t="s">
        <v>123</v>
      </c>
      <c r="B66" t="s">
        <v>759</v>
      </c>
      <c r="C66" t="s">
        <v>2575</v>
      </c>
      <c r="D66">
        <v>-11</v>
      </c>
    </row>
    <row r="67" spans="1:4" x14ac:dyDescent="0.25">
      <c r="A67" t="s">
        <v>123</v>
      </c>
      <c r="B67" t="s">
        <v>54</v>
      </c>
      <c r="C67" t="s">
        <v>2576</v>
      </c>
      <c r="D67">
        <v>-13</v>
      </c>
    </row>
    <row r="68" spans="1:4" x14ac:dyDescent="0.25">
      <c r="A68" t="s">
        <v>123</v>
      </c>
      <c r="B68" t="s">
        <v>654</v>
      </c>
      <c r="C68" t="s">
        <v>2577</v>
      </c>
      <c r="D68">
        <v>-15</v>
      </c>
    </row>
    <row r="69" spans="1:4" x14ac:dyDescent="0.25">
      <c r="A69" t="s">
        <v>123</v>
      </c>
      <c r="B69" t="s">
        <v>19</v>
      </c>
      <c r="C69" t="s">
        <v>2578</v>
      </c>
      <c r="D69">
        <v>-13</v>
      </c>
    </row>
    <row r="70" spans="1:4" x14ac:dyDescent="0.25">
      <c r="A70" t="s">
        <v>123</v>
      </c>
      <c r="B70" t="s">
        <v>261</v>
      </c>
      <c r="C70" t="s">
        <v>2579</v>
      </c>
      <c r="D70">
        <v>-15</v>
      </c>
    </row>
    <row r="71" spans="1:4" x14ac:dyDescent="0.25">
      <c r="A71" t="s">
        <v>123</v>
      </c>
      <c r="B71" t="s">
        <v>261</v>
      </c>
      <c r="C71" t="s">
        <v>2580</v>
      </c>
      <c r="D71">
        <v>-16</v>
      </c>
    </row>
    <row r="72" spans="1:4" x14ac:dyDescent="0.25">
      <c r="A72" t="s">
        <v>123</v>
      </c>
      <c r="B72" t="s">
        <v>577</v>
      </c>
      <c r="C72" t="s">
        <v>2581</v>
      </c>
      <c r="D72">
        <v>-19</v>
      </c>
    </row>
    <row r="73" spans="1:4" x14ac:dyDescent="0.25">
      <c r="A73" t="s">
        <v>123</v>
      </c>
      <c r="B73" t="s">
        <v>1040</v>
      </c>
      <c r="C73" t="s">
        <v>2582</v>
      </c>
      <c r="D73">
        <v>-16</v>
      </c>
    </row>
    <row r="74" spans="1:4" x14ac:dyDescent="0.25">
      <c r="A74" t="s">
        <v>123</v>
      </c>
      <c r="B74" t="s">
        <v>444</v>
      </c>
      <c r="C74" t="s">
        <v>2583</v>
      </c>
      <c r="D74">
        <v>-14</v>
      </c>
    </row>
    <row r="75" spans="1:4" x14ac:dyDescent="0.25">
      <c r="A75" t="s">
        <v>123</v>
      </c>
      <c r="B75" t="s">
        <v>2453</v>
      </c>
      <c r="C75" t="s">
        <v>2584</v>
      </c>
      <c r="D75">
        <v>-17</v>
      </c>
    </row>
    <row r="76" spans="1:4" x14ac:dyDescent="0.25">
      <c r="A76" t="s">
        <v>123</v>
      </c>
      <c r="B76" t="s">
        <v>612</v>
      </c>
      <c r="C76" t="s">
        <v>2585</v>
      </c>
      <c r="D76">
        <v>-20</v>
      </c>
    </row>
    <row r="77" spans="1:4" x14ac:dyDescent="0.25">
      <c r="A77" t="s">
        <v>123</v>
      </c>
      <c r="B77" t="s">
        <v>72</v>
      </c>
      <c r="C77" t="s">
        <v>2586</v>
      </c>
      <c r="D77">
        <v>-19</v>
      </c>
    </row>
    <row r="78" spans="1:4" x14ac:dyDescent="0.25">
      <c r="A78" t="s">
        <v>123</v>
      </c>
      <c r="B78" t="s">
        <v>72</v>
      </c>
      <c r="C78" t="s">
        <v>2587</v>
      </c>
      <c r="D78">
        <v>-18</v>
      </c>
    </row>
    <row r="79" spans="1:4" x14ac:dyDescent="0.25">
      <c r="A79" t="s">
        <v>123</v>
      </c>
      <c r="B79" t="s">
        <v>534</v>
      </c>
      <c r="C79" t="s">
        <v>2588</v>
      </c>
      <c r="D79">
        <v>-21</v>
      </c>
    </row>
    <row r="80" spans="1:4" x14ac:dyDescent="0.25">
      <c r="A80" t="s">
        <v>123</v>
      </c>
      <c r="B80" t="s">
        <v>2042</v>
      </c>
      <c r="C80" t="s">
        <v>2589</v>
      </c>
      <c r="D80">
        <v>-18</v>
      </c>
    </row>
    <row r="81" spans="1:4" x14ac:dyDescent="0.25">
      <c r="A81" t="s">
        <v>123</v>
      </c>
      <c r="B81" t="s">
        <v>770</v>
      </c>
      <c r="C81" t="s">
        <v>2590</v>
      </c>
      <c r="D81">
        <v>-16</v>
      </c>
    </row>
    <row r="82" spans="1:4" x14ac:dyDescent="0.25">
      <c r="A82" t="s">
        <v>123</v>
      </c>
      <c r="B82" t="s">
        <v>770</v>
      </c>
      <c r="C82" t="s">
        <v>2591</v>
      </c>
      <c r="D82">
        <v>-15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-2.4567901234567899</v>
      </c>
    </row>
    <row r="86" spans="1:4" x14ac:dyDescent="0.25">
      <c r="A86" t="s">
        <v>159</v>
      </c>
      <c r="D86">
        <f>MAX(D2:D82)</f>
        <v>8</v>
      </c>
    </row>
    <row r="87" spans="1:4" x14ac:dyDescent="0.25">
      <c r="A87" t="s">
        <v>160</v>
      </c>
      <c r="D87">
        <f>MIN(D2:D82)</f>
        <v>-21</v>
      </c>
    </row>
    <row r="88" spans="1:4" x14ac:dyDescent="0.25">
      <c r="A88" t="s">
        <v>161</v>
      </c>
      <c r="D88">
        <f>COUNTIF(D2:D82,"&gt;0")</f>
        <v>44</v>
      </c>
    </row>
    <row r="89" spans="1:4" x14ac:dyDescent="0.25">
      <c r="A89" t="s">
        <v>162</v>
      </c>
      <c r="D89">
        <f>COUNTIF(D2:D82,"=0")</f>
        <v>2</v>
      </c>
    </row>
    <row r="90" spans="1:4" x14ac:dyDescent="0.25">
      <c r="A90" t="s">
        <v>1264</v>
      </c>
      <c r="D90">
        <f>COUNTIF(D2:D82,"&lt;0")</f>
        <v>35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AVERAGE(D2,D3,D4,D5,D6,D7,D8,D9,D10,D11,D12,D13,D14,D15,D16,D17)</f>
        <v>3.5</v>
      </c>
    </row>
    <row r="94" spans="1:4" x14ac:dyDescent="0.25">
      <c r="A94" t="s">
        <v>166</v>
      </c>
      <c r="D94">
        <f>AVERAGE(D18,D19,D20,D21,D22,D23,D24,D25,D26,D27,D28,D29,D30,D31,D32,D33,D34,D35,D36,D37,D38,D39,D40,D41)</f>
        <v>5.333333333333333</v>
      </c>
    </row>
    <row r="95" spans="1:4" x14ac:dyDescent="0.25">
      <c r="A95" t="s">
        <v>167</v>
      </c>
      <c r="D95">
        <f>AVERAGE(D42,D43,D44,D45,D46,D47,D48,D49,D50,D51,D52,D53,D54,D55,D56,D57,D58,D59,D60)</f>
        <v>-3.1052631578947367</v>
      </c>
    </row>
    <row r="96" spans="1:4" x14ac:dyDescent="0.25">
      <c r="A96" t="s">
        <v>168</v>
      </c>
      <c r="D96">
        <f>AVERAGE(D61,D62,D63,D64,D65,D66,D67,D68,D69,D70,D71,D72,D73,D74,D75,D76,D77,D78,D79,D80,D81,D82)</f>
        <v>-14.727272727272727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8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1648</v>
      </c>
      <c r="C2" t="s">
        <v>908</v>
      </c>
      <c r="D2">
        <v>-2</v>
      </c>
    </row>
    <row r="3" spans="1:4" x14ac:dyDescent="0.25">
      <c r="A3" t="s">
        <v>4</v>
      </c>
      <c r="B3" t="s">
        <v>2151</v>
      </c>
      <c r="C3" t="s">
        <v>174</v>
      </c>
      <c r="D3">
        <v>1</v>
      </c>
    </row>
    <row r="4" spans="1:4" x14ac:dyDescent="0.25">
      <c r="A4" t="s">
        <v>4</v>
      </c>
      <c r="B4" t="s">
        <v>2152</v>
      </c>
      <c r="C4" t="s">
        <v>1347</v>
      </c>
      <c r="D4">
        <v>3</v>
      </c>
    </row>
    <row r="5" spans="1:4" x14ac:dyDescent="0.25">
      <c r="A5" t="s">
        <v>4</v>
      </c>
      <c r="B5" t="s">
        <v>641</v>
      </c>
      <c r="C5" t="s">
        <v>2592</v>
      </c>
      <c r="D5">
        <v>5</v>
      </c>
    </row>
    <row r="6" spans="1:4" x14ac:dyDescent="0.25">
      <c r="A6" t="s">
        <v>4</v>
      </c>
      <c r="B6" t="s">
        <v>307</v>
      </c>
      <c r="C6" t="s">
        <v>2593</v>
      </c>
      <c r="D6">
        <v>7</v>
      </c>
    </row>
    <row r="7" spans="1:4" x14ac:dyDescent="0.25">
      <c r="A7" t="s">
        <v>4</v>
      </c>
      <c r="B7" t="s">
        <v>1533</v>
      </c>
      <c r="C7" t="s">
        <v>1012</v>
      </c>
      <c r="D7">
        <v>4</v>
      </c>
    </row>
    <row r="8" spans="1:4" x14ac:dyDescent="0.25">
      <c r="A8" t="s">
        <v>4</v>
      </c>
      <c r="B8" t="s">
        <v>1442</v>
      </c>
      <c r="C8" t="s">
        <v>2594</v>
      </c>
      <c r="D8">
        <v>6</v>
      </c>
    </row>
    <row r="9" spans="1:4" x14ac:dyDescent="0.25">
      <c r="A9" t="s">
        <v>4</v>
      </c>
      <c r="B9" t="s">
        <v>225</v>
      </c>
      <c r="C9" t="s">
        <v>1352</v>
      </c>
      <c r="D9">
        <v>4</v>
      </c>
    </row>
    <row r="10" spans="1:4" x14ac:dyDescent="0.25">
      <c r="A10" t="s">
        <v>4</v>
      </c>
      <c r="B10" t="s">
        <v>1638</v>
      </c>
      <c r="C10" t="s">
        <v>784</v>
      </c>
      <c r="D10">
        <v>5</v>
      </c>
    </row>
    <row r="11" spans="1:4" x14ac:dyDescent="0.25">
      <c r="A11" t="s">
        <v>4</v>
      </c>
      <c r="B11" t="s">
        <v>1076</v>
      </c>
      <c r="C11" t="s">
        <v>1196</v>
      </c>
      <c r="D11">
        <v>7</v>
      </c>
    </row>
    <row r="12" spans="1:4" x14ac:dyDescent="0.25">
      <c r="A12" t="s">
        <v>4</v>
      </c>
      <c r="B12" t="s">
        <v>1076</v>
      </c>
      <c r="C12" t="s">
        <v>1014</v>
      </c>
      <c r="D12">
        <v>8</v>
      </c>
    </row>
    <row r="13" spans="1:4" x14ac:dyDescent="0.25">
      <c r="A13" t="s">
        <v>4</v>
      </c>
      <c r="B13" t="s">
        <v>815</v>
      </c>
      <c r="C13" t="s">
        <v>1111</v>
      </c>
      <c r="D13">
        <v>5</v>
      </c>
    </row>
    <row r="14" spans="1:4" x14ac:dyDescent="0.25">
      <c r="A14" t="s">
        <v>4</v>
      </c>
      <c r="B14" t="s">
        <v>927</v>
      </c>
      <c r="C14" t="s">
        <v>920</v>
      </c>
      <c r="D14">
        <v>3</v>
      </c>
    </row>
    <row r="15" spans="1:4" x14ac:dyDescent="0.25">
      <c r="A15" t="s">
        <v>4</v>
      </c>
      <c r="B15" t="s">
        <v>301</v>
      </c>
      <c r="C15" t="s">
        <v>1199</v>
      </c>
      <c r="D15">
        <v>6</v>
      </c>
    </row>
    <row r="16" spans="1:4" x14ac:dyDescent="0.25">
      <c r="A16" t="s">
        <v>40</v>
      </c>
      <c r="B16" t="s">
        <v>242</v>
      </c>
      <c r="C16" t="s">
        <v>326</v>
      </c>
      <c r="D16">
        <v>8</v>
      </c>
    </row>
    <row r="17" spans="1:4" x14ac:dyDescent="0.25">
      <c r="A17" t="s">
        <v>40</v>
      </c>
      <c r="B17" t="s">
        <v>1266</v>
      </c>
      <c r="C17" t="s">
        <v>2539</v>
      </c>
      <c r="D17">
        <v>6</v>
      </c>
    </row>
    <row r="18" spans="1:4" x14ac:dyDescent="0.25">
      <c r="A18" t="s">
        <v>40</v>
      </c>
      <c r="B18" t="s">
        <v>1973</v>
      </c>
      <c r="C18" t="s">
        <v>1360</v>
      </c>
      <c r="D18">
        <v>9</v>
      </c>
    </row>
    <row r="19" spans="1:4" x14ac:dyDescent="0.25">
      <c r="A19" t="s">
        <v>40</v>
      </c>
      <c r="B19" t="s">
        <v>954</v>
      </c>
      <c r="C19" t="s">
        <v>923</v>
      </c>
      <c r="D19">
        <v>7</v>
      </c>
    </row>
    <row r="20" spans="1:4" x14ac:dyDescent="0.25">
      <c r="A20" t="s">
        <v>40</v>
      </c>
      <c r="B20" t="s">
        <v>570</v>
      </c>
      <c r="C20" t="s">
        <v>2595</v>
      </c>
      <c r="D20">
        <v>6</v>
      </c>
    </row>
    <row r="21" spans="1:4" x14ac:dyDescent="0.25">
      <c r="A21" t="s">
        <v>40</v>
      </c>
      <c r="B21" t="s">
        <v>570</v>
      </c>
      <c r="C21" t="s">
        <v>1207</v>
      </c>
      <c r="D21">
        <v>5</v>
      </c>
    </row>
    <row r="22" spans="1:4" x14ac:dyDescent="0.25">
      <c r="A22" t="s">
        <v>40</v>
      </c>
      <c r="B22" t="s">
        <v>1432</v>
      </c>
      <c r="C22" t="s">
        <v>712</v>
      </c>
      <c r="D22">
        <v>3</v>
      </c>
    </row>
    <row r="23" spans="1:4" x14ac:dyDescent="0.25">
      <c r="A23" t="s">
        <v>40</v>
      </c>
      <c r="B23" t="s">
        <v>1105</v>
      </c>
      <c r="C23" t="s">
        <v>455</v>
      </c>
      <c r="D23">
        <v>1</v>
      </c>
    </row>
    <row r="24" spans="1:4" x14ac:dyDescent="0.25">
      <c r="A24" t="s">
        <v>40</v>
      </c>
      <c r="B24" t="s">
        <v>726</v>
      </c>
      <c r="C24" t="s">
        <v>1752</v>
      </c>
      <c r="D24">
        <v>4</v>
      </c>
    </row>
    <row r="25" spans="1:4" x14ac:dyDescent="0.25">
      <c r="A25" t="s">
        <v>40</v>
      </c>
      <c r="B25" t="s">
        <v>2154</v>
      </c>
      <c r="C25" t="s">
        <v>336</v>
      </c>
      <c r="D25">
        <v>2</v>
      </c>
    </row>
    <row r="26" spans="1:4" x14ac:dyDescent="0.25">
      <c r="A26" t="s">
        <v>40</v>
      </c>
      <c r="B26" t="s">
        <v>2154</v>
      </c>
      <c r="C26" t="s">
        <v>2357</v>
      </c>
      <c r="D26">
        <v>1</v>
      </c>
    </row>
    <row r="27" spans="1:4" x14ac:dyDescent="0.25">
      <c r="A27" t="s">
        <v>40</v>
      </c>
      <c r="B27" t="s">
        <v>1230</v>
      </c>
      <c r="C27" t="s">
        <v>2331</v>
      </c>
      <c r="D27">
        <v>0</v>
      </c>
    </row>
    <row r="28" spans="1:4" x14ac:dyDescent="0.25">
      <c r="A28" t="s">
        <v>40</v>
      </c>
      <c r="B28" t="s">
        <v>374</v>
      </c>
      <c r="C28" t="s">
        <v>1753</v>
      </c>
      <c r="D28">
        <v>2</v>
      </c>
    </row>
    <row r="29" spans="1:4" x14ac:dyDescent="0.25">
      <c r="A29" t="s">
        <v>40</v>
      </c>
      <c r="B29" t="s">
        <v>317</v>
      </c>
      <c r="C29" t="s">
        <v>342</v>
      </c>
      <c r="D29">
        <v>0</v>
      </c>
    </row>
    <row r="30" spans="1:4" x14ac:dyDescent="0.25">
      <c r="A30" t="s">
        <v>40</v>
      </c>
      <c r="B30" t="s">
        <v>1882</v>
      </c>
      <c r="C30" t="s">
        <v>343</v>
      </c>
      <c r="D30">
        <v>2</v>
      </c>
    </row>
    <row r="31" spans="1:4" x14ac:dyDescent="0.25">
      <c r="A31" t="s">
        <v>40</v>
      </c>
      <c r="B31" t="s">
        <v>1844</v>
      </c>
      <c r="C31" t="s">
        <v>63</v>
      </c>
      <c r="D31">
        <v>-1</v>
      </c>
    </row>
    <row r="32" spans="1:4" x14ac:dyDescent="0.25">
      <c r="A32" t="s">
        <v>40</v>
      </c>
      <c r="B32" t="s">
        <v>1113</v>
      </c>
      <c r="C32" t="s">
        <v>725</v>
      </c>
      <c r="D32">
        <v>1</v>
      </c>
    </row>
    <row r="33" spans="1:4" x14ac:dyDescent="0.25">
      <c r="A33" t="s">
        <v>40</v>
      </c>
      <c r="B33" t="s">
        <v>999</v>
      </c>
      <c r="C33" t="s">
        <v>1827</v>
      </c>
      <c r="D33">
        <v>-2</v>
      </c>
    </row>
    <row r="34" spans="1:4" x14ac:dyDescent="0.25">
      <c r="A34" t="s">
        <v>40</v>
      </c>
      <c r="B34" t="s">
        <v>902</v>
      </c>
      <c r="C34" t="s">
        <v>470</v>
      </c>
      <c r="D34">
        <v>0</v>
      </c>
    </row>
    <row r="35" spans="1:4" x14ac:dyDescent="0.25">
      <c r="A35" t="s">
        <v>80</v>
      </c>
      <c r="B35" t="s">
        <v>1027</v>
      </c>
      <c r="C35" t="s">
        <v>1828</v>
      </c>
      <c r="D35">
        <v>-2</v>
      </c>
    </row>
    <row r="36" spans="1:4" x14ac:dyDescent="0.25">
      <c r="A36" t="s">
        <v>80</v>
      </c>
      <c r="B36" t="s">
        <v>211</v>
      </c>
      <c r="C36" t="s">
        <v>2486</v>
      </c>
      <c r="D36">
        <v>1</v>
      </c>
    </row>
    <row r="37" spans="1:4" x14ac:dyDescent="0.25">
      <c r="A37" t="s">
        <v>80</v>
      </c>
      <c r="B37" t="s">
        <v>275</v>
      </c>
      <c r="C37" t="s">
        <v>356</v>
      </c>
      <c r="D37">
        <v>3</v>
      </c>
    </row>
    <row r="38" spans="1:4" x14ac:dyDescent="0.25">
      <c r="A38" t="s">
        <v>80</v>
      </c>
      <c r="B38" t="s">
        <v>91</v>
      </c>
      <c r="C38" t="s">
        <v>358</v>
      </c>
      <c r="D38">
        <v>1</v>
      </c>
    </row>
    <row r="39" spans="1:4" x14ac:dyDescent="0.25">
      <c r="A39" t="s">
        <v>80</v>
      </c>
      <c r="B39" t="s">
        <v>1723</v>
      </c>
      <c r="C39" t="s">
        <v>1759</v>
      </c>
      <c r="D39">
        <v>2</v>
      </c>
    </row>
    <row r="40" spans="1:4" x14ac:dyDescent="0.25">
      <c r="A40" t="s">
        <v>80</v>
      </c>
      <c r="B40" t="s">
        <v>1723</v>
      </c>
      <c r="C40" t="s">
        <v>360</v>
      </c>
      <c r="D40">
        <v>3</v>
      </c>
    </row>
    <row r="41" spans="1:4" x14ac:dyDescent="0.25">
      <c r="A41" t="s">
        <v>80</v>
      </c>
      <c r="B41" t="s">
        <v>1284</v>
      </c>
      <c r="C41" t="s">
        <v>2305</v>
      </c>
      <c r="D41">
        <v>5</v>
      </c>
    </row>
    <row r="42" spans="1:4" x14ac:dyDescent="0.25">
      <c r="A42" t="s">
        <v>80</v>
      </c>
      <c r="B42" t="s">
        <v>1775</v>
      </c>
      <c r="C42" t="s">
        <v>735</v>
      </c>
      <c r="D42">
        <v>3</v>
      </c>
    </row>
    <row r="43" spans="1:4" x14ac:dyDescent="0.25">
      <c r="A43" t="s">
        <v>80</v>
      </c>
      <c r="B43" t="s">
        <v>378</v>
      </c>
      <c r="C43" t="s">
        <v>2596</v>
      </c>
      <c r="D43">
        <v>5</v>
      </c>
    </row>
    <row r="44" spans="1:4" x14ac:dyDescent="0.25">
      <c r="A44" t="s">
        <v>80</v>
      </c>
      <c r="B44" t="s">
        <v>1222</v>
      </c>
      <c r="C44" t="s">
        <v>2597</v>
      </c>
      <c r="D44">
        <v>4</v>
      </c>
    </row>
    <row r="45" spans="1:4" x14ac:dyDescent="0.25">
      <c r="A45" t="s">
        <v>80</v>
      </c>
      <c r="B45" t="s">
        <v>1809</v>
      </c>
      <c r="C45" t="s">
        <v>2598</v>
      </c>
      <c r="D45">
        <v>6</v>
      </c>
    </row>
    <row r="46" spans="1:4" x14ac:dyDescent="0.25">
      <c r="A46" t="s">
        <v>80</v>
      </c>
      <c r="B46" t="s">
        <v>772</v>
      </c>
      <c r="C46" t="s">
        <v>1597</v>
      </c>
      <c r="D46">
        <v>8</v>
      </c>
    </row>
    <row r="47" spans="1:4" x14ac:dyDescent="0.25">
      <c r="A47" t="s">
        <v>123</v>
      </c>
      <c r="B47" t="s">
        <v>1648</v>
      </c>
      <c r="C47" t="s">
        <v>1678</v>
      </c>
      <c r="D47">
        <v>10</v>
      </c>
    </row>
    <row r="48" spans="1:4" x14ac:dyDescent="0.25">
      <c r="A48" t="s">
        <v>123</v>
      </c>
      <c r="B48" t="s">
        <v>128</v>
      </c>
      <c r="C48" t="s">
        <v>2599</v>
      </c>
      <c r="D48">
        <v>8</v>
      </c>
    </row>
    <row r="49" spans="1:4" x14ac:dyDescent="0.25">
      <c r="A49" t="s">
        <v>123</v>
      </c>
      <c r="B49" t="s">
        <v>1057</v>
      </c>
      <c r="C49" t="s">
        <v>2600</v>
      </c>
      <c r="D49">
        <v>10</v>
      </c>
    </row>
    <row r="50" spans="1:4" x14ac:dyDescent="0.25">
      <c r="A50" t="s">
        <v>123</v>
      </c>
      <c r="B50" t="s">
        <v>1248</v>
      </c>
      <c r="C50" t="s">
        <v>1951</v>
      </c>
      <c r="D50">
        <v>13</v>
      </c>
    </row>
    <row r="51" spans="1:4" x14ac:dyDescent="0.25">
      <c r="A51" t="s">
        <v>123</v>
      </c>
      <c r="B51" t="s">
        <v>460</v>
      </c>
      <c r="C51" t="s">
        <v>1952</v>
      </c>
      <c r="D51">
        <v>11</v>
      </c>
    </row>
    <row r="52" spans="1:4" x14ac:dyDescent="0.25">
      <c r="A52" t="s">
        <v>123</v>
      </c>
      <c r="B52" t="s">
        <v>460</v>
      </c>
      <c r="C52" t="s">
        <v>1156</v>
      </c>
      <c r="D52">
        <v>10</v>
      </c>
    </row>
    <row r="53" spans="1:4" x14ac:dyDescent="0.25">
      <c r="A53" t="s">
        <v>123</v>
      </c>
      <c r="B53" t="s">
        <v>1498</v>
      </c>
      <c r="C53" t="s">
        <v>2601</v>
      </c>
      <c r="D53">
        <v>9</v>
      </c>
    </row>
    <row r="54" spans="1:4" x14ac:dyDescent="0.25">
      <c r="A54" t="s">
        <v>123</v>
      </c>
      <c r="B54" t="s">
        <v>1498</v>
      </c>
      <c r="C54" t="s">
        <v>2550</v>
      </c>
      <c r="D54">
        <v>8</v>
      </c>
    </row>
    <row r="55" spans="1:4" x14ac:dyDescent="0.25">
      <c r="A55" t="s">
        <v>123</v>
      </c>
      <c r="B55" t="s">
        <v>802</v>
      </c>
      <c r="C55" t="s">
        <v>1158</v>
      </c>
      <c r="D55">
        <v>10</v>
      </c>
    </row>
    <row r="56" spans="1:4" x14ac:dyDescent="0.25">
      <c r="A56" t="s">
        <v>123</v>
      </c>
      <c r="B56" t="s">
        <v>2431</v>
      </c>
      <c r="C56" t="s">
        <v>2276</v>
      </c>
      <c r="D56">
        <v>7</v>
      </c>
    </row>
    <row r="57" spans="1:4" x14ac:dyDescent="0.25">
      <c r="A57" t="s">
        <v>123</v>
      </c>
      <c r="B57" t="s">
        <v>1228</v>
      </c>
      <c r="C57" t="s">
        <v>1839</v>
      </c>
      <c r="D57">
        <v>4</v>
      </c>
    </row>
    <row r="58" spans="1:4" x14ac:dyDescent="0.25">
      <c r="A58" t="s">
        <v>123</v>
      </c>
      <c r="B58" t="s">
        <v>874</v>
      </c>
      <c r="C58" t="s">
        <v>1164</v>
      </c>
      <c r="D58">
        <v>6</v>
      </c>
    </row>
    <row r="59" spans="1:4" x14ac:dyDescent="0.25">
      <c r="A59" t="s">
        <v>123</v>
      </c>
      <c r="B59" t="s">
        <v>223</v>
      </c>
      <c r="C59" t="s">
        <v>1165</v>
      </c>
      <c r="D59">
        <v>8</v>
      </c>
    </row>
    <row r="60" spans="1:4" x14ac:dyDescent="0.25">
      <c r="A60" t="s">
        <v>123</v>
      </c>
      <c r="B60" t="s">
        <v>1602</v>
      </c>
      <c r="C60" t="s">
        <v>637</v>
      </c>
      <c r="D60">
        <v>6</v>
      </c>
    </row>
    <row r="61" spans="1:4" x14ac:dyDescent="0.25">
      <c r="A61" t="s">
        <v>123</v>
      </c>
      <c r="B61" t="s">
        <v>114</v>
      </c>
      <c r="C61" t="s">
        <v>2602</v>
      </c>
      <c r="D61">
        <v>9</v>
      </c>
    </row>
    <row r="62" spans="1:4" x14ac:dyDescent="0.25">
      <c r="A62" t="s">
        <v>123</v>
      </c>
      <c r="B62" t="s">
        <v>1640</v>
      </c>
      <c r="C62" t="s">
        <v>2553</v>
      </c>
      <c r="D62">
        <v>6</v>
      </c>
    </row>
    <row r="63" spans="1:4" x14ac:dyDescent="0.25">
      <c r="A63" t="s">
        <v>123</v>
      </c>
      <c r="B63" t="s">
        <v>1339</v>
      </c>
      <c r="C63" t="s">
        <v>1171</v>
      </c>
      <c r="D63">
        <v>5</v>
      </c>
    </row>
    <row r="64" spans="1:4" x14ac:dyDescent="0.25">
      <c r="A64" t="s">
        <v>123</v>
      </c>
      <c r="B64" t="s">
        <v>1339</v>
      </c>
      <c r="C64" t="s">
        <v>1957</v>
      </c>
      <c r="D64">
        <v>4</v>
      </c>
    </row>
    <row r="65" spans="1:4" x14ac:dyDescent="0.25">
      <c r="A65" t="s">
        <v>123</v>
      </c>
      <c r="B65" t="s">
        <v>294</v>
      </c>
      <c r="C65" t="s">
        <v>2603</v>
      </c>
      <c r="D65">
        <v>1</v>
      </c>
    </row>
    <row r="66" spans="1:4" x14ac:dyDescent="0.25">
      <c r="A66" t="s">
        <v>123</v>
      </c>
      <c r="B66" t="s">
        <v>348</v>
      </c>
      <c r="C66" t="s">
        <v>1174</v>
      </c>
      <c r="D66">
        <v>3</v>
      </c>
    </row>
    <row r="67" spans="1:4" x14ac:dyDescent="0.25">
      <c r="A67" t="s">
        <v>123</v>
      </c>
      <c r="B67" t="s">
        <v>1276</v>
      </c>
      <c r="C67" t="s">
        <v>647</v>
      </c>
      <c r="D67">
        <v>4</v>
      </c>
    </row>
    <row r="68" spans="1:4" x14ac:dyDescent="0.25">
      <c r="A68" t="s">
        <v>123</v>
      </c>
      <c r="B68" t="s">
        <v>1276</v>
      </c>
      <c r="C68" t="s">
        <v>2554</v>
      </c>
      <c r="D68">
        <v>5</v>
      </c>
    </row>
    <row r="69" spans="1:4" x14ac:dyDescent="0.25">
      <c r="A69" t="s">
        <v>123</v>
      </c>
      <c r="B69" t="s">
        <v>451</v>
      </c>
      <c r="C69" t="s">
        <v>2604</v>
      </c>
      <c r="D69">
        <v>2</v>
      </c>
    </row>
    <row r="70" spans="1:4" x14ac:dyDescent="0.25">
      <c r="A70" t="s">
        <v>123</v>
      </c>
      <c r="B70" t="s">
        <v>235</v>
      </c>
      <c r="C70" t="s">
        <v>2605</v>
      </c>
      <c r="D70">
        <v>3</v>
      </c>
    </row>
    <row r="71" spans="1:4" x14ac:dyDescent="0.25">
      <c r="A71" t="s">
        <v>123</v>
      </c>
      <c r="B71" t="s">
        <v>235</v>
      </c>
      <c r="C71" t="s">
        <v>2606</v>
      </c>
      <c r="D71">
        <v>4</v>
      </c>
    </row>
    <row r="73" spans="1:4" x14ac:dyDescent="0.25">
      <c r="A73" s="2" t="s">
        <v>157</v>
      </c>
    </row>
    <row r="74" spans="1:4" x14ac:dyDescent="0.25">
      <c r="A74" t="s">
        <v>158</v>
      </c>
      <c r="D74">
        <f>AVERAGE(D2:D71)</f>
        <v>4.5857142857142854</v>
      </c>
    </row>
    <row r="75" spans="1:4" x14ac:dyDescent="0.25">
      <c r="A75" t="s">
        <v>159</v>
      </c>
      <c r="D75">
        <f>MAX(D2:D71)</f>
        <v>13</v>
      </c>
    </row>
    <row r="76" spans="1:4" x14ac:dyDescent="0.25">
      <c r="A76" t="s">
        <v>160</v>
      </c>
      <c r="D76">
        <f>MIN(D2:D71)</f>
        <v>-2</v>
      </c>
    </row>
    <row r="77" spans="1:4" x14ac:dyDescent="0.25">
      <c r="A77" t="s">
        <v>161</v>
      </c>
      <c r="D77">
        <f>COUNTIF(D2:D71,"&gt;0")</f>
        <v>63</v>
      </c>
    </row>
    <row r="78" spans="1:4" x14ac:dyDescent="0.25">
      <c r="A78" t="s">
        <v>162</v>
      </c>
      <c r="D78">
        <f>COUNTIF(D2:D71,"=0")</f>
        <v>3</v>
      </c>
    </row>
    <row r="79" spans="1:4" x14ac:dyDescent="0.25">
      <c r="A79" t="s">
        <v>1264</v>
      </c>
      <c r="D79">
        <f>COUNTIF(D2:D71,"&lt;0")</f>
        <v>4</v>
      </c>
    </row>
    <row r="81" spans="1:4" x14ac:dyDescent="0.25">
      <c r="A81" s="2" t="s">
        <v>164</v>
      </c>
    </row>
    <row r="82" spans="1:4" x14ac:dyDescent="0.25">
      <c r="A82" t="s">
        <v>165</v>
      </c>
      <c r="D82">
        <f>AVERAGE(D2,D3,D4,D5,D6,D7,D8,D9,D10,D11,D12,D13,D14,D15)</f>
        <v>4.4285714285714288</v>
      </c>
    </row>
    <row r="83" spans="1:4" x14ac:dyDescent="0.25">
      <c r="A83" t="s">
        <v>166</v>
      </c>
      <c r="D83">
        <f>AVERAGE(D16,D17,D18,D19,D20,D21,D22,D23,D24,D25,D26,D27,D28,D29,D30,D31,D32,D33,D34)</f>
        <v>2.8421052631578947</v>
      </c>
    </row>
    <row r="84" spans="1:4" x14ac:dyDescent="0.25">
      <c r="A84" t="s">
        <v>167</v>
      </c>
      <c r="D84">
        <f>AVERAGE(D35,D36,D37,D38,D39,D40,D41,D42,D43,D44,D45,D46)</f>
        <v>3.25</v>
      </c>
    </row>
    <row r="85" spans="1:4" x14ac:dyDescent="0.25">
      <c r="A85" t="s">
        <v>168</v>
      </c>
      <c r="D85">
        <f>AVERAGE(D47,D48,D49,D50,D51,D52,D53,D54,D55,D56,D57,D58,D59,D60,D61,D62,D63,D64,D65,D66,D67,D68,D69,D70,D71)</f>
        <v>6.64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1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1704</v>
      </c>
      <c r="C2" t="s">
        <v>6</v>
      </c>
      <c r="D2">
        <v>2</v>
      </c>
    </row>
    <row r="3" spans="1:4" x14ac:dyDescent="0.25">
      <c r="A3" t="s">
        <v>4</v>
      </c>
      <c r="B3" t="s">
        <v>757</v>
      </c>
      <c r="C3" t="s">
        <v>8</v>
      </c>
      <c r="D3">
        <v>0</v>
      </c>
    </row>
    <row r="4" spans="1:4" x14ac:dyDescent="0.25">
      <c r="A4" t="s">
        <v>4</v>
      </c>
      <c r="B4" t="s">
        <v>1267</v>
      </c>
      <c r="C4" t="s">
        <v>306</v>
      </c>
      <c r="D4">
        <v>-1</v>
      </c>
    </row>
    <row r="5" spans="1:4" x14ac:dyDescent="0.25">
      <c r="A5" t="s">
        <v>4</v>
      </c>
      <c r="B5" t="s">
        <v>1190</v>
      </c>
      <c r="C5" t="s">
        <v>1869</v>
      </c>
      <c r="D5">
        <v>-3</v>
      </c>
    </row>
    <row r="6" spans="1:4" x14ac:dyDescent="0.25">
      <c r="A6" t="s">
        <v>4</v>
      </c>
      <c r="B6" t="s">
        <v>85</v>
      </c>
      <c r="C6" t="s">
        <v>1870</v>
      </c>
      <c r="D6">
        <v>-5</v>
      </c>
    </row>
    <row r="7" spans="1:4" x14ac:dyDescent="0.25">
      <c r="A7" t="s">
        <v>4</v>
      </c>
      <c r="B7" t="s">
        <v>1851</v>
      </c>
      <c r="C7" t="s">
        <v>913</v>
      </c>
      <c r="D7">
        <v>-2</v>
      </c>
    </row>
    <row r="8" spans="1:4" x14ac:dyDescent="0.25">
      <c r="A8" t="s">
        <v>4</v>
      </c>
      <c r="B8" t="s">
        <v>51</v>
      </c>
      <c r="C8" t="s">
        <v>1635</v>
      </c>
      <c r="D8">
        <v>-5</v>
      </c>
    </row>
    <row r="9" spans="1:4" x14ac:dyDescent="0.25">
      <c r="A9" t="s">
        <v>4</v>
      </c>
      <c r="B9" t="s">
        <v>2074</v>
      </c>
      <c r="C9" t="s">
        <v>436</v>
      </c>
      <c r="D9">
        <v>-3</v>
      </c>
    </row>
    <row r="10" spans="1:4" x14ac:dyDescent="0.25">
      <c r="A10" t="s">
        <v>4</v>
      </c>
      <c r="B10" t="s">
        <v>363</v>
      </c>
      <c r="C10" t="s">
        <v>1499</v>
      </c>
      <c r="D10">
        <v>-5</v>
      </c>
    </row>
    <row r="11" spans="1:4" x14ac:dyDescent="0.25">
      <c r="A11" t="s">
        <v>4</v>
      </c>
      <c r="B11" t="s">
        <v>1033</v>
      </c>
      <c r="C11" t="s">
        <v>1500</v>
      </c>
      <c r="D11">
        <v>-2</v>
      </c>
    </row>
    <row r="12" spans="1:4" x14ac:dyDescent="0.25">
      <c r="A12" t="s">
        <v>4</v>
      </c>
      <c r="B12" t="s">
        <v>804</v>
      </c>
      <c r="C12" t="s">
        <v>1501</v>
      </c>
      <c r="D12">
        <v>-4</v>
      </c>
    </row>
    <row r="13" spans="1:4" x14ac:dyDescent="0.25">
      <c r="A13" t="s">
        <v>4</v>
      </c>
      <c r="B13" t="s">
        <v>1725</v>
      </c>
      <c r="C13" t="s">
        <v>2607</v>
      </c>
      <c r="D13">
        <v>-6</v>
      </c>
    </row>
    <row r="14" spans="1:4" x14ac:dyDescent="0.25">
      <c r="A14" t="s">
        <v>4</v>
      </c>
      <c r="B14" t="s">
        <v>1725</v>
      </c>
      <c r="C14" t="s">
        <v>1502</v>
      </c>
      <c r="D14">
        <v>-7</v>
      </c>
    </row>
    <row r="15" spans="1:4" x14ac:dyDescent="0.25">
      <c r="A15" t="s">
        <v>4</v>
      </c>
      <c r="B15" t="s">
        <v>1288</v>
      </c>
      <c r="C15" t="s">
        <v>2203</v>
      </c>
      <c r="D15">
        <v>-5</v>
      </c>
    </row>
    <row r="16" spans="1:4" x14ac:dyDescent="0.25">
      <c r="A16" t="s">
        <v>4</v>
      </c>
      <c r="B16" t="s">
        <v>539</v>
      </c>
      <c r="C16" t="s">
        <v>1505</v>
      </c>
      <c r="D16">
        <v>-2</v>
      </c>
    </row>
    <row r="17" spans="1:4" x14ac:dyDescent="0.25">
      <c r="A17" t="s">
        <v>4</v>
      </c>
      <c r="B17" t="s">
        <v>339</v>
      </c>
      <c r="C17" t="s">
        <v>2122</v>
      </c>
      <c r="D17">
        <v>1</v>
      </c>
    </row>
    <row r="18" spans="1:4" x14ac:dyDescent="0.25">
      <c r="A18" t="s">
        <v>4</v>
      </c>
      <c r="B18" t="s">
        <v>1698</v>
      </c>
      <c r="C18" t="s">
        <v>2264</v>
      </c>
      <c r="D18">
        <v>-2</v>
      </c>
    </row>
    <row r="19" spans="1:4" x14ac:dyDescent="0.25">
      <c r="A19" t="s">
        <v>4</v>
      </c>
      <c r="B19" t="s">
        <v>1700</v>
      </c>
      <c r="C19" t="s">
        <v>711</v>
      </c>
      <c r="D19">
        <v>1</v>
      </c>
    </row>
    <row r="20" spans="1:4" x14ac:dyDescent="0.25">
      <c r="A20" t="s">
        <v>4</v>
      </c>
      <c r="B20" t="s">
        <v>1200</v>
      </c>
      <c r="C20" t="s">
        <v>2328</v>
      </c>
      <c r="D20">
        <v>-2</v>
      </c>
    </row>
    <row r="21" spans="1:4" x14ac:dyDescent="0.25">
      <c r="A21" t="s">
        <v>4</v>
      </c>
      <c r="B21" t="s">
        <v>1376</v>
      </c>
      <c r="C21" t="s">
        <v>591</v>
      </c>
      <c r="D21">
        <v>1</v>
      </c>
    </row>
    <row r="22" spans="1:4" x14ac:dyDescent="0.25">
      <c r="A22" t="s">
        <v>4</v>
      </c>
      <c r="B22" t="s">
        <v>1202</v>
      </c>
      <c r="C22" t="s">
        <v>214</v>
      </c>
      <c r="D22">
        <v>3</v>
      </c>
    </row>
    <row r="23" spans="1:4" x14ac:dyDescent="0.25">
      <c r="A23" t="s">
        <v>4</v>
      </c>
      <c r="B23" t="s">
        <v>788</v>
      </c>
      <c r="C23" t="s">
        <v>2357</v>
      </c>
      <c r="D23">
        <v>1</v>
      </c>
    </row>
    <row r="24" spans="1:4" x14ac:dyDescent="0.25">
      <c r="A24" t="s">
        <v>4</v>
      </c>
      <c r="B24" t="s">
        <v>552</v>
      </c>
      <c r="C24" t="s">
        <v>1714</v>
      </c>
      <c r="D24">
        <v>-1</v>
      </c>
    </row>
    <row r="25" spans="1:4" x14ac:dyDescent="0.25">
      <c r="A25" t="s">
        <v>4</v>
      </c>
      <c r="B25" t="s">
        <v>2608</v>
      </c>
      <c r="C25" t="s">
        <v>2359</v>
      </c>
      <c r="D25">
        <v>2</v>
      </c>
    </row>
    <row r="26" spans="1:4" x14ac:dyDescent="0.25">
      <c r="A26" t="s">
        <v>4</v>
      </c>
      <c r="B26" t="s">
        <v>1646</v>
      </c>
      <c r="C26" t="s">
        <v>1825</v>
      </c>
      <c r="D26">
        <v>0</v>
      </c>
    </row>
    <row r="27" spans="1:4" x14ac:dyDescent="0.25">
      <c r="A27" t="s">
        <v>4</v>
      </c>
      <c r="B27" t="s">
        <v>1568</v>
      </c>
      <c r="C27" t="s">
        <v>936</v>
      </c>
      <c r="D27">
        <v>2</v>
      </c>
    </row>
    <row r="28" spans="1:4" x14ac:dyDescent="0.25">
      <c r="A28" t="s">
        <v>40</v>
      </c>
      <c r="B28" t="s">
        <v>1849</v>
      </c>
      <c r="C28" t="s">
        <v>1214</v>
      </c>
      <c r="D28">
        <v>5</v>
      </c>
    </row>
    <row r="29" spans="1:4" x14ac:dyDescent="0.25">
      <c r="A29" t="s">
        <v>40</v>
      </c>
      <c r="B29" t="s">
        <v>1210</v>
      </c>
      <c r="C29" t="s">
        <v>349</v>
      </c>
      <c r="D29">
        <v>3</v>
      </c>
    </row>
    <row r="30" spans="1:4" x14ac:dyDescent="0.25">
      <c r="A30" t="s">
        <v>40</v>
      </c>
      <c r="B30" t="s">
        <v>827</v>
      </c>
      <c r="C30" t="s">
        <v>470</v>
      </c>
      <c r="D30">
        <v>0</v>
      </c>
    </row>
    <row r="31" spans="1:4" x14ac:dyDescent="0.25">
      <c r="A31" t="s">
        <v>40</v>
      </c>
      <c r="B31" t="s">
        <v>175</v>
      </c>
      <c r="C31" t="s">
        <v>230</v>
      </c>
      <c r="D31">
        <v>2</v>
      </c>
    </row>
    <row r="32" spans="1:4" x14ac:dyDescent="0.25">
      <c r="A32" t="s">
        <v>40</v>
      </c>
      <c r="B32" t="s">
        <v>132</v>
      </c>
      <c r="C32" t="s">
        <v>354</v>
      </c>
      <c r="D32">
        <v>1</v>
      </c>
    </row>
    <row r="33" spans="1:4" x14ac:dyDescent="0.25">
      <c r="A33" t="s">
        <v>40</v>
      </c>
      <c r="B33" t="s">
        <v>132</v>
      </c>
      <c r="C33" t="s">
        <v>232</v>
      </c>
      <c r="D33">
        <v>0</v>
      </c>
    </row>
    <row r="34" spans="1:4" x14ac:dyDescent="0.25">
      <c r="A34" t="s">
        <v>40</v>
      </c>
      <c r="B34" t="s">
        <v>1771</v>
      </c>
      <c r="C34" t="s">
        <v>356</v>
      </c>
      <c r="D34">
        <v>3</v>
      </c>
    </row>
    <row r="35" spans="1:4" x14ac:dyDescent="0.25">
      <c r="A35" t="s">
        <v>40</v>
      </c>
      <c r="B35" t="s">
        <v>1495</v>
      </c>
      <c r="C35" t="s">
        <v>1221</v>
      </c>
      <c r="D35">
        <v>0</v>
      </c>
    </row>
    <row r="36" spans="1:4" x14ac:dyDescent="0.25">
      <c r="A36" t="s">
        <v>40</v>
      </c>
      <c r="B36" t="s">
        <v>645</v>
      </c>
      <c r="C36" t="s">
        <v>479</v>
      </c>
      <c r="D36">
        <v>2</v>
      </c>
    </row>
    <row r="37" spans="1:4" x14ac:dyDescent="0.25">
      <c r="A37" t="s">
        <v>40</v>
      </c>
      <c r="B37" t="s">
        <v>1033</v>
      </c>
      <c r="C37" t="s">
        <v>1223</v>
      </c>
      <c r="D37">
        <v>3</v>
      </c>
    </row>
    <row r="38" spans="1:4" x14ac:dyDescent="0.25">
      <c r="A38" t="s">
        <v>40</v>
      </c>
      <c r="B38" t="s">
        <v>1033</v>
      </c>
      <c r="C38" t="s">
        <v>2306</v>
      </c>
      <c r="D38">
        <v>4</v>
      </c>
    </row>
    <row r="39" spans="1:4" x14ac:dyDescent="0.25">
      <c r="A39" t="s">
        <v>40</v>
      </c>
      <c r="B39" t="s">
        <v>2431</v>
      </c>
      <c r="C39" t="s">
        <v>2307</v>
      </c>
      <c r="D39">
        <v>2</v>
      </c>
    </row>
    <row r="40" spans="1:4" x14ac:dyDescent="0.25">
      <c r="A40" t="s">
        <v>40</v>
      </c>
      <c r="B40" t="s">
        <v>870</v>
      </c>
      <c r="C40" t="s">
        <v>2609</v>
      </c>
      <c r="D40">
        <v>5</v>
      </c>
    </row>
    <row r="41" spans="1:4" x14ac:dyDescent="0.25">
      <c r="A41" t="s">
        <v>40</v>
      </c>
      <c r="B41" t="s">
        <v>743</v>
      </c>
      <c r="C41" t="s">
        <v>2548</v>
      </c>
      <c r="D41">
        <v>4</v>
      </c>
    </row>
    <row r="42" spans="1:4" x14ac:dyDescent="0.25">
      <c r="A42" t="s">
        <v>40</v>
      </c>
      <c r="B42" t="s">
        <v>743</v>
      </c>
      <c r="C42" t="s">
        <v>2488</v>
      </c>
      <c r="D42">
        <v>3</v>
      </c>
    </row>
    <row r="43" spans="1:4" x14ac:dyDescent="0.25">
      <c r="A43" t="s">
        <v>40</v>
      </c>
      <c r="B43" t="s">
        <v>1198</v>
      </c>
      <c r="C43" t="s">
        <v>2309</v>
      </c>
      <c r="D43">
        <v>2</v>
      </c>
    </row>
    <row r="44" spans="1:4" x14ac:dyDescent="0.25">
      <c r="A44" t="s">
        <v>40</v>
      </c>
      <c r="B44" t="s">
        <v>1700</v>
      </c>
      <c r="C44" t="s">
        <v>486</v>
      </c>
      <c r="D44">
        <v>4</v>
      </c>
    </row>
    <row r="45" spans="1:4" x14ac:dyDescent="0.25">
      <c r="A45" t="s">
        <v>40</v>
      </c>
      <c r="B45" t="s">
        <v>812</v>
      </c>
      <c r="C45" t="s">
        <v>2610</v>
      </c>
      <c r="D45">
        <v>3</v>
      </c>
    </row>
    <row r="46" spans="1:4" x14ac:dyDescent="0.25">
      <c r="A46" t="s">
        <v>40</v>
      </c>
      <c r="B46" t="s">
        <v>812</v>
      </c>
      <c r="C46" t="s">
        <v>2611</v>
      </c>
      <c r="D46">
        <v>2</v>
      </c>
    </row>
    <row r="47" spans="1:4" x14ac:dyDescent="0.25">
      <c r="A47" t="s">
        <v>40</v>
      </c>
      <c r="B47" t="s">
        <v>472</v>
      </c>
      <c r="C47" t="s">
        <v>2172</v>
      </c>
      <c r="D47">
        <v>5</v>
      </c>
    </row>
    <row r="48" spans="1:4" x14ac:dyDescent="0.25">
      <c r="A48" t="s">
        <v>40</v>
      </c>
      <c r="B48" t="s">
        <v>475</v>
      </c>
      <c r="C48" t="s">
        <v>1525</v>
      </c>
      <c r="D48">
        <v>3</v>
      </c>
    </row>
    <row r="49" spans="1:4" x14ac:dyDescent="0.25">
      <c r="A49" t="s">
        <v>40</v>
      </c>
      <c r="B49" t="s">
        <v>118</v>
      </c>
      <c r="C49" t="s">
        <v>2446</v>
      </c>
      <c r="D49">
        <v>0</v>
      </c>
    </row>
    <row r="50" spans="1:4" x14ac:dyDescent="0.25">
      <c r="A50" t="s">
        <v>40</v>
      </c>
      <c r="B50" t="s">
        <v>1356</v>
      </c>
      <c r="C50" t="s">
        <v>1730</v>
      </c>
      <c r="D50">
        <v>-1</v>
      </c>
    </row>
    <row r="51" spans="1:4" x14ac:dyDescent="0.25">
      <c r="A51" t="s">
        <v>40</v>
      </c>
      <c r="B51" t="s">
        <v>1356</v>
      </c>
      <c r="C51" t="s">
        <v>2612</v>
      </c>
      <c r="D51">
        <v>-2</v>
      </c>
    </row>
    <row r="52" spans="1:4" x14ac:dyDescent="0.25">
      <c r="A52" t="s">
        <v>40</v>
      </c>
      <c r="B52" t="s">
        <v>999</v>
      </c>
      <c r="C52" t="s">
        <v>2448</v>
      </c>
      <c r="D52">
        <v>0</v>
      </c>
    </row>
    <row r="53" spans="1:4" x14ac:dyDescent="0.25">
      <c r="A53" t="s">
        <v>40</v>
      </c>
      <c r="B53" t="s">
        <v>1874</v>
      </c>
      <c r="C53" t="s">
        <v>2228</v>
      </c>
      <c r="D53">
        <v>-2</v>
      </c>
    </row>
    <row r="54" spans="1:4" x14ac:dyDescent="0.25">
      <c r="A54" t="s">
        <v>80</v>
      </c>
      <c r="B54" t="s">
        <v>1007</v>
      </c>
      <c r="C54" t="s">
        <v>2229</v>
      </c>
      <c r="D54">
        <v>-5</v>
      </c>
    </row>
    <row r="55" spans="1:4" x14ac:dyDescent="0.25">
      <c r="A55" t="s">
        <v>80</v>
      </c>
      <c r="B55" t="s">
        <v>2355</v>
      </c>
      <c r="C55" t="s">
        <v>754</v>
      </c>
      <c r="D55">
        <v>-2</v>
      </c>
    </row>
    <row r="56" spans="1:4" x14ac:dyDescent="0.25">
      <c r="A56" t="s">
        <v>80</v>
      </c>
      <c r="B56" t="s">
        <v>693</v>
      </c>
      <c r="C56" t="s">
        <v>1734</v>
      </c>
      <c r="D56">
        <v>-5</v>
      </c>
    </row>
    <row r="57" spans="1:4" x14ac:dyDescent="0.25">
      <c r="A57" t="s">
        <v>80</v>
      </c>
      <c r="B57" t="s">
        <v>1824</v>
      </c>
      <c r="C57" t="s">
        <v>2613</v>
      </c>
      <c r="D57">
        <v>-7</v>
      </c>
    </row>
    <row r="58" spans="1:4" x14ac:dyDescent="0.25">
      <c r="A58" t="s">
        <v>80</v>
      </c>
      <c r="B58" t="s">
        <v>1549</v>
      </c>
      <c r="C58" t="s">
        <v>125</v>
      </c>
      <c r="D58">
        <v>-9</v>
      </c>
    </row>
    <row r="59" spans="1:4" x14ac:dyDescent="0.25">
      <c r="A59" t="s">
        <v>80</v>
      </c>
      <c r="B59" t="s">
        <v>1194</v>
      </c>
      <c r="C59" t="s">
        <v>127</v>
      </c>
      <c r="D59">
        <v>-7</v>
      </c>
    </row>
    <row r="60" spans="1:4" x14ac:dyDescent="0.25">
      <c r="A60" t="s">
        <v>80</v>
      </c>
      <c r="B60" t="s">
        <v>213</v>
      </c>
      <c r="C60" t="s">
        <v>2614</v>
      </c>
      <c r="D60">
        <v>-6</v>
      </c>
    </row>
    <row r="61" spans="1:4" x14ac:dyDescent="0.25">
      <c r="A61" t="s">
        <v>80</v>
      </c>
      <c r="B61" t="s">
        <v>868</v>
      </c>
      <c r="C61" t="s">
        <v>1778</v>
      </c>
      <c r="D61">
        <v>-9</v>
      </c>
    </row>
    <row r="62" spans="1:4" x14ac:dyDescent="0.25">
      <c r="A62" t="s">
        <v>80</v>
      </c>
      <c r="B62" t="s">
        <v>499</v>
      </c>
      <c r="C62" t="s">
        <v>1779</v>
      </c>
      <c r="D62">
        <v>-11</v>
      </c>
    </row>
    <row r="63" spans="1:4" x14ac:dyDescent="0.25">
      <c r="A63" t="s">
        <v>80</v>
      </c>
      <c r="B63" t="s">
        <v>941</v>
      </c>
      <c r="C63" t="s">
        <v>2615</v>
      </c>
      <c r="D63">
        <v>-13</v>
      </c>
    </row>
    <row r="64" spans="1:4" x14ac:dyDescent="0.25">
      <c r="A64" t="s">
        <v>80</v>
      </c>
      <c r="B64" t="s">
        <v>1108</v>
      </c>
      <c r="C64" t="s">
        <v>1780</v>
      </c>
      <c r="D64">
        <v>-14</v>
      </c>
    </row>
    <row r="65" spans="1:4" x14ac:dyDescent="0.25">
      <c r="A65" t="s">
        <v>80</v>
      </c>
      <c r="B65" t="s">
        <v>1536</v>
      </c>
      <c r="C65" t="s">
        <v>2616</v>
      </c>
      <c r="D65">
        <v>-15</v>
      </c>
    </row>
    <row r="66" spans="1:4" x14ac:dyDescent="0.25">
      <c r="A66" t="s">
        <v>80</v>
      </c>
      <c r="B66" t="s">
        <v>546</v>
      </c>
      <c r="C66" t="s">
        <v>2617</v>
      </c>
      <c r="D66">
        <v>-17</v>
      </c>
    </row>
    <row r="67" spans="1:4" x14ac:dyDescent="0.25">
      <c r="A67" t="s">
        <v>80</v>
      </c>
      <c r="B67" t="s">
        <v>631</v>
      </c>
      <c r="C67" t="s">
        <v>2618</v>
      </c>
      <c r="D67">
        <v>-16</v>
      </c>
    </row>
    <row r="68" spans="1:4" x14ac:dyDescent="0.25">
      <c r="A68" t="s">
        <v>80</v>
      </c>
      <c r="B68" t="s">
        <v>631</v>
      </c>
      <c r="C68" t="s">
        <v>2619</v>
      </c>
      <c r="D68">
        <v>-15</v>
      </c>
    </row>
    <row r="69" spans="1:4" x14ac:dyDescent="0.25">
      <c r="A69" t="s">
        <v>80</v>
      </c>
      <c r="B69" t="s">
        <v>198</v>
      </c>
      <c r="C69" t="s">
        <v>1544</v>
      </c>
      <c r="D69">
        <v>-12</v>
      </c>
    </row>
    <row r="70" spans="1:4" x14ac:dyDescent="0.25">
      <c r="A70" t="s">
        <v>80</v>
      </c>
      <c r="B70" t="s">
        <v>2363</v>
      </c>
      <c r="C70" t="s">
        <v>1788</v>
      </c>
      <c r="D70">
        <v>-14</v>
      </c>
    </row>
    <row r="71" spans="1:4" x14ac:dyDescent="0.25">
      <c r="A71" t="s">
        <v>80</v>
      </c>
      <c r="B71" t="s">
        <v>996</v>
      </c>
      <c r="C71" t="s">
        <v>2620</v>
      </c>
      <c r="D71">
        <v>-11</v>
      </c>
    </row>
    <row r="72" spans="1:4" x14ac:dyDescent="0.25">
      <c r="A72" t="s">
        <v>80</v>
      </c>
      <c r="B72" t="s">
        <v>301</v>
      </c>
      <c r="C72" t="s">
        <v>2621</v>
      </c>
      <c r="D72">
        <v>-8</v>
      </c>
    </row>
    <row r="73" spans="1:4" x14ac:dyDescent="0.25">
      <c r="A73" t="s">
        <v>123</v>
      </c>
      <c r="B73" t="s">
        <v>1704</v>
      </c>
      <c r="C73" t="s">
        <v>2622</v>
      </c>
      <c r="D73">
        <v>-11</v>
      </c>
    </row>
    <row r="74" spans="1:4" x14ac:dyDescent="0.25">
      <c r="A74" t="s">
        <v>123</v>
      </c>
      <c r="B74" t="s">
        <v>1664</v>
      </c>
      <c r="C74" t="s">
        <v>302</v>
      </c>
      <c r="D74">
        <v>-9</v>
      </c>
    </row>
    <row r="75" spans="1:4" x14ac:dyDescent="0.25">
      <c r="A75" t="s">
        <v>123</v>
      </c>
      <c r="B75" t="s">
        <v>1083</v>
      </c>
      <c r="C75" t="s">
        <v>2248</v>
      </c>
      <c r="D75">
        <v>-7</v>
      </c>
    </row>
    <row r="76" spans="1:4" x14ac:dyDescent="0.25">
      <c r="A76" t="s">
        <v>123</v>
      </c>
      <c r="B76" t="s">
        <v>721</v>
      </c>
      <c r="C76" t="s">
        <v>2346</v>
      </c>
      <c r="D76">
        <v>-4</v>
      </c>
    </row>
    <row r="77" spans="1:4" x14ac:dyDescent="0.25">
      <c r="A77" t="s">
        <v>123</v>
      </c>
      <c r="B77" t="s">
        <v>400</v>
      </c>
      <c r="C77" t="s">
        <v>2623</v>
      </c>
      <c r="D77">
        <v>-7</v>
      </c>
    </row>
    <row r="78" spans="1:4" x14ac:dyDescent="0.25">
      <c r="A78" t="s">
        <v>123</v>
      </c>
      <c r="B78" t="s">
        <v>590</v>
      </c>
      <c r="C78" t="s">
        <v>864</v>
      </c>
      <c r="D78">
        <v>-5</v>
      </c>
    </row>
    <row r="79" spans="1:4" x14ac:dyDescent="0.25">
      <c r="A79" t="s">
        <v>123</v>
      </c>
      <c r="B79" t="s">
        <v>590</v>
      </c>
      <c r="C79" t="s">
        <v>2624</v>
      </c>
      <c r="D79">
        <v>-4</v>
      </c>
    </row>
    <row r="80" spans="1:4" x14ac:dyDescent="0.25">
      <c r="A80" t="s">
        <v>123</v>
      </c>
      <c r="B80" t="s">
        <v>1958</v>
      </c>
      <c r="C80" t="s">
        <v>2253</v>
      </c>
      <c r="D80">
        <v>-5</v>
      </c>
    </row>
    <row r="81" spans="1:4" x14ac:dyDescent="0.25">
      <c r="A81" t="s">
        <v>123</v>
      </c>
      <c r="B81" t="s">
        <v>277</v>
      </c>
      <c r="C81" t="s">
        <v>2254</v>
      </c>
      <c r="D81">
        <v>-3</v>
      </c>
    </row>
    <row r="82" spans="1:4" x14ac:dyDescent="0.25">
      <c r="A82" t="s">
        <v>123</v>
      </c>
      <c r="B82" t="s">
        <v>737</v>
      </c>
      <c r="C82" t="s">
        <v>2350</v>
      </c>
      <c r="D82">
        <v>-5</v>
      </c>
    </row>
    <row r="83" spans="1:4" x14ac:dyDescent="0.25">
      <c r="A83" t="s">
        <v>123</v>
      </c>
      <c r="B83" t="s">
        <v>517</v>
      </c>
      <c r="C83" t="s">
        <v>545</v>
      </c>
      <c r="D83">
        <v>-2</v>
      </c>
    </row>
    <row r="84" spans="1:4" x14ac:dyDescent="0.25">
      <c r="A84" t="s">
        <v>123</v>
      </c>
      <c r="B84" t="s">
        <v>215</v>
      </c>
      <c r="C84" t="s">
        <v>2625</v>
      </c>
      <c r="D84">
        <v>-5</v>
      </c>
    </row>
    <row r="85" spans="1:4" x14ac:dyDescent="0.25">
      <c r="A85" t="s">
        <v>123</v>
      </c>
      <c r="B85" t="s">
        <v>596</v>
      </c>
      <c r="C85" t="s">
        <v>2626</v>
      </c>
      <c r="D85">
        <v>-7</v>
      </c>
    </row>
    <row r="86" spans="1:4" x14ac:dyDescent="0.25">
      <c r="A86" t="s">
        <v>123</v>
      </c>
      <c r="B86" t="s">
        <v>762</v>
      </c>
      <c r="C86" t="s">
        <v>2627</v>
      </c>
      <c r="D86">
        <v>-9</v>
      </c>
    </row>
    <row r="87" spans="1:4" x14ac:dyDescent="0.25">
      <c r="A87" t="s">
        <v>123</v>
      </c>
      <c r="B87" t="s">
        <v>762</v>
      </c>
      <c r="C87" t="s">
        <v>2628</v>
      </c>
      <c r="D87">
        <v>-10</v>
      </c>
    </row>
    <row r="88" spans="1:4" x14ac:dyDescent="0.25">
      <c r="A88" t="s">
        <v>123</v>
      </c>
      <c r="B88" t="s">
        <v>2629</v>
      </c>
      <c r="C88" t="s">
        <v>2630</v>
      </c>
      <c r="D88">
        <v>-7</v>
      </c>
    </row>
    <row r="89" spans="1:4" x14ac:dyDescent="0.25">
      <c r="A89" t="s">
        <v>123</v>
      </c>
      <c r="B89" t="s">
        <v>378</v>
      </c>
      <c r="C89" t="s">
        <v>2631</v>
      </c>
      <c r="D89">
        <v>-9</v>
      </c>
    </row>
    <row r="90" spans="1:4" x14ac:dyDescent="0.25">
      <c r="A90" t="s">
        <v>123</v>
      </c>
      <c r="B90" t="s">
        <v>1153</v>
      </c>
      <c r="C90" t="s">
        <v>2632</v>
      </c>
      <c r="D90">
        <v>-7</v>
      </c>
    </row>
    <row r="91" spans="1:4" x14ac:dyDescent="0.25">
      <c r="A91" t="s">
        <v>123</v>
      </c>
      <c r="B91" t="s">
        <v>1040</v>
      </c>
      <c r="C91" t="s">
        <v>2633</v>
      </c>
      <c r="D91">
        <v>-8</v>
      </c>
    </row>
    <row r="92" spans="1:4" x14ac:dyDescent="0.25">
      <c r="A92" t="s">
        <v>123</v>
      </c>
      <c r="B92" t="s">
        <v>1040</v>
      </c>
      <c r="C92" t="s">
        <v>2634</v>
      </c>
      <c r="D92">
        <v>-9</v>
      </c>
    </row>
    <row r="93" spans="1:4" x14ac:dyDescent="0.25">
      <c r="A93" t="s">
        <v>123</v>
      </c>
      <c r="B93" t="s">
        <v>196</v>
      </c>
      <c r="C93" t="s">
        <v>2635</v>
      </c>
      <c r="D93">
        <v>-11</v>
      </c>
    </row>
    <row r="94" spans="1:4" x14ac:dyDescent="0.25">
      <c r="A94" t="s">
        <v>123</v>
      </c>
      <c r="B94" t="s">
        <v>1129</v>
      </c>
      <c r="C94" t="s">
        <v>1813</v>
      </c>
      <c r="D94">
        <v>-13</v>
      </c>
    </row>
    <row r="95" spans="1:4" x14ac:dyDescent="0.25">
      <c r="A95" t="s">
        <v>123</v>
      </c>
      <c r="B95" t="s">
        <v>1398</v>
      </c>
      <c r="C95" t="s">
        <v>2636</v>
      </c>
      <c r="D95">
        <v>-10</v>
      </c>
    </row>
    <row r="96" spans="1:4" x14ac:dyDescent="0.25">
      <c r="A96" t="s">
        <v>123</v>
      </c>
      <c r="B96" t="s">
        <v>529</v>
      </c>
      <c r="C96" t="s">
        <v>2637</v>
      </c>
      <c r="D96">
        <v>-13</v>
      </c>
    </row>
    <row r="97" spans="1:4" x14ac:dyDescent="0.25">
      <c r="A97" t="s">
        <v>123</v>
      </c>
      <c r="B97" t="s">
        <v>550</v>
      </c>
      <c r="C97" t="s">
        <v>2638</v>
      </c>
      <c r="D97">
        <v>-15</v>
      </c>
    </row>
    <row r="98" spans="1:4" x14ac:dyDescent="0.25">
      <c r="A98" t="s">
        <v>123</v>
      </c>
      <c r="B98" t="s">
        <v>152</v>
      </c>
      <c r="C98" t="s">
        <v>2639</v>
      </c>
      <c r="D98">
        <v>-17</v>
      </c>
    </row>
    <row r="99" spans="1:4" x14ac:dyDescent="0.25">
      <c r="A99" t="s">
        <v>123</v>
      </c>
      <c r="B99" t="s">
        <v>673</v>
      </c>
      <c r="C99" t="s">
        <v>2640</v>
      </c>
      <c r="D99">
        <v>-15</v>
      </c>
    </row>
    <row r="100" spans="1:4" x14ac:dyDescent="0.25">
      <c r="A100" t="s">
        <v>123</v>
      </c>
      <c r="B100" t="s">
        <v>202</v>
      </c>
      <c r="C100" t="s">
        <v>2641</v>
      </c>
      <c r="D100">
        <v>-17</v>
      </c>
    </row>
    <row r="101" spans="1:4" x14ac:dyDescent="0.25">
      <c r="A101" t="s">
        <v>123</v>
      </c>
      <c r="B101" t="s">
        <v>483</v>
      </c>
      <c r="C101" t="s">
        <v>2642</v>
      </c>
      <c r="D101">
        <v>-14</v>
      </c>
    </row>
    <row r="103" spans="1:4" x14ac:dyDescent="0.25">
      <c r="A103" s="2" t="s">
        <v>157</v>
      </c>
    </row>
    <row r="104" spans="1:4" x14ac:dyDescent="0.25">
      <c r="A104" t="s">
        <v>158</v>
      </c>
      <c r="D104">
        <f>AVERAGE(D2:D101)</f>
        <v>-4.45</v>
      </c>
    </row>
    <row r="105" spans="1:4" x14ac:dyDescent="0.25">
      <c r="A105" t="s">
        <v>159</v>
      </c>
      <c r="D105">
        <f>MAX(D2:D101)</f>
        <v>5</v>
      </c>
    </row>
    <row r="106" spans="1:4" x14ac:dyDescent="0.25">
      <c r="A106" t="s">
        <v>160</v>
      </c>
      <c r="D106">
        <f>MIN(D2:D101)</f>
        <v>-17</v>
      </c>
    </row>
    <row r="107" spans="1:4" x14ac:dyDescent="0.25">
      <c r="A107" t="s">
        <v>161</v>
      </c>
      <c r="D107">
        <f>COUNTIF(D2:D101,"&gt;0")</f>
        <v>26</v>
      </c>
    </row>
    <row r="108" spans="1:4" x14ac:dyDescent="0.25">
      <c r="A108" t="s">
        <v>162</v>
      </c>
      <c r="D108">
        <f>COUNTIF(D2:D101,"=0")</f>
        <v>7</v>
      </c>
    </row>
    <row r="109" spans="1:4" x14ac:dyDescent="0.25">
      <c r="A109" t="s">
        <v>561</v>
      </c>
      <c r="D109">
        <f>COUNTIF(D2:D101,"&lt;0")</f>
        <v>67</v>
      </c>
    </row>
    <row r="111" spans="1:4" x14ac:dyDescent="0.25">
      <c r="A111" s="2" t="s">
        <v>164</v>
      </c>
    </row>
    <row r="112" spans="1:4" x14ac:dyDescent="0.25">
      <c r="A112" t="s">
        <v>165</v>
      </c>
      <c r="D112">
        <f>AVERAGE(D2,D3,D4,D5,D6,D7,D8,D9,D10,D11,D12,D13,D14,D15,D16,D17,D18,D19,D20,D21,D22,D23,D24,D25,D26,D27)</f>
        <v>-1.6153846153846154</v>
      </c>
    </row>
    <row r="113" spans="1:4" x14ac:dyDescent="0.25">
      <c r="A113" t="s">
        <v>166</v>
      </c>
      <c r="D113">
        <f>AVERAGE(D28,D29,D30,D31,D32,D33,D34,D35,D36,D37,D38,D39,D40,D41,D42,D43,D44,D45,D46,D47,D48,D49,D50,D51,D52,D53)</f>
        <v>1.9615384615384615</v>
      </c>
    </row>
    <row r="114" spans="1:4" x14ac:dyDescent="0.25">
      <c r="A114" t="s">
        <v>167</v>
      </c>
      <c r="D114">
        <f>AVERAGE(D54,D55,D56,D57,D58,D59,D60,D61,D62,D63,D64,D65,D66,D67,D68,D69,D70,D71,D72)</f>
        <v>-10.315789473684211</v>
      </c>
    </row>
    <row r="115" spans="1:4" x14ac:dyDescent="0.25">
      <c r="A115" t="s">
        <v>168</v>
      </c>
      <c r="D115">
        <f>AVERAGE(D73,D74,D75,D76,D77,D78,D79,D80,D81,D82,D83,D84,D85,D86,D87,D88,D89,D90,D91,D92,D93,D94,D95,D96,D97,D98,D99,D100,D101)</f>
        <v>-8.8965517241379306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1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819</v>
      </c>
      <c r="C2" t="s">
        <v>171</v>
      </c>
      <c r="D2">
        <v>3</v>
      </c>
    </row>
    <row r="3" spans="1:4" x14ac:dyDescent="0.25">
      <c r="A3" t="s">
        <v>4</v>
      </c>
      <c r="B3" t="s">
        <v>128</v>
      </c>
      <c r="C3" t="s">
        <v>690</v>
      </c>
      <c r="D3">
        <v>6</v>
      </c>
    </row>
    <row r="4" spans="1:4" x14ac:dyDescent="0.25">
      <c r="A4" t="s">
        <v>4</v>
      </c>
      <c r="B4" t="s">
        <v>1267</v>
      </c>
      <c r="C4" t="s">
        <v>2643</v>
      </c>
      <c r="D4">
        <v>7</v>
      </c>
    </row>
    <row r="5" spans="1:4" x14ac:dyDescent="0.25">
      <c r="A5" t="s">
        <v>4</v>
      </c>
      <c r="B5" t="s">
        <v>1267</v>
      </c>
      <c r="C5" t="s">
        <v>1268</v>
      </c>
      <c r="D5">
        <v>8</v>
      </c>
    </row>
    <row r="6" spans="1:4" x14ac:dyDescent="0.25">
      <c r="A6" t="s">
        <v>4</v>
      </c>
      <c r="B6" t="s">
        <v>1267</v>
      </c>
      <c r="C6" t="s">
        <v>2475</v>
      </c>
      <c r="D6">
        <v>9</v>
      </c>
    </row>
    <row r="7" spans="1:4" x14ac:dyDescent="0.25">
      <c r="A7" t="s">
        <v>4</v>
      </c>
      <c r="B7" t="s">
        <v>862</v>
      </c>
      <c r="C7" t="s">
        <v>2476</v>
      </c>
      <c r="D7">
        <v>11</v>
      </c>
    </row>
    <row r="8" spans="1:4" x14ac:dyDescent="0.25">
      <c r="A8" t="s">
        <v>4</v>
      </c>
      <c r="B8" t="s">
        <v>1755</v>
      </c>
      <c r="C8" t="s">
        <v>2644</v>
      </c>
      <c r="D8">
        <v>9</v>
      </c>
    </row>
    <row r="9" spans="1:4" x14ac:dyDescent="0.25">
      <c r="A9" t="s">
        <v>4</v>
      </c>
      <c r="B9" t="s">
        <v>832</v>
      </c>
      <c r="C9" t="s">
        <v>2645</v>
      </c>
      <c r="D9">
        <v>7</v>
      </c>
    </row>
    <row r="10" spans="1:4" x14ac:dyDescent="0.25">
      <c r="A10" t="s">
        <v>4</v>
      </c>
      <c r="B10" t="s">
        <v>1013</v>
      </c>
      <c r="C10" t="s">
        <v>2646</v>
      </c>
      <c r="D10">
        <v>9</v>
      </c>
    </row>
    <row r="11" spans="1:4" x14ac:dyDescent="0.25">
      <c r="A11" t="s">
        <v>4</v>
      </c>
      <c r="B11" t="s">
        <v>2080</v>
      </c>
      <c r="C11" t="s">
        <v>2647</v>
      </c>
      <c r="D11">
        <v>6</v>
      </c>
    </row>
    <row r="12" spans="1:4" x14ac:dyDescent="0.25">
      <c r="A12" t="s">
        <v>4</v>
      </c>
      <c r="B12" t="s">
        <v>698</v>
      </c>
      <c r="C12" t="s">
        <v>785</v>
      </c>
      <c r="D12">
        <v>5</v>
      </c>
    </row>
    <row r="13" spans="1:4" x14ac:dyDescent="0.25">
      <c r="A13" t="s">
        <v>4</v>
      </c>
      <c r="B13" t="s">
        <v>698</v>
      </c>
      <c r="C13" t="s">
        <v>1354</v>
      </c>
      <c r="D13">
        <v>4</v>
      </c>
    </row>
    <row r="14" spans="1:4" x14ac:dyDescent="0.25">
      <c r="A14" t="s">
        <v>4</v>
      </c>
      <c r="B14" t="s">
        <v>499</v>
      </c>
      <c r="C14" t="s">
        <v>1871</v>
      </c>
      <c r="D14">
        <v>5</v>
      </c>
    </row>
    <row r="15" spans="1:4" x14ac:dyDescent="0.25">
      <c r="A15" t="s">
        <v>4</v>
      </c>
      <c r="B15" t="s">
        <v>499</v>
      </c>
      <c r="C15" t="s">
        <v>1355</v>
      </c>
      <c r="D15">
        <v>6</v>
      </c>
    </row>
    <row r="16" spans="1:4" x14ac:dyDescent="0.25">
      <c r="A16" t="s">
        <v>4</v>
      </c>
      <c r="B16" t="s">
        <v>1350</v>
      </c>
      <c r="C16" t="s">
        <v>2537</v>
      </c>
      <c r="D16">
        <v>4</v>
      </c>
    </row>
    <row r="17" spans="1:4" x14ac:dyDescent="0.25">
      <c r="A17" t="s">
        <v>4</v>
      </c>
      <c r="B17" t="s">
        <v>263</v>
      </c>
      <c r="C17" t="s">
        <v>2479</v>
      </c>
      <c r="D17">
        <v>6</v>
      </c>
    </row>
    <row r="18" spans="1:4" x14ac:dyDescent="0.25">
      <c r="A18" t="s">
        <v>4</v>
      </c>
      <c r="B18" t="s">
        <v>1396</v>
      </c>
      <c r="C18" t="s">
        <v>1578</v>
      </c>
      <c r="D18">
        <v>4</v>
      </c>
    </row>
    <row r="19" spans="1:4" x14ac:dyDescent="0.25">
      <c r="A19" t="s">
        <v>4</v>
      </c>
      <c r="B19" t="s">
        <v>1396</v>
      </c>
      <c r="C19" t="s">
        <v>2538</v>
      </c>
      <c r="D19">
        <v>3</v>
      </c>
    </row>
    <row r="20" spans="1:4" x14ac:dyDescent="0.25">
      <c r="A20" t="s">
        <v>4</v>
      </c>
      <c r="B20" t="s">
        <v>1127</v>
      </c>
      <c r="C20" t="s">
        <v>1580</v>
      </c>
      <c r="D20">
        <v>5</v>
      </c>
    </row>
    <row r="21" spans="1:4" x14ac:dyDescent="0.25">
      <c r="A21" t="s">
        <v>4</v>
      </c>
      <c r="B21" t="s">
        <v>228</v>
      </c>
      <c r="C21" t="s">
        <v>1201</v>
      </c>
      <c r="D21">
        <v>4</v>
      </c>
    </row>
    <row r="22" spans="1:4" x14ac:dyDescent="0.25">
      <c r="A22" t="s">
        <v>4</v>
      </c>
      <c r="B22" t="s">
        <v>1132</v>
      </c>
      <c r="C22" t="s">
        <v>1203</v>
      </c>
      <c r="D22">
        <v>6</v>
      </c>
    </row>
    <row r="23" spans="1:4" x14ac:dyDescent="0.25">
      <c r="A23" t="s">
        <v>4</v>
      </c>
      <c r="B23" t="s">
        <v>1132</v>
      </c>
      <c r="C23" t="s">
        <v>201</v>
      </c>
      <c r="D23">
        <v>7</v>
      </c>
    </row>
    <row r="24" spans="1:4" x14ac:dyDescent="0.25">
      <c r="A24" t="s">
        <v>4</v>
      </c>
      <c r="B24" t="s">
        <v>999</v>
      </c>
      <c r="C24" t="s">
        <v>1927</v>
      </c>
      <c r="D24">
        <v>10</v>
      </c>
    </row>
    <row r="25" spans="1:4" x14ac:dyDescent="0.25">
      <c r="A25" t="s">
        <v>4</v>
      </c>
      <c r="B25" t="s">
        <v>233</v>
      </c>
      <c r="C25" t="s">
        <v>1581</v>
      </c>
      <c r="D25">
        <v>7</v>
      </c>
    </row>
    <row r="26" spans="1:4" x14ac:dyDescent="0.25">
      <c r="A26" t="s">
        <v>4</v>
      </c>
      <c r="B26" t="s">
        <v>76</v>
      </c>
      <c r="C26" t="s">
        <v>1025</v>
      </c>
      <c r="D26">
        <v>8</v>
      </c>
    </row>
    <row r="27" spans="1:4" x14ac:dyDescent="0.25">
      <c r="A27" t="s">
        <v>4</v>
      </c>
      <c r="B27" t="s">
        <v>76</v>
      </c>
      <c r="C27" t="s">
        <v>1582</v>
      </c>
      <c r="D27">
        <v>9</v>
      </c>
    </row>
    <row r="28" spans="1:4" x14ac:dyDescent="0.25">
      <c r="A28" t="s">
        <v>4</v>
      </c>
      <c r="B28" t="s">
        <v>584</v>
      </c>
      <c r="C28" t="s">
        <v>2648</v>
      </c>
      <c r="D28">
        <v>11</v>
      </c>
    </row>
    <row r="29" spans="1:4" x14ac:dyDescent="0.25">
      <c r="A29" t="s">
        <v>40</v>
      </c>
      <c r="B29" t="s">
        <v>427</v>
      </c>
      <c r="C29" t="s">
        <v>2649</v>
      </c>
      <c r="D29">
        <v>13</v>
      </c>
    </row>
    <row r="30" spans="1:4" x14ac:dyDescent="0.25">
      <c r="A30" t="s">
        <v>40</v>
      </c>
      <c r="B30" t="s">
        <v>83</v>
      </c>
      <c r="C30" t="s">
        <v>2524</v>
      </c>
      <c r="D30">
        <v>11</v>
      </c>
    </row>
    <row r="31" spans="1:4" x14ac:dyDescent="0.25">
      <c r="A31" t="s">
        <v>40</v>
      </c>
      <c r="B31" t="s">
        <v>329</v>
      </c>
      <c r="C31" t="s">
        <v>1031</v>
      </c>
      <c r="D31">
        <v>13</v>
      </c>
    </row>
    <row r="32" spans="1:4" x14ac:dyDescent="0.25">
      <c r="A32" t="s">
        <v>40</v>
      </c>
      <c r="B32" t="s">
        <v>691</v>
      </c>
      <c r="C32" t="s">
        <v>1933</v>
      </c>
      <c r="D32">
        <v>12</v>
      </c>
    </row>
    <row r="33" spans="1:4" x14ac:dyDescent="0.25">
      <c r="A33" t="s">
        <v>40</v>
      </c>
      <c r="B33" t="s">
        <v>691</v>
      </c>
      <c r="C33" t="s">
        <v>2526</v>
      </c>
      <c r="D33">
        <v>11</v>
      </c>
    </row>
    <row r="34" spans="1:4" x14ac:dyDescent="0.25">
      <c r="A34" t="s">
        <v>40</v>
      </c>
      <c r="B34" t="s">
        <v>1768</v>
      </c>
      <c r="C34" t="s">
        <v>2650</v>
      </c>
      <c r="D34">
        <v>12</v>
      </c>
    </row>
    <row r="35" spans="1:4" x14ac:dyDescent="0.25">
      <c r="A35" t="s">
        <v>40</v>
      </c>
      <c r="B35" t="s">
        <v>357</v>
      </c>
      <c r="C35" t="s">
        <v>2651</v>
      </c>
      <c r="D35">
        <v>15</v>
      </c>
    </row>
    <row r="36" spans="1:4" x14ac:dyDescent="0.25">
      <c r="A36" t="s">
        <v>40</v>
      </c>
      <c r="B36" t="s">
        <v>274</v>
      </c>
      <c r="C36" t="s">
        <v>2652</v>
      </c>
      <c r="D36">
        <v>13</v>
      </c>
    </row>
    <row r="37" spans="1:4" x14ac:dyDescent="0.25">
      <c r="A37" t="s">
        <v>40</v>
      </c>
      <c r="B37" t="s">
        <v>275</v>
      </c>
      <c r="C37" t="s">
        <v>2653</v>
      </c>
      <c r="D37">
        <v>15</v>
      </c>
    </row>
    <row r="38" spans="1:4" x14ac:dyDescent="0.25">
      <c r="A38" t="s">
        <v>40</v>
      </c>
      <c r="B38" t="s">
        <v>275</v>
      </c>
      <c r="C38" t="s">
        <v>1298</v>
      </c>
      <c r="D38">
        <v>16</v>
      </c>
    </row>
    <row r="39" spans="1:4" x14ac:dyDescent="0.25">
      <c r="A39" t="s">
        <v>40</v>
      </c>
      <c r="B39" t="s">
        <v>275</v>
      </c>
      <c r="C39" t="s">
        <v>2654</v>
      </c>
      <c r="D39">
        <v>14</v>
      </c>
    </row>
    <row r="40" spans="1:4" x14ac:dyDescent="0.25">
      <c r="A40" t="s">
        <v>40</v>
      </c>
      <c r="B40" t="s">
        <v>916</v>
      </c>
      <c r="C40" t="s">
        <v>2655</v>
      </c>
      <c r="D40">
        <v>16</v>
      </c>
    </row>
    <row r="41" spans="1:4" x14ac:dyDescent="0.25">
      <c r="A41" t="s">
        <v>40</v>
      </c>
      <c r="B41" t="s">
        <v>259</v>
      </c>
      <c r="C41" t="s">
        <v>2656</v>
      </c>
      <c r="D41">
        <v>19</v>
      </c>
    </row>
    <row r="42" spans="1:4" x14ac:dyDescent="0.25">
      <c r="A42" t="s">
        <v>40</v>
      </c>
      <c r="B42" t="s">
        <v>499</v>
      </c>
      <c r="C42" t="s">
        <v>2657</v>
      </c>
      <c r="D42">
        <v>17</v>
      </c>
    </row>
    <row r="43" spans="1:4" x14ac:dyDescent="0.25">
      <c r="A43" t="s">
        <v>40</v>
      </c>
      <c r="B43" t="s">
        <v>874</v>
      </c>
      <c r="C43" t="s">
        <v>2658</v>
      </c>
      <c r="D43">
        <v>19</v>
      </c>
    </row>
    <row r="44" spans="1:4" x14ac:dyDescent="0.25">
      <c r="A44" t="s">
        <v>40</v>
      </c>
      <c r="B44" t="s">
        <v>21</v>
      </c>
      <c r="C44" t="s">
        <v>2659</v>
      </c>
      <c r="D44">
        <v>17</v>
      </c>
    </row>
    <row r="45" spans="1:4" x14ac:dyDescent="0.25">
      <c r="A45" t="s">
        <v>40</v>
      </c>
      <c r="B45" t="s">
        <v>64</v>
      </c>
      <c r="C45" t="s">
        <v>2660</v>
      </c>
      <c r="D45">
        <v>15</v>
      </c>
    </row>
    <row r="46" spans="1:4" x14ac:dyDescent="0.25">
      <c r="A46" t="s">
        <v>40</v>
      </c>
      <c r="B46" t="s">
        <v>747</v>
      </c>
      <c r="C46" t="s">
        <v>2661</v>
      </c>
      <c r="D46">
        <v>18</v>
      </c>
    </row>
    <row r="47" spans="1:4" x14ac:dyDescent="0.25">
      <c r="A47" t="s">
        <v>40</v>
      </c>
      <c r="B47" t="s">
        <v>144</v>
      </c>
      <c r="C47" t="s">
        <v>2662</v>
      </c>
      <c r="D47">
        <v>21</v>
      </c>
    </row>
    <row r="48" spans="1:4" x14ac:dyDescent="0.25">
      <c r="A48" t="s">
        <v>40</v>
      </c>
      <c r="B48" t="s">
        <v>386</v>
      </c>
      <c r="C48" t="s">
        <v>2663</v>
      </c>
      <c r="D48">
        <v>18</v>
      </c>
    </row>
    <row r="49" spans="1:4" x14ac:dyDescent="0.25">
      <c r="A49" t="s">
        <v>40</v>
      </c>
      <c r="B49" t="s">
        <v>1045</v>
      </c>
      <c r="C49" t="s">
        <v>955</v>
      </c>
      <c r="D49">
        <v>20</v>
      </c>
    </row>
    <row r="50" spans="1:4" x14ac:dyDescent="0.25">
      <c r="A50" t="s">
        <v>40</v>
      </c>
      <c r="B50" t="s">
        <v>477</v>
      </c>
      <c r="C50" t="s">
        <v>2664</v>
      </c>
      <c r="D50">
        <v>17</v>
      </c>
    </row>
    <row r="51" spans="1:4" x14ac:dyDescent="0.25">
      <c r="A51" t="s">
        <v>40</v>
      </c>
      <c r="B51" t="s">
        <v>898</v>
      </c>
      <c r="C51" t="s">
        <v>2665</v>
      </c>
      <c r="D51">
        <v>15</v>
      </c>
    </row>
    <row r="52" spans="1:4" x14ac:dyDescent="0.25">
      <c r="A52" t="s">
        <v>40</v>
      </c>
      <c r="B52" t="s">
        <v>120</v>
      </c>
      <c r="C52" t="s">
        <v>1950</v>
      </c>
      <c r="D52">
        <v>16</v>
      </c>
    </row>
    <row r="53" spans="1:4" x14ac:dyDescent="0.25">
      <c r="A53" t="s">
        <v>40</v>
      </c>
      <c r="B53" t="s">
        <v>346</v>
      </c>
      <c r="C53" t="s">
        <v>1951</v>
      </c>
      <c r="D53">
        <v>13</v>
      </c>
    </row>
    <row r="54" spans="1:4" x14ac:dyDescent="0.25">
      <c r="A54" t="s">
        <v>40</v>
      </c>
      <c r="B54" t="s">
        <v>33</v>
      </c>
      <c r="C54" t="s">
        <v>2666</v>
      </c>
      <c r="D54">
        <v>14</v>
      </c>
    </row>
    <row r="55" spans="1:4" x14ac:dyDescent="0.25">
      <c r="A55" t="s">
        <v>40</v>
      </c>
      <c r="B55" t="s">
        <v>38</v>
      </c>
      <c r="C55" t="s">
        <v>1462</v>
      </c>
      <c r="D55">
        <v>11</v>
      </c>
    </row>
    <row r="56" spans="1:4" x14ac:dyDescent="0.25">
      <c r="A56" t="s">
        <v>80</v>
      </c>
      <c r="B56" t="s">
        <v>1024</v>
      </c>
      <c r="C56" t="s">
        <v>2667</v>
      </c>
      <c r="D56">
        <v>14</v>
      </c>
    </row>
    <row r="57" spans="1:4" x14ac:dyDescent="0.25">
      <c r="A57" t="s">
        <v>80</v>
      </c>
      <c r="B57" t="s">
        <v>1665</v>
      </c>
      <c r="C57" t="s">
        <v>1685</v>
      </c>
      <c r="D57">
        <v>15</v>
      </c>
    </row>
    <row r="58" spans="1:4" x14ac:dyDescent="0.25">
      <c r="A58" t="s">
        <v>80</v>
      </c>
      <c r="B58" t="s">
        <v>616</v>
      </c>
      <c r="C58" t="s">
        <v>1686</v>
      </c>
      <c r="D58">
        <v>13</v>
      </c>
    </row>
    <row r="59" spans="1:4" x14ac:dyDescent="0.25">
      <c r="A59" t="s">
        <v>80</v>
      </c>
      <c r="B59" t="s">
        <v>954</v>
      </c>
      <c r="C59" t="s">
        <v>2668</v>
      </c>
      <c r="D59">
        <v>15</v>
      </c>
    </row>
    <row r="60" spans="1:4" x14ac:dyDescent="0.25">
      <c r="A60" t="s">
        <v>80</v>
      </c>
      <c r="B60" t="s">
        <v>1169</v>
      </c>
      <c r="C60" t="s">
        <v>2669</v>
      </c>
      <c r="D60">
        <v>13</v>
      </c>
    </row>
    <row r="61" spans="1:4" x14ac:dyDescent="0.25">
      <c r="A61" t="s">
        <v>80</v>
      </c>
      <c r="B61" t="s">
        <v>1549</v>
      </c>
      <c r="C61" t="s">
        <v>2670</v>
      </c>
      <c r="D61">
        <v>15</v>
      </c>
    </row>
    <row r="62" spans="1:4" x14ac:dyDescent="0.25">
      <c r="A62" t="s">
        <v>80</v>
      </c>
      <c r="B62" t="s">
        <v>1549</v>
      </c>
      <c r="C62" t="s">
        <v>2671</v>
      </c>
      <c r="D62">
        <v>16</v>
      </c>
    </row>
    <row r="63" spans="1:4" x14ac:dyDescent="0.25">
      <c r="A63" t="s">
        <v>80</v>
      </c>
      <c r="B63" t="s">
        <v>570</v>
      </c>
      <c r="C63" t="s">
        <v>2672</v>
      </c>
      <c r="D63">
        <v>13</v>
      </c>
    </row>
    <row r="64" spans="1:4" x14ac:dyDescent="0.25">
      <c r="A64" t="s">
        <v>80</v>
      </c>
      <c r="B64" t="s">
        <v>213</v>
      </c>
      <c r="C64" t="s">
        <v>2673</v>
      </c>
      <c r="D64">
        <v>10</v>
      </c>
    </row>
    <row r="65" spans="1:4" x14ac:dyDescent="0.25">
      <c r="A65" t="s">
        <v>80</v>
      </c>
      <c r="B65" t="s">
        <v>15</v>
      </c>
      <c r="C65" t="s">
        <v>2674</v>
      </c>
      <c r="D65">
        <v>13</v>
      </c>
    </row>
    <row r="66" spans="1:4" x14ac:dyDescent="0.25">
      <c r="A66" t="s">
        <v>80</v>
      </c>
      <c r="B66" t="s">
        <v>2170</v>
      </c>
      <c r="C66" t="s">
        <v>2377</v>
      </c>
      <c r="D66">
        <v>16</v>
      </c>
    </row>
    <row r="67" spans="1:4" x14ac:dyDescent="0.25">
      <c r="A67" t="s">
        <v>80</v>
      </c>
      <c r="B67" t="s">
        <v>1817</v>
      </c>
      <c r="C67" t="s">
        <v>2379</v>
      </c>
      <c r="D67">
        <v>14</v>
      </c>
    </row>
    <row r="68" spans="1:4" x14ac:dyDescent="0.25">
      <c r="A68" t="s">
        <v>80</v>
      </c>
      <c r="B68" t="s">
        <v>374</v>
      </c>
      <c r="C68" t="s">
        <v>2380</v>
      </c>
      <c r="D68">
        <v>16</v>
      </c>
    </row>
    <row r="69" spans="1:4" x14ac:dyDescent="0.25">
      <c r="A69" t="s">
        <v>80</v>
      </c>
      <c r="B69" t="s">
        <v>922</v>
      </c>
      <c r="C69" t="s">
        <v>2675</v>
      </c>
      <c r="D69">
        <v>14</v>
      </c>
    </row>
    <row r="70" spans="1:4" x14ac:dyDescent="0.25">
      <c r="A70" t="s">
        <v>80</v>
      </c>
      <c r="B70" t="s">
        <v>1016</v>
      </c>
      <c r="C70" t="s">
        <v>2676</v>
      </c>
      <c r="D70">
        <v>16</v>
      </c>
    </row>
    <row r="71" spans="1:4" x14ac:dyDescent="0.25">
      <c r="A71" t="s">
        <v>80</v>
      </c>
      <c r="B71" t="s">
        <v>704</v>
      </c>
      <c r="C71" t="s">
        <v>2190</v>
      </c>
      <c r="D71">
        <v>14</v>
      </c>
    </row>
    <row r="72" spans="1:4" x14ac:dyDescent="0.25">
      <c r="A72" t="s">
        <v>80</v>
      </c>
      <c r="B72" t="s">
        <v>546</v>
      </c>
      <c r="C72" t="s">
        <v>1478</v>
      </c>
      <c r="D72">
        <v>15</v>
      </c>
    </row>
    <row r="73" spans="1:4" x14ac:dyDescent="0.25">
      <c r="A73" t="s">
        <v>80</v>
      </c>
      <c r="B73" t="s">
        <v>546</v>
      </c>
      <c r="C73" t="s">
        <v>2191</v>
      </c>
      <c r="D73">
        <v>16</v>
      </c>
    </row>
    <row r="74" spans="1:4" x14ac:dyDescent="0.25">
      <c r="A74" t="s">
        <v>80</v>
      </c>
      <c r="B74" t="s">
        <v>228</v>
      </c>
      <c r="C74" t="s">
        <v>2192</v>
      </c>
      <c r="D74">
        <v>13</v>
      </c>
    </row>
    <row r="75" spans="1:4" x14ac:dyDescent="0.25">
      <c r="A75" t="s">
        <v>80</v>
      </c>
      <c r="B75" t="s">
        <v>74</v>
      </c>
      <c r="C75" t="s">
        <v>2677</v>
      </c>
      <c r="D75">
        <v>11</v>
      </c>
    </row>
    <row r="76" spans="1:4" x14ac:dyDescent="0.25">
      <c r="A76" t="s">
        <v>80</v>
      </c>
      <c r="B76" t="s">
        <v>74</v>
      </c>
      <c r="C76" t="s">
        <v>2678</v>
      </c>
      <c r="D76">
        <v>10</v>
      </c>
    </row>
    <row r="77" spans="1:4" x14ac:dyDescent="0.25">
      <c r="A77" t="s">
        <v>80</v>
      </c>
      <c r="B77" t="s">
        <v>681</v>
      </c>
      <c r="C77" t="s">
        <v>1620</v>
      </c>
      <c r="D77">
        <v>8</v>
      </c>
    </row>
    <row r="78" spans="1:4" x14ac:dyDescent="0.25">
      <c r="A78" t="s">
        <v>123</v>
      </c>
      <c r="B78" t="s">
        <v>126</v>
      </c>
      <c r="C78" t="s">
        <v>2679</v>
      </c>
      <c r="D78">
        <v>10</v>
      </c>
    </row>
    <row r="79" spans="1:4" x14ac:dyDescent="0.25">
      <c r="A79" t="s">
        <v>123</v>
      </c>
      <c r="B79" t="s">
        <v>932</v>
      </c>
      <c r="C79" t="s">
        <v>421</v>
      </c>
      <c r="D79">
        <v>8</v>
      </c>
    </row>
    <row r="80" spans="1:4" x14ac:dyDescent="0.25">
      <c r="A80" t="s">
        <v>123</v>
      </c>
      <c r="B80" t="s">
        <v>862</v>
      </c>
      <c r="C80" t="s">
        <v>1852</v>
      </c>
      <c r="D80">
        <v>7</v>
      </c>
    </row>
    <row r="81" spans="1:4" x14ac:dyDescent="0.25">
      <c r="A81" t="s">
        <v>123</v>
      </c>
      <c r="B81" t="s">
        <v>862</v>
      </c>
      <c r="C81" t="s">
        <v>1623</v>
      </c>
      <c r="D81">
        <v>6</v>
      </c>
    </row>
    <row r="82" spans="1:4" x14ac:dyDescent="0.25">
      <c r="A82" t="s">
        <v>123</v>
      </c>
      <c r="B82" t="s">
        <v>332</v>
      </c>
      <c r="C82" t="s">
        <v>2680</v>
      </c>
      <c r="D82">
        <v>9</v>
      </c>
    </row>
    <row r="83" spans="1:4" x14ac:dyDescent="0.25">
      <c r="A83" t="s">
        <v>123</v>
      </c>
      <c r="B83" t="s">
        <v>177</v>
      </c>
      <c r="C83" t="s">
        <v>1488</v>
      </c>
      <c r="D83">
        <v>12</v>
      </c>
    </row>
    <row r="84" spans="1:4" x14ac:dyDescent="0.25">
      <c r="A84" t="s">
        <v>123</v>
      </c>
      <c r="B84" t="s">
        <v>1693</v>
      </c>
      <c r="C84" t="s">
        <v>2681</v>
      </c>
      <c r="D84">
        <v>15</v>
      </c>
    </row>
    <row r="85" spans="1:4" x14ac:dyDescent="0.25">
      <c r="A85" t="s">
        <v>123</v>
      </c>
      <c r="B85" t="s">
        <v>2266</v>
      </c>
      <c r="C85" t="s">
        <v>2682</v>
      </c>
      <c r="D85">
        <v>17</v>
      </c>
    </row>
    <row r="86" spans="1:4" x14ac:dyDescent="0.25">
      <c r="A86" t="s">
        <v>123</v>
      </c>
      <c r="B86" t="s">
        <v>1855</v>
      </c>
      <c r="C86" t="s">
        <v>2683</v>
      </c>
      <c r="D86">
        <v>16</v>
      </c>
    </row>
    <row r="87" spans="1:4" x14ac:dyDescent="0.25">
      <c r="A87" t="s">
        <v>123</v>
      </c>
      <c r="B87" t="s">
        <v>1855</v>
      </c>
      <c r="C87" t="s">
        <v>2684</v>
      </c>
      <c r="D87">
        <v>15</v>
      </c>
    </row>
    <row r="88" spans="1:4" x14ac:dyDescent="0.25">
      <c r="A88" t="s">
        <v>123</v>
      </c>
      <c r="B88" t="s">
        <v>1602</v>
      </c>
      <c r="C88" t="s">
        <v>2685</v>
      </c>
      <c r="D88">
        <v>13</v>
      </c>
    </row>
    <row r="89" spans="1:4" x14ac:dyDescent="0.25">
      <c r="A89" t="s">
        <v>123</v>
      </c>
      <c r="B89" t="s">
        <v>288</v>
      </c>
      <c r="C89" t="s">
        <v>2686</v>
      </c>
      <c r="D89">
        <v>14</v>
      </c>
    </row>
    <row r="90" spans="1:4" x14ac:dyDescent="0.25">
      <c r="A90" t="s">
        <v>123</v>
      </c>
      <c r="B90" t="s">
        <v>288</v>
      </c>
      <c r="C90" t="s">
        <v>2687</v>
      </c>
      <c r="D90">
        <v>15</v>
      </c>
    </row>
    <row r="91" spans="1:4" x14ac:dyDescent="0.25">
      <c r="A91" t="s">
        <v>123</v>
      </c>
      <c r="B91" t="s">
        <v>414</v>
      </c>
      <c r="C91" t="s">
        <v>2688</v>
      </c>
      <c r="D91">
        <v>17</v>
      </c>
    </row>
    <row r="92" spans="1:4" x14ac:dyDescent="0.25">
      <c r="A92" t="s">
        <v>123</v>
      </c>
      <c r="B92" t="s">
        <v>1422</v>
      </c>
      <c r="C92" t="s">
        <v>2295</v>
      </c>
      <c r="D92">
        <v>16</v>
      </c>
    </row>
    <row r="93" spans="1:4" x14ac:dyDescent="0.25">
      <c r="A93" t="s">
        <v>123</v>
      </c>
      <c r="B93" t="s">
        <v>477</v>
      </c>
      <c r="C93" t="s">
        <v>2689</v>
      </c>
      <c r="D93">
        <v>17</v>
      </c>
    </row>
    <row r="94" spans="1:4" x14ac:dyDescent="0.25">
      <c r="A94" t="s">
        <v>123</v>
      </c>
      <c r="B94" t="s">
        <v>477</v>
      </c>
      <c r="C94" t="s">
        <v>2296</v>
      </c>
      <c r="D94">
        <v>18</v>
      </c>
    </row>
    <row r="95" spans="1:4" x14ac:dyDescent="0.25">
      <c r="A95" t="s">
        <v>123</v>
      </c>
      <c r="B95" t="s">
        <v>1339</v>
      </c>
      <c r="C95" t="s">
        <v>2690</v>
      </c>
      <c r="D95">
        <v>15</v>
      </c>
    </row>
    <row r="96" spans="1:4" x14ac:dyDescent="0.25">
      <c r="A96" t="s">
        <v>123</v>
      </c>
      <c r="B96" t="s">
        <v>1112</v>
      </c>
      <c r="C96" t="s">
        <v>2691</v>
      </c>
      <c r="D96">
        <v>16</v>
      </c>
    </row>
    <row r="97" spans="1:4" x14ac:dyDescent="0.25">
      <c r="A97" t="s">
        <v>123</v>
      </c>
      <c r="B97" t="s">
        <v>1356</v>
      </c>
      <c r="C97" t="s">
        <v>2692</v>
      </c>
      <c r="D97">
        <v>13</v>
      </c>
    </row>
    <row r="98" spans="1:4" x14ac:dyDescent="0.25">
      <c r="A98" t="s">
        <v>123</v>
      </c>
      <c r="B98" t="s">
        <v>1115</v>
      </c>
      <c r="C98" t="s">
        <v>2693</v>
      </c>
      <c r="D98">
        <v>14</v>
      </c>
    </row>
    <row r="99" spans="1:4" x14ac:dyDescent="0.25">
      <c r="A99" t="s">
        <v>123</v>
      </c>
      <c r="B99" t="s">
        <v>1115</v>
      </c>
      <c r="C99" t="s">
        <v>2694</v>
      </c>
      <c r="D99">
        <v>15</v>
      </c>
    </row>
    <row r="100" spans="1:4" x14ac:dyDescent="0.25">
      <c r="A100" t="s">
        <v>123</v>
      </c>
      <c r="B100" t="s">
        <v>1115</v>
      </c>
      <c r="C100" t="s">
        <v>2695</v>
      </c>
      <c r="D100">
        <v>16</v>
      </c>
    </row>
    <row r="101" spans="1:4" x14ac:dyDescent="0.25">
      <c r="A101" t="s">
        <v>123</v>
      </c>
      <c r="B101" t="s">
        <v>1809</v>
      </c>
      <c r="C101" t="s">
        <v>2696</v>
      </c>
      <c r="D101">
        <v>14</v>
      </c>
    </row>
    <row r="102" spans="1:4" x14ac:dyDescent="0.25">
      <c r="A102" t="s">
        <v>123</v>
      </c>
      <c r="B102" t="s">
        <v>348</v>
      </c>
      <c r="C102" t="s">
        <v>2697</v>
      </c>
      <c r="D102">
        <v>16</v>
      </c>
    </row>
    <row r="103" spans="1:4" x14ac:dyDescent="0.25">
      <c r="A103" t="s">
        <v>123</v>
      </c>
      <c r="B103" t="s">
        <v>930</v>
      </c>
      <c r="C103" t="s">
        <v>2698</v>
      </c>
      <c r="D103">
        <v>14</v>
      </c>
    </row>
    <row r="105" spans="1:4" x14ac:dyDescent="0.25">
      <c r="A105" s="2" t="s">
        <v>157</v>
      </c>
    </row>
    <row r="106" spans="1:4" x14ac:dyDescent="0.25">
      <c r="A106" t="s">
        <v>158</v>
      </c>
      <c r="D106">
        <f>AVERAGE(D2:D103)</f>
        <v>12.235294117647058</v>
      </c>
    </row>
    <row r="107" spans="1:4" x14ac:dyDescent="0.25">
      <c r="A107" t="s">
        <v>159</v>
      </c>
      <c r="D107">
        <f>MAX(D2:D103)</f>
        <v>21</v>
      </c>
    </row>
    <row r="108" spans="1:4" x14ac:dyDescent="0.25">
      <c r="A108" t="s">
        <v>160</v>
      </c>
      <c r="D108">
        <f>MIN(D2:D103)</f>
        <v>3</v>
      </c>
    </row>
    <row r="109" spans="1:4" x14ac:dyDescent="0.25">
      <c r="A109" t="s">
        <v>161</v>
      </c>
      <c r="D109">
        <f>COUNTIF(D2:D103,"&gt;0")</f>
        <v>102</v>
      </c>
    </row>
    <row r="110" spans="1:4" x14ac:dyDescent="0.25">
      <c r="A110" t="s">
        <v>162</v>
      </c>
      <c r="D110">
        <f>COUNTIF(D2:D103,"=0")</f>
        <v>0</v>
      </c>
    </row>
    <row r="111" spans="1:4" x14ac:dyDescent="0.25">
      <c r="A111" t="s">
        <v>561</v>
      </c>
      <c r="D111">
        <f>COUNTIF(D2:D103,"&lt;0")</f>
        <v>0</v>
      </c>
    </row>
    <row r="113" spans="1:4" x14ac:dyDescent="0.25">
      <c r="A113" s="2" t="s">
        <v>164</v>
      </c>
    </row>
    <row r="114" spans="1:4" x14ac:dyDescent="0.25">
      <c r="A114" t="s">
        <v>165</v>
      </c>
      <c r="D114">
        <f>AVERAGE(D2,D3,D4,D5,D6,D7,D8,D9,D10,D11,D12,D13,D14,D15,D16,D17,D18,D19,D20,D21,D22,D23,D24,D25,D26,D27,D28)</f>
        <v>6.6296296296296298</v>
      </c>
    </row>
    <row r="115" spans="1:4" x14ac:dyDescent="0.25">
      <c r="A115" t="s">
        <v>166</v>
      </c>
      <c r="D115">
        <f>AVERAGE(D29,D30,D31,D32,D33,D34,D35,D36,D37,D38,D39,D40,D41,D42,D43,D44,D45,D46,D47,D48,D49,D50,D51,D52,D53,D54,D55)</f>
        <v>15.222222222222221</v>
      </c>
    </row>
    <row r="116" spans="1:4" x14ac:dyDescent="0.25">
      <c r="A116" t="s">
        <v>167</v>
      </c>
      <c r="D116">
        <f>AVERAGE(D56,D57,D58,D59,D60,D61,D62,D63,D64,D65,D66,D67,D68,D69,D70,D71,D72,D73,D74,D75,D76,D77)</f>
        <v>13.636363636363637</v>
      </c>
    </row>
    <row r="117" spans="1:4" x14ac:dyDescent="0.25">
      <c r="A117" t="s">
        <v>168</v>
      </c>
      <c r="D117">
        <f>AVERAGE(D78,D79,D80,D81,D82,D83,D84,D85,D86,D87,D88,D89,D90,D91,D92,D93,D94,D95,D96,D97,D98,D99,D100,D101,D102,D103)</f>
        <v>13.76923076923077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1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1208</v>
      </c>
      <c r="C2" t="s">
        <v>908</v>
      </c>
      <c r="D2">
        <v>-2</v>
      </c>
    </row>
    <row r="3" spans="1:4" x14ac:dyDescent="0.25">
      <c r="A3" t="s">
        <v>4</v>
      </c>
      <c r="B3" t="s">
        <v>1973</v>
      </c>
      <c r="C3" t="s">
        <v>8</v>
      </c>
      <c r="D3">
        <v>0</v>
      </c>
    </row>
    <row r="4" spans="1:4" x14ac:dyDescent="0.25">
      <c r="A4" t="s">
        <v>4</v>
      </c>
      <c r="B4" t="s">
        <v>935</v>
      </c>
      <c r="C4" t="s">
        <v>564</v>
      </c>
      <c r="D4">
        <v>2</v>
      </c>
    </row>
    <row r="5" spans="1:4" x14ac:dyDescent="0.25">
      <c r="A5" t="s">
        <v>4</v>
      </c>
      <c r="B5" t="s">
        <v>800</v>
      </c>
      <c r="C5" t="s">
        <v>2592</v>
      </c>
      <c r="D5">
        <v>5</v>
      </c>
    </row>
    <row r="6" spans="1:4" x14ac:dyDescent="0.25">
      <c r="A6" t="s">
        <v>4</v>
      </c>
      <c r="B6" t="s">
        <v>274</v>
      </c>
      <c r="C6" t="s">
        <v>1348</v>
      </c>
      <c r="D6">
        <v>3</v>
      </c>
    </row>
    <row r="7" spans="1:4" x14ac:dyDescent="0.25">
      <c r="A7" t="s">
        <v>4</v>
      </c>
      <c r="B7" t="s">
        <v>1816</v>
      </c>
      <c r="C7" t="s">
        <v>311</v>
      </c>
      <c r="D7">
        <v>1</v>
      </c>
    </row>
    <row r="8" spans="1:4" x14ac:dyDescent="0.25">
      <c r="A8" t="s">
        <v>4</v>
      </c>
      <c r="B8" t="s">
        <v>804</v>
      </c>
      <c r="C8" t="s">
        <v>1574</v>
      </c>
      <c r="D8">
        <v>2</v>
      </c>
    </row>
    <row r="9" spans="1:4" x14ac:dyDescent="0.25">
      <c r="A9" t="s">
        <v>4</v>
      </c>
      <c r="B9" t="s">
        <v>870</v>
      </c>
      <c r="C9" t="s">
        <v>20</v>
      </c>
      <c r="D9">
        <v>0</v>
      </c>
    </row>
    <row r="10" spans="1:4" x14ac:dyDescent="0.25">
      <c r="A10" t="s">
        <v>4</v>
      </c>
      <c r="B10" t="s">
        <v>499</v>
      </c>
      <c r="C10" t="s">
        <v>22</v>
      </c>
      <c r="D10">
        <v>2</v>
      </c>
    </row>
    <row r="11" spans="1:4" x14ac:dyDescent="0.25">
      <c r="A11" t="s">
        <v>4</v>
      </c>
      <c r="B11" t="s">
        <v>596</v>
      </c>
      <c r="C11" t="s">
        <v>699</v>
      </c>
      <c r="D11">
        <v>1</v>
      </c>
    </row>
    <row r="12" spans="1:4" x14ac:dyDescent="0.25">
      <c r="A12" t="s">
        <v>4</v>
      </c>
      <c r="B12" t="s">
        <v>1170</v>
      </c>
      <c r="C12" t="s">
        <v>573</v>
      </c>
      <c r="D12">
        <v>2</v>
      </c>
    </row>
    <row r="13" spans="1:4" x14ac:dyDescent="0.25">
      <c r="A13" t="s">
        <v>4</v>
      </c>
      <c r="B13" t="s">
        <v>1170</v>
      </c>
      <c r="C13" t="s">
        <v>26</v>
      </c>
      <c r="D13">
        <v>3</v>
      </c>
    </row>
    <row r="14" spans="1:4" x14ac:dyDescent="0.25">
      <c r="A14" t="s">
        <v>4</v>
      </c>
      <c r="B14" t="s">
        <v>437</v>
      </c>
      <c r="C14" t="s">
        <v>28</v>
      </c>
      <c r="D14">
        <v>1</v>
      </c>
    </row>
    <row r="15" spans="1:4" x14ac:dyDescent="0.25">
      <c r="A15" t="s">
        <v>4</v>
      </c>
      <c r="B15" t="s">
        <v>746</v>
      </c>
      <c r="C15" t="s">
        <v>30</v>
      </c>
      <c r="D15">
        <v>-1</v>
      </c>
    </row>
    <row r="16" spans="1:4" x14ac:dyDescent="0.25">
      <c r="A16" t="s">
        <v>4</v>
      </c>
      <c r="B16" t="s">
        <v>411</v>
      </c>
      <c r="C16" t="s">
        <v>443</v>
      </c>
      <c r="D16">
        <v>0</v>
      </c>
    </row>
    <row r="17" spans="1:4" x14ac:dyDescent="0.25">
      <c r="A17" t="s">
        <v>4</v>
      </c>
      <c r="B17" t="s">
        <v>1517</v>
      </c>
      <c r="C17" t="s">
        <v>1435</v>
      </c>
      <c r="D17">
        <v>-1</v>
      </c>
    </row>
    <row r="18" spans="1:4" x14ac:dyDescent="0.25">
      <c r="A18" t="s">
        <v>4</v>
      </c>
      <c r="B18" t="s">
        <v>1517</v>
      </c>
      <c r="C18" t="s">
        <v>445</v>
      </c>
      <c r="D18">
        <v>-2</v>
      </c>
    </row>
    <row r="19" spans="1:4" x14ac:dyDescent="0.25">
      <c r="A19" t="s">
        <v>4</v>
      </c>
      <c r="B19" t="s">
        <v>579</v>
      </c>
      <c r="C19" t="s">
        <v>703</v>
      </c>
      <c r="D19">
        <v>-3</v>
      </c>
    </row>
    <row r="20" spans="1:4" x14ac:dyDescent="0.25">
      <c r="A20" t="s">
        <v>4</v>
      </c>
      <c r="B20" t="s">
        <v>27</v>
      </c>
      <c r="C20" t="s">
        <v>1504</v>
      </c>
      <c r="D20">
        <v>-4</v>
      </c>
    </row>
    <row r="21" spans="1:4" x14ac:dyDescent="0.25">
      <c r="A21" t="s">
        <v>4</v>
      </c>
      <c r="B21" t="s">
        <v>27</v>
      </c>
      <c r="C21" t="s">
        <v>578</v>
      </c>
      <c r="D21">
        <v>-5</v>
      </c>
    </row>
    <row r="22" spans="1:4" x14ac:dyDescent="0.25">
      <c r="A22" t="s">
        <v>4</v>
      </c>
      <c r="B22" t="s">
        <v>611</v>
      </c>
      <c r="C22" t="s">
        <v>37</v>
      </c>
      <c r="D22">
        <v>-4</v>
      </c>
    </row>
    <row r="23" spans="1:4" x14ac:dyDescent="0.25">
      <c r="A23" t="s">
        <v>4</v>
      </c>
      <c r="B23" t="s">
        <v>611</v>
      </c>
      <c r="C23" t="s">
        <v>580</v>
      </c>
      <c r="D23">
        <v>-3</v>
      </c>
    </row>
    <row r="24" spans="1:4" x14ac:dyDescent="0.25">
      <c r="A24" t="s">
        <v>4</v>
      </c>
      <c r="B24" t="s">
        <v>1339</v>
      </c>
      <c r="C24" t="s">
        <v>2699</v>
      </c>
      <c r="D24">
        <v>-4</v>
      </c>
    </row>
    <row r="25" spans="1:4" x14ac:dyDescent="0.25">
      <c r="A25" t="s">
        <v>4</v>
      </c>
      <c r="B25" t="s">
        <v>1339</v>
      </c>
      <c r="C25" t="s">
        <v>1506</v>
      </c>
      <c r="D25">
        <v>-5</v>
      </c>
    </row>
    <row r="26" spans="1:4" x14ac:dyDescent="0.25">
      <c r="A26" t="s">
        <v>4</v>
      </c>
      <c r="B26" t="s">
        <v>392</v>
      </c>
      <c r="C26" t="s">
        <v>2700</v>
      </c>
      <c r="D26">
        <v>-6</v>
      </c>
    </row>
    <row r="27" spans="1:4" x14ac:dyDescent="0.25">
      <c r="A27" t="s">
        <v>4</v>
      </c>
      <c r="B27" t="s">
        <v>294</v>
      </c>
      <c r="C27" t="s">
        <v>2701</v>
      </c>
      <c r="D27">
        <v>-5</v>
      </c>
    </row>
    <row r="28" spans="1:4" x14ac:dyDescent="0.25">
      <c r="A28" t="s">
        <v>4</v>
      </c>
      <c r="B28" t="s">
        <v>294</v>
      </c>
      <c r="C28" t="s">
        <v>42</v>
      </c>
      <c r="D28">
        <v>-4</v>
      </c>
    </row>
    <row r="29" spans="1:4" x14ac:dyDescent="0.25">
      <c r="A29" t="s">
        <v>4</v>
      </c>
      <c r="B29" t="s">
        <v>33</v>
      </c>
      <c r="C29" t="s">
        <v>794</v>
      </c>
      <c r="D29">
        <v>-1</v>
      </c>
    </row>
    <row r="30" spans="1:4" x14ac:dyDescent="0.25">
      <c r="A30" t="s">
        <v>4</v>
      </c>
      <c r="B30" t="s">
        <v>1276</v>
      </c>
      <c r="C30" t="s">
        <v>587</v>
      </c>
      <c r="D30">
        <v>1</v>
      </c>
    </row>
    <row r="31" spans="1:4" x14ac:dyDescent="0.25">
      <c r="A31" t="s">
        <v>4</v>
      </c>
      <c r="B31" t="s">
        <v>817</v>
      </c>
      <c r="C31" t="s">
        <v>1510</v>
      </c>
      <c r="D31">
        <v>-2</v>
      </c>
    </row>
    <row r="32" spans="1:4" x14ac:dyDescent="0.25">
      <c r="A32" t="s">
        <v>4</v>
      </c>
      <c r="B32" t="s">
        <v>817</v>
      </c>
      <c r="C32" t="s">
        <v>2702</v>
      </c>
      <c r="D32">
        <v>-1</v>
      </c>
    </row>
    <row r="33" spans="1:4" x14ac:dyDescent="0.25">
      <c r="A33" t="s">
        <v>40</v>
      </c>
      <c r="B33" t="s">
        <v>124</v>
      </c>
      <c r="C33" t="s">
        <v>2703</v>
      </c>
      <c r="D33">
        <v>1</v>
      </c>
    </row>
    <row r="34" spans="1:4" x14ac:dyDescent="0.25">
      <c r="A34" t="s">
        <v>40</v>
      </c>
      <c r="B34" t="s">
        <v>45</v>
      </c>
      <c r="C34" t="s">
        <v>929</v>
      </c>
      <c r="D34">
        <v>3</v>
      </c>
    </row>
    <row r="35" spans="1:4" x14ac:dyDescent="0.25">
      <c r="A35" t="s">
        <v>40</v>
      </c>
      <c r="B35" t="s">
        <v>797</v>
      </c>
      <c r="C35" t="s">
        <v>931</v>
      </c>
      <c r="D35">
        <v>5</v>
      </c>
    </row>
    <row r="36" spans="1:4" x14ac:dyDescent="0.25">
      <c r="A36" t="s">
        <v>40</v>
      </c>
      <c r="B36" t="s">
        <v>89</v>
      </c>
      <c r="C36" t="s">
        <v>218</v>
      </c>
      <c r="D36">
        <v>3</v>
      </c>
    </row>
    <row r="37" spans="1:4" x14ac:dyDescent="0.25">
      <c r="A37" t="s">
        <v>40</v>
      </c>
      <c r="B37" t="s">
        <v>566</v>
      </c>
      <c r="C37" t="s">
        <v>934</v>
      </c>
      <c r="D37">
        <v>5</v>
      </c>
    </row>
    <row r="38" spans="1:4" x14ac:dyDescent="0.25">
      <c r="A38" t="s">
        <v>40</v>
      </c>
      <c r="B38" t="s">
        <v>1826</v>
      </c>
      <c r="C38" t="s">
        <v>936</v>
      </c>
      <c r="D38">
        <v>2</v>
      </c>
    </row>
    <row r="39" spans="1:4" x14ac:dyDescent="0.25">
      <c r="A39" t="s">
        <v>40</v>
      </c>
      <c r="B39" t="s">
        <v>462</v>
      </c>
      <c r="C39" t="s">
        <v>1214</v>
      </c>
      <c r="D39">
        <v>5</v>
      </c>
    </row>
    <row r="40" spans="1:4" x14ac:dyDescent="0.25">
      <c r="A40" t="s">
        <v>40</v>
      </c>
      <c r="B40" t="s">
        <v>740</v>
      </c>
      <c r="C40" t="s">
        <v>2704</v>
      </c>
      <c r="D40">
        <v>6</v>
      </c>
    </row>
    <row r="41" spans="1:4" x14ac:dyDescent="0.25">
      <c r="A41" t="s">
        <v>40</v>
      </c>
      <c r="B41" t="s">
        <v>762</v>
      </c>
      <c r="C41" t="s">
        <v>1215</v>
      </c>
      <c r="D41">
        <v>8</v>
      </c>
    </row>
    <row r="42" spans="1:4" x14ac:dyDescent="0.25">
      <c r="A42" t="s">
        <v>40</v>
      </c>
      <c r="B42" t="s">
        <v>317</v>
      </c>
      <c r="C42" t="s">
        <v>940</v>
      </c>
      <c r="D42">
        <v>6</v>
      </c>
    </row>
    <row r="43" spans="1:4" x14ac:dyDescent="0.25">
      <c r="A43" t="s">
        <v>40</v>
      </c>
      <c r="B43" t="s">
        <v>704</v>
      </c>
      <c r="C43" t="s">
        <v>942</v>
      </c>
      <c r="D43">
        <v>8</v>
      </c>
    </row>
    <row r="44" spans="1:4" x14ac:dyDescent="0.25">
      <c r="A44" t="s">
        <v>40</v>
      </c>
      <c r="B44" t="s">
        <v>1882</v>
      </c>
      <c r="C44" t="s">
        <v>1589</v>
      </c>
      <c r="D44">
        <v>9</v>
      </c>
    </row>
    <row r="45" spans="1:4" x14ac:dyDescent="0.25">
      <c r="A45" t="s">
        <v>40</v>
      </c>
      <c r="B45" t="s">
        <v>1882</v>
      </c>
      <c r="C45" t="s">
        <v>1939</v>
      </c>
      <c r="D45">
        <v>10</v>
      </c>
    </row>
    <row r="46" spans="1:4" x14ac:dyDescent="0.25">
      <c r="A46" t="s">
        <v>40</v>
      </c>
      <c r="B46" t="s">
        <v>1045</v>
      </c>
      <c r="C46" t="s">
        <v>1941</v>
      </c>
      <c r="D46">
        <v>12</v>
      </c>
    </row>
    <row r="47" spans="1:4" x14ac:dyDescent="0.25">
      <c r="A47" t="s">
        <v>40</v>
      </c>
      <c r="B47" t="s">
        <v>389</v>
      </c>
      <c r="C47" t="s">
        <v>947</v>
      </c>
      <c r="D47">
        <v>10</v>
      </c>
    </row>
    <row r="48" spans="1:4" x14ac:dyDescent="0.25">
      <c r="A48" t="s">
        <v>40</v>
      </c>
      <c r="B48" t="s">
        <v>1622</v>
      </c>
      <c r="C48" t="s">
        <v>948</v>
      </c>
      <c r="D48">
        <v>13</v>
      </c>
    </row>
    <row r="49" spans="1:4" x14ac:dyDescent="0.25">
      <c r="A49" t="s">
        <v>40</v>
      </c>
      <c r="B49" t="s">
        <v>344</v>
      </c>
      <c r="C49" t="s">
        <v>949</v>
      </c>
      <c r="D49">
        <v>11</v>
      </c>
    </row>
    <row r="50" spans="1:4" x14ac:dyDescent="0.25">
      <c r="A50" t="s">
        <v>40</v>
      </c>
      <c r="B50" t="s">
        <v>1646</v>
      </c>
      <c r="C50" t="s">
        <v>1674</v>
      </c>
      <c r="D50">
        <v>8</v>
      </c>
    </row>
    <row r="51" spans="1:4" x14ac:dyDescent="0.25">
      <c r="A51" t="s">
        <v>40</v>
      </c>
      <c r="B51" t="s">
        <v>1489</v>
      </c>
      <c r="C51" t="s">
        <v>1676</v>
      </c>
      <c r="D51">
        <v>10</v>
      </c>
    </row>
    <row r="52" spans="1:4" x14ac:dyDescent="0.25">
      <c r="A52" t="s">
        <v>40</v>
      </c>
      <c r="B52" t="s">
        <v>38</v>
      </c>
      <c r="C52" t="s">
        <v>2705</v>
      </c>
      <c r="D52">
        <v>8</v>
      </c>
    </row>
    <row r="53" spans="1:4" x14ac:dyDescent="0.25">
      <c r="A53" t="s">
        <v>80</v>
      </c>
      <c r="B53" t="s">
        <v>1765</v>
      </c>
      <c r="C53" t="s">
        <v>485</v>
      </c>
      <c r="D53">
        <v>6</v>
      </c>
    </row>
    <row r="54" spans="1:4" x14ac:dyDescent="0.25">
      <c r="A54" t="s">
        <v>80</v>
      </c>
      <c r="B54" t="s">
        <v>2355</v>
      </c>
      <c r="C54" t="s">
        <v>2610</v>
      </c>
      <c r="D54">
        <v>3</v>
      </c>
    </row>
    <row r="55" spans="1:4" x14ac:dyDescent="0.25">
      <c r="A55" t="s">
        <v>80</v>
      </c>
      <c r="B55" t="s">
        <v>357</v>
      </c>
      <c r="C55" t="s">
        <v>2706</v>
      </c>
      <c r="D55">
        <v>6</v>
      </c>
    </row>
    <row r="56" spans="1:4" x14ac:dyDescent="0.25">
      <c r="A56" t="s">
        <v>80</v>
      </c>
      <c r="B56" t="s">
        <v>641</v>
      </c>
      <c r="C56" t="s">
        <v>1525</v>
      </c>
      <c r="D56">
        <v>3</v>
      </c>
    </row>
    <row r="57" spans="1:4" x14ac:dyDescent="0.25">
      <c r="A57" t="s">
        <v>80</v>
      </c>
      <c r="B57" t="s">
        <v>1826</v>
      </c>
      <c r="C57" t="s">
        <v>2173</v>
      </c>
      <c r="D57">
        <v>2</v>
      </c>
    </row>
    <row r="58" spans="1:4" x14ac:dyDescent="0.25">
      <c r="A58" t="s">
        <v>80</v>
      </c>
      <c r="B58" t="s">
        <v>779</v>
      </c>
      <c r="C58" t="s">
        <v>2273</v>
      </c>
      <c r="D58">
        <v>5</v>
      </c>
    </row>
    <row r="59" spans="1:4" x14ac:dyDescent="0.25">
      <c r="A59" t="s">
        <v>80</v>
      </c>
      <c r="B59" t="s">
        <v>259</v>
      </c>
      <c r="C59" t="s">
        <v>1731</v>
      </c>
      <c r="D59">
        <v>2</v>
      </c>
    </row>
    <row r="60" spans="1:4" x14ac:dyDescent="0.25">
      <c r="A60" t="s">
        <v>80</v>
      </c>
      <c r="B60" t="s">
        <v>654</v>
      </c>
      <c r="C60" t="s">
        <v>1531</v>
      </c>
      <c r="D60">
        <v>4</v>
      </c>
    </row>
    <row r="61" spans="1:4" x14ac:dyDescent="0.25">
      <c r="A61" t="s">
        <v>80</v>
      </c>
      <c r="B61" t="s">
        <v>60</v>
      </c>
      <c r="C61" t="s">
        <v>2176</v>
      </c>
      <c r="D61">
        <v>5</v>
      </c>
    </row>
    <row r="62" spans="1:4" x14ac:dyDescent="0.25">
      <c r="A62" t="s">
        <v>80</v>
      </c>
      <c r="B62" t="s">
        <v>60</v>
      </c>
      <c r="C62" t="s">
        <v>1838</v>
      </c>
      <c r="D62">
        <v>6</v>
      </c>
    </row>
    <row r="63" spans="1:4" x14ac:dyDescent="0.25">
      <c r="A63" t="s">
        <v>80</v>
      </c>
      <c r="B63" t="s">
        <v>435</v>
      </c>
      <c r="C63" t="s">
        <v>1839</v>
      </c>
      <c r="D63">
        <v>4</v>
      </c>
    </row>
    <row r="64" spans="1:4" x14ac:dyDescent="0.25">
      <c r="A64" t="s">
        <v>80</v>
      </c>
      <c r="B64" t="s">
        <v>805</v>
      </c>
      <c r="C64" t="s">
        <v>1164</v>
      </c>
      <c r="D64">
        <v>6</v>
      </c>
    </row>
    <row r="65" spans="1:4" x14ac:dyDescent="0.25">
      <c r="A65" t="s">
        <v>80</v>
      </c>
      <c r="B65" t="s">
        <v>64</v>
      </c>
      <c r="C65" t="s">
        <v>1955</v>
      </c>
      <c r="D65">
        <v>9</v>
      </c>
    </row>
    <row r="66" spans="1:4" x14ac:dyDescent="0.25">
      <c r="A66" t="s">
        <v>80</v>
      </c>
      <c r="B66" t="s">
        <v>70</v>
      </c>
      <c r="C66" t="s">
        <v>1956</v>
      </c>
      <c r="D66">
        <v>7</v>
      </c>
    </row>
    <row r="67" spans="1:4" x14ac:dyDescent="0.25">
      <c r="A67" t="s">
        <v>80</v>
      </c>
      <c r="B67" t="s">
        <v>1045</v>
      </c>
      <c r="C67" t="s">
        <v>395</v>
      </c>
      <c r="D67">
        <v>5</v>
      </c>
    </row>
    <row r="68" spans="1:4" x14ac:dyDescent="0.25">
      <c r="A68" t="s">
        <v>80</v>
      </c>
      <c r="B68" t="s">
        <v>389</v>
      </c>
      <c r="C68" t="s">
        <v>2552</v>
      </c>
      <c r="D68">
        <v>7</v>
      </c>
    </row>
    <row r="69" spans="1:4" x14ac:dyDescent="0.25">
      <c r="A69" t="s">
        <v>80</v>
      </c>
      <c r="B69" t="s">
        <v>1402</v>
      </c>
      <c r="C69" t="s">
        <v>1171</v>
      </c>
      <c r="D69">
        <v>5</v>
      </c>
    </row>
    <row r="70" spans="1:4" x14ac:dyDescent="0.25">
      <c r="A70" t="s">
        <v>80</v>
      </c>
      <c r="B70" t="s">
        <v>1356</v>
      </c>
      <c r="C70" t="s">
        <v>2456</v>
      </c>
      <c r="D70">
        <v>7</v>
      </c>
    </row>
    <row r="71" spans="1:4" x14ac:dyDescent="0.25">
      <c r="A71" t="s">
        <v>80</v>
      </c>
      <c r="B71" t="s">
        <v>1222</v>
      </c>
      <c r="C71" t="s">
        <v>1738</v>
      </c>
      <c r="D71">
        <v>4</v>
      </c>
    </row>
    <row r="72" spans="1:4" x14ac:dyDescent="0.25">
      <c r="A72" t="s">
        <v>80</v>
      </c>
      <c r="B72" t="s">
        <v>999</v>
      </c>
      <c r="C72" t="s">
        <v>761</v>
      </c>
      <c r="D72">
        <v>5</v>
      </c>
    </row>
    <row r="73" spans="1:4" x14ac:dyDescent="0.25">
      <c r="A73" t="s">
        <v>80</v>
      </c>
      <c r="B73" t="s">
        <v>999</v>
      </c>
      <c r="C73" t="s">
        <v>1959</v>
      </c>
      <c r="D73">
        <v>6</v>
      </c>
    </row>
    <row r="74" spans="1:4" x14ac:dyDescent="0.25">
      <c r="A74" t="s">
        <v>80</v>
      </c>
      <c r="B74" t="s">
        <v>394</v>
      </c>
      <c r="C74" t="s">
        <v>1176</v>
      </c>
      <c r="D74">
        <v>3</v>
      </c>
    </row>
    <row r="75" spans="1:4" x14ac:dyDescent="0.25">
      <c r="A75" t="s">
        <v>80</v>
      </c>
      <c r="B75" t="s">
        <v>350</v>
      </c>
      <c r="C75" t="s">
        <v>763</v>
      </c>
      <c r="D75">
        <v>5</v>
      </c>
    </row>
    <row r="76" spans="1:4" x14ac:dyDescent="0.25">
      <c r="A76" t="s">
        <v>80</v>
      </c>
      <c r="B76" t="s">
        <v>235</v>
      </c>
      <c r="C76" t="s">
        <v>2606</v>
      </c>
      <c r="D76">
        <v>4</v>
      </c>
    </row>
    <row r="77" spans="1:4" x14ac:dyDescent="0.25">
      <c r="A77" t="s">
        <v>80</v>
      </c>
      <c r="B77" t="s">
        <v>235</v>
      </c>
      <c r="C77" t="s">
        <v>2707</v>
      </c>
      <c r="D77">
        <v>3</v>
      </c>
    </row>
    <row r="78" spans="1:4" x14ac:dyDescent="0.25">
      <c r="A78" t="s">
        <v>123</v>
      </c>
      <c r="B78" t="s">
        <v>325</v>
      </c>
      <c r="C78" t="s">
        <v>2708</v>
      </c>
      <c r="D78">
        <v>1</v>
      </c>
    </row>
    <row r="79" spans="1:4" x14ac:dyDescent="0.25">
      <c r="A79" t="s">
        <v>123</v>
      </c>
      <c r="B79" t="s">
        <v>1083</v>
      </c>
      <c r="C79" t="s">
        <v>2343</v>
      </c>
      <c r="D79">
        <v>-2</v>
      </c>
    </row>
    <row r="80" spans="1:4" x14ac:dyDescent="0.25">
      <c r="A80" t="s">
        <v>123</v>
      </c>
      <c r="B80" t="s">
        <v>1849</v>
      </c>
      <c r="C80" t="s">
        <v>665</v>
      </c>
      <c r="D80">
        <v>1</v>
      </c>
    </row>
    <row r="81" spans="1:4" x14ac:dyDescent="0.25">
      <c r="A81" t="s">
        <v>123</v>
      </c>
      <c r="B81" t="s">
        <v>691</v>
      </c>
      <c r="C81" t="s">
        <v>527</v>
      </c>
      <c r="D81">
        <v>-2</v>
      </c>
    </row>
    <row r="82" spans="1:4" x14ac:dyDescent="0.25">
      <c r="A82" t="s">
        <v>123</v>
      </c>
      <c r="B82" t="s">
        <v>1408</v>
      </c>
      <c r="C82" t="s">
        <v>528</v>
      </c>
      <c r="D82">
        <v>0</v>
      </c>
    </row>
    <row r="83" spans="1:4" x14ac:dyDescent="0.25">
      <c r="A83" t="s">
        <v>123</v>
      </c>
      <c r="B83" t="s">
        <v>1169</v>
      </c>
      <c r="C83" t="s">
        <v>672</v>
      </c>
      <c r="D83">
        <v>2</v>
      </c>
    </row>
    <row r="84" spans="1:4" x14ac:dyDescent="0.25">
      <c r="A84" t="s">
        <v>123</v>
      </c>
      <c r="B84" t="s">
        <v>1549</v>
      </c>
      <c r="C84" t="s">
        <v>533</v>
      </c>
      <c r="D84">
        <v>0</v>
      </c>
    </row>
    <row r="85" spans="1:4" x14ac:dyDescent="0.25">
      <c r="A85" t="s">
        <v>123</v>
      </c>
      <c r="B85" t="s">
        <v>914</v>
      </c>
      <c r="C85" t="s">
        <v>2318</v>
      </c>
      <c r="D85">
        <v>2</v>
      </c>
    </row>
    <row r="86" spans="1:4" x14ac:dyDescent="0.25">
      <c r="A86" t="s">
        <v>123</v>
      </c>
      <c r="B86" t="s">
        <v>2266</v>
      </c>
      <c r="C86" t="s">
        <v>2347</v>
      </c>
      <c r="D86">
        <v>-1</v>
      </c>
    </row>
    <row r="87" spans="1:4" x14ac:dyDescent="0.25">
      <c r="A87" t="s">
        <v>123</v>
      </c>
      <c r="B87" t="s">
        <v>661</v>
      </c>
      <c r="C87" t="s">
        <v>2624</v>
      </c>
      <c r="D87">
        <v>-4</v>
      </c>
    </row>
    <row r="88" spans="1:4" x14ac:dyDescent="0.25">
      <c r="A88" t="s">
        <v>123</v>
      </c>
      <c r="B88" t="s">
        <v>64</v>
      </c>
      <c r="C88" t="s">
        <v>866</v>
      </c>
      <c r="D88">
        <v>-3</v>
      </c>
    </row>
    <row r="89" spans="1:4" x14ac:dyDescent="0.25">
      <c r="A89" t="s">
        <v>123</v>
      </c>
      <c r="B89" t="s">
        <v>64</v>
      </c>
      <c r="C89" t="s">
        <v>542</v>
      </c>
      <c r="D89">
        <v>-2</v>
      </c>
    </row>
    <row r="90" spans="1:4" x14ac:dyDescent="0.25">
      <c r="A90" t="s">
        <v>123</v>
      </c>
      <c r="B90" t="s">
        <v>766</v>
      </c>
      <c r="C90" t="s">
        <v>2709</v>
      </c>
      <c r="D90">
        <v>0</v>
      </c>
    </row>
    <row r="91" spans="1:4" x14ac:dyDescent="0.25">
      <c r="A91" t="s">
        <v>123</v>
      </c>
      <c r="B91" t="s">
        <v>812</v>
      </c>
      <c r="C91" t="s">
        <v>2710</v>
      </c>
      <c r="D91">
        <v>-1</v>
      </c>
    </row>
    <row r="92" spans="1:4" x14ac:dyDescent="0.25">
      <c r="A92" t="s">
        <v>123</v>
      </c>
      <c r="B92" t="s">
        <v>812</v>
      </c>
      <c r="C92" t="s">
        <v>2711</v>
      </c>
      <c r="D92">
        <v>-2</v>
      </c>
    </row>
    <row r="93" spans="1:4" x14ac:dyDescent="0.25">
      <c r="A93" t="s">
        <v>123</v>
      </c>
      <c r="B93" t="s">
        <v>29</v>
      </c>
      <c r="C93" t="s">
        <v>2712</v>
      </c>
      <c r="D93">
        <v>-5</v>
      </c>
    </row>
    <row r="94" spans="1:4" x14ac:dyDescent="0.25">
      <c r="A94" t="s">
        <v>123</v>
      </c>
      <c r="B94" t="s">
        <v>448</v>
      </c>
      <c r="C94" t="s">
        <v>548</v>
      </c>
      <c r="D94">
        <v>-4</v>
      </c>
    </row>
    <row r="95" spans="1:4" x14ac:dyDescent="0.25">
      <c r="A95" t="s">
        <v>123</v>
      </c>
      <c r="B95" t="s">
        <v>448</v>
      </c>
      <c r="C95" t="s">
        <v>2713</v>
      </c>
      <c r="D95">
        <v>-3</v>
      </c>
    </row>
    <row r="96" spans="1:4" x14ac:dyDescent="0.25">
      <c r="A96" t="s">
        <v>123</v>
      </c>
      <c r="B96" t="s">
        <v>1988</v>
      </c>
      <c r="C96" t="s">
        <v>2714</v>
      </c>
      <c r="D96">
        <v>-1</v>
      </c>
    </row>
    <row r="97" spans="1:4" x14ac:dyDescent="0.25">
      <c r="A97" t="s">
        <v>123</v>
      </c>
      <c r="B97" t="s">
        <v>634</v>
      </c>
      <c r="C97" t="s">
        <v>2715</v>
      </c>
      <c r="D97">
        <v>-2</v>
      </c>
    </row>
    <row r="98" spans="1:4" x14ac:dyDescent="0.25">
      <c r="A98" t="s">
        <v>123</v>
      </c>
      <c r="B98" t="s">
        <v>634</v>
      </c>
      <c r="C98" t="s">
        <v>2716</v>
      </c>
      <c r="D98">
        <v>-3</v>
      </c>
    </row>
    <row r="99" spans="1:4" x14ac:dyDescent="0.25">
      <c r="A99" t="s">
        <v>123</v>
      </c>
      <c r="B99" t="s">
        <v>1874</v>
      </c>
      <c r="C99" t="s">
        <v>2717</v>
      </c>
      <c r="D99">
        <v>0</v>
      </c>
    </row>
    <row r="100" spans="1:4" x14ac:dyDescent="0.25">
      <c r="A100" t="s">
        <v>123</v>
      </c>
      <c r="B100" t="s">
        <v>38</v>
      </c>
      <c r="C100" t="s">
        <v>2718</v>
      </c>
      <c r="D100">
        <v>-2</v>
      </c>
    </row>
    <row r="101" spans="1:4" x14ac:dyDescent="0.25">
      <c r="A101" t="s">
        <v>123</v>
      </c>
      <c r="B101" t="s">
        <v>78</v>
      </c>
      <c r="C101" t="s">
        <v>2719</v>
      </c>
      <c r="D101">
        <v>-3</v>
      </c>
    </row>
    <row r="102" spans="1:4" x14ac:dyDescent="0.25">
      <c r="A102" t="s">
        <v>123</v>
      </c>
      <c r="B102" t="s">
        <v>78</v>
      </c>
      <c r="C102" t="s">
        <v>2720</v>
      </c>
      <c r="D102">
        <v>-4</v>
      </c>
    </row>
    <row r="104" spans="1:4" x14ac:dyDescent="0.25">
      <c r="A104" s="2" t="s">
        <v>157</v>
      </c>
    </row>
    <row r="105" spans="1:4" x14ac:dyDescent="0.25">
      <c r="A105" t="s">
        <v>158</v>
      </c>
      <c r="D105">
        <f>AVERAGE(D2:D102)</f>
        <v>1.9504950495049505</v>
      </c>
    </row>
    <row r="106" spans="1:4" x14ac:dyDescent="0.25">
      <c r="A106" t="s">
        <v>159</v>
      </c>
      <c r="D106">
        <f>MAX(D2:D102)</f>
        <v>13</v>
      </c>
    </row>
    <row r="107" spans="1:4" x14ac:dyDescent="0.25">
      <c r="A107" t="s">
        <v>160</v>
      </c>
      <c r="D107">
        <f>MIN(D2:D102)</f>
        <v>-6</v>
      </c>
    </row>
    <row r="108" spans="1:4" x14ac:dyDescent="0.25">
      <c r="A108" t="s">
        <v>161</v>
      </c>
      <c r="D108">
        <f>COUNTIF(D2:D102,"&gt;0")</f>
        <v>60</v>
      </c>
    </row>
    <row r="109" spans="1:4" x14ac:dyDescent="0.25">
      <c r="A109" t="s">
        <v>162</v>
      </c>
      <c r="D109">
        <f>COUNTIF(D2:D102,"=0")</f>
        <v>7</v>
      </c>
    </row>
    <row r="110" spans="1:4" x14ac:dyDescent="0.25">
      <c r="A110" t="s">
        <v>561</v>
      </c>
      <c r="D110">
        <f>COUNTIF(D2:D102,"&lt;0")</f>
        <v>34</v>
      </c>
    </row>
    <row r="112" spans="1:4" x14ac:dyDescent="0.25">
      <c r="A112" s="2" t="s">
        <v>164</v>
      </c>
    </row>
    <row r="113" spans="1:4" x14ac:dyDescent="0.25">
      <c r="A113" t="s">
        <v>165</v>
      </c>
      <c r="D113">
        <f>AVERAGE(D2,D3,D4,D5,D6,D7,D8,D9,D10,D11,D12,D13,D14,D15,D16,D17,D18,D19,D20,D21,D22,D23,D24,D25,D26,D27,D28,D29,D30,D31,D32)</f>
        <v>-0.967741935483871</v>
      </c>
    </row>
    <row r="114" spans="1:4" x14ac:dyDescent="0.25">
      <c r="A114" t="s">
        <v>166</v>
      </c>
      <c r="D114">
        <f>AVERAGE(D33,D34,D35,D36,D37,D38,D39,D40,D41,D42,D43,D44,D45,D46,D47,D48,D49,D50,D51,D52)</f>
        <v>7.15</v>
      </c>
    </row>
    <row r="115" spans="1:4" x14ac:dyDescent="0.25">
      <c r="A115" t="s">
        <v>167</v>
      </c>
      <c r="D115">
        <f>AVERAGE(D53,D54,D55,D56,D57,D58,D59,D60,D61,D62,D63,D64,D65,D66,D67,D68,D69,D70,D71,D72,D73,D74,D75,D76,D77)</f>
        <v>4.88</v>
      </c>
    </row>
    <row r="116" spans="1:4" x14ac:dyDescent="0.25">
      <c r="A116" t="s">
        <v>168</v>
      </c>
      <c r="D116">
        <f>AVERAGE(D78,D79,D80,D81,D82,D83,D84,D85,D86,D87,D88,D89,D90,D91,D92,D93,D94,D95,D96,D97,D98,D99,D100,D101,D102)</f>
        <v>-1.52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1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41</v>
      </c>
      <c r="C2" t="s">
        <v>171</v>
      </c>
      <c r="D2">
        <v>3</v>
      </c>
    </row>
    <row r="3" spans="1:4" x14ac:dyDescent="0.25">
      <c r="A3" t="s">
        <v>4</v>
      </c>
      <c r="B3" t="s">
        <v>1138</v>
      </c>
      <c r="C3" t="s">
        <v>1572</v>
      </c>
      <c r="D3">
        <v>5</v>
      </c>
    </row>
    <row r="4" spans="1:4" x14ac:dyDescent="0.25">
      <c r="A4" t="s">
        <v>4</v>
      </c>
      <c r="B4" t="s">
        <v>490</v>
      </c>
      <c r="C4" t="s">
        <v>2643</v>
      </c>
      <c r="D4">
        <v>7</v>
      </c>
    </row>
    <row r="5" spans="1:4" x14ac:dyDescent="0.25">
      <c r="A5" t="s">
        <v>4</v>
      </c>
      <c r="B5" t="s">
        <v>1321</v>
      </c>
      <c r="C5" t="s">
        <v>430</v>
      </c>
      <c r="D5">
        <v>4</v>
      </c>
    </row>
    <row r="6" spans="1:4" x14ac:dyDescent="0.25">
      <c r="A6" t="s">
        <v>4</v>
      </c>
      <c r="B6" t="s">
        <v>618</v>
      </c>
      <c r="C6" t="s">
        <v>311</v>
      </c>
      <c r="D6">
        <v>1</v>
      </c>
    </row>
    <row r="7" spans="1:4" x14ac:dyDescent="0.25">
      <c r="A7" t="s">
        <v>4</v>
      </c>
      <c r="B7" t="s">
        <v>1824</v>
      </c>
      <c r="C7" t="s">
        <v>1497</v>
      </c>
      <c r="D7">
        <v>-2</v>
      </c>
    </row>
    <row r="8" spans="1:4" x14ac:dyDescent="0.25">
      <c r="A8" t="s">
        <v>4</v>
      </c>
      <c r="B8" t="s">
        <v>1248</v>
      </c>
      <c r="C8" t="s">
        <v>697</v>
      </c>
      <c r="D8">
        <v>-1</v>
      </c>
    </row>
    <row r="9" spans="1:4" x14ac:dyDescent="0.25">
      <c r="A9" t="s">
        <v>4</v>
      </c>
      <c r="B9" t="s">
        <v>1549</v>
      </c>
      <c r="C9" t="s">
        <v>1743</v>
      </c>
      <c r="D9">
        <v>-3</v>
      </c>
    </row>
    <row r="10" spans="1:4" x14ac:dyDescent="0.25">
      <c r="A10" t="s">
        <v>4</v>
      </c>
      <c r="B10" t="s">
        <v>914</v>
      </c>
      <c r="C10" t="s">
        <v>2202</v>
      </c>
      <c r="D10">
        <v>-1</v>
      </c>
    </row>
    <row r="11" spans="1:4" x14ac:dyDescent="0.25">
      <c r="A11" t="s">
        <v>4</v>
      </c>
      <c r="B11" t="s">
        <v>56</v>
      </c>
      <c r="C11" t="s">
        <v>1818</v>
      </c>
      <c r="D11">
        <v>2</v>
      </c>
    </row>
    <row r="12" spans="1:4" x14ac:dyDescent="0.25">
      <c r="A12" t="s">
        <v>4</v>
      </c>
      <c r="B12" t="s">
        <v>651</v>
      </c>
      <c r="C12" t="s">
        <v>443</v>
      </c>
      <c r="D12">
        <v>0</v>
      </c>
    </row>
    <row r="13" spans="1:4" x14ac:dyDescent="0.25">
      <c r="A13" t="s">
        <v>4</v>
      </c>
      <c r="B13" t="s">
        <v>1349</v>
      </c>
      <c r="C13" t="s">
        <v>1114</v>
      </c>
      <c r="D13">
        <v>2</v>
      </c>
    </row>
    <row r="14" spans="1:4" x14ac:dyDescent="0.25">
      <c r="A14" t="s">
        <v>4</v>
      </c>
      <c r="B14" t="s">
        <v>1038</v>
      </c>
      <c r="C14" t="s">
        <v>921</v>
      </c>
      <c r="D14">
        <v>1</v>
      </c>
    </row>
    <row r="15" spans="1:4" x14ac:dyDescent="0.25">
      <c r="A15" t="s">
        <v>4</v>
      </c>
      <c r="B15" t="s">
        <v>1038</v>
      </c>
      <c r="C15" t="s">
        <v>2121</v>
      </c>
      <c r="D15">
        <v>0</v>
      </c>
    </row>
    <row r="16" spans="1:4" x14ac:dyDescent="0.25">
      <c r="A16" t="s">
        <v>4</v>
      </c>
      <c r="B16" t="s">
        <v>1638</v>
      </c>
      <c r="C16" t="s">
        <v>1876</v>
      </c>
      <c r="D16">
        <v>3</v>
      </c>
    </row>
    <row r="17" spans="1:4" x14ac:dyDescent="0.25">
      <c r="A17" t="s">
        <v>4</v>
      </c>
      <c r="B17" t="s">
        <v>198</v>
      </c>
      <c r="C17" t="s">
        <v>2721</v>
      </c>
      <c r="D17">
        <v>0</v>
      </c>
    </row>
    <row r="18" spans="1:4" x14ac:dyDescent="0.25">
      <c r="A18" t="s">
        <v>4</v>
      </c>
      <c r="B18" t="s">
        <v>996</v>
      </c>
      <c r="C18" t="s">
        <v>2722</v>
      </c>
      <c r="D18">
        <v>-3</v>
      </c>
    </row>
    <row r="19" spans="1:4" x14ac:dyDescent="0.25">
      <c r="A19" t="s">
        <v>4</v>
      </c>
      <c r="B19" t="s">
        <v>673</v>
      </c>
      <c r="C19" t="s">
        <v>44</v>
      </c>
      <c r="D19">
        <v>-2</v>
      </c>
    </row>
    <row r="20" spans="1:4" x14ac:dyDescent="0.25">
      <c r="A20" t="s">
        <v>4</v>
      </c>
      <c r="B20" t="s">
        <v>556</v>
      </c>
      <c r="C20" t="s">
        <v>46</v>
      </c>
      <c r="D20">
        <v>-5</v>
      </c>
    </row>
    <row r="21" spans="1:4" x14ac:dyDescent="0.25">
      <c r="A21" t="s">
        <v>4</v>
      </c>
      <c r="B21" t="s">
        <v>235</v>
      </c>
      <c r="C21" t="s">
        <v>1711</v>
      </c>
      <c r="D21">
        <v>-8</v>
      </c>
    </row>
    <row r="22" spans="1:4" x14ac:dyDescent="0.25">
      <c r="A22" t="s">
        <v>40</v>
      </c>
      <c r="B22" t="s">
        <v>1267</v>
      </c>
      <c r="C22" t="s">
        <v>2723</v>
      </c>
      <c r="D22">
        <v>-10</v>
      </c>
    </row>
    <row r="23" spans="1:4" x14ac:dyDescent="0.25">
      <c r="A23" t="s">
        <v>40</v>
      </c>
      <c r="B23" t="s">
        <v>211</v>
      </c>
      <c r="C23" t="s">
        <v>2724</v>
      </c>
      <c r="D23">
        <v>-8</v>
      </c>
    </row>
    <row r="24" spans="1:4" x14ac:dyDescent="0.25">
      <c r="A24" t="s">
        <v>40</v>
      </c>
      <c r="B24" t="s">
        <v>275</v>
      </c>
      <c r="C24" t="s">
        <v>55</v>
      </c>
      <c r="D24">
        <v>-6</v>
      </c>
    </row>
    <row r="25" spans="1:4" x14ac:dyDescent="0.25">
      <c r="A25" t="s">
        <v>40</v>
      </c>
      <c r="B25" t="s">
        <v>1417</v>
      </c>
      <c r="C25" t="s">
        <v>801</v>
      </c>
      <c r="D25">
        <v>-7</v>
      </c>
    </row>
    <row r="26" spans="1:4" x14ac:dyDescent="0.25">
      <c r="A26" t="s">
        <v>40</v>
      </c>
      <c r="B26" t="s">
        <v>832</v>
      </c>
      <c r="C26" t="s">
        <v>599</v>
      </c>
      <c r="D26">
        <v>-4</v>
      </c>
    </row>
    <row r="27" spans="1:4" x14ac:dyDescent="0.25">
      <c r="A27" t="s">
        <v>40</v>
      </c>
      <c r="B27" t="s">
        <v>366</v>
      </c>
      <c r="C27" t="s">
        <v>2209</v>
      </c>
      <c r="D27">
        <v>-5</v>
      </c>
    </row>
    <row r="28" spans="1:4" x14ac:dyDescent="0.25">
      <c r="A28" t="s">
        <v>40</v>
      </c>
      <c r="B28" t="s">
        <v>366</v>
      </c>
      <c r="C28" t="s">
        <v>1662</v>
      </c>
      <c r="D28">
        <v>-6</v>
      </c>
    </row>
    <row r="29" spans="1:4" x14ac:dyDescent="0.25">
      <c r="A29" t="s">
        <v>40</v>
      </c>
      <c r="B29" t="s">
        <v>60</v>
      </c>
      <c r="C29" t="s">
        <v>1663</v>
      </c>
      <c r="D29">
        <v>-3</v>
      </c>
    </row>
    <row r="30" spans="1:4" x14ac:dyDescent="0.25">
      <c r="A30" t="s">
        <v>40</v>
      </c>
      <c r="B30" t="s">
        <v>219</v>
      </c>
      <c r="C30" t="s">
        <v>1716</v>
      </c>
      <c r="D30">
        <v>-4</v>
      </c>
    </row>
    <row r="31" spans="1:4" x14ac:dyDescent="0.25">
      <c r="A31" t="s">
        <v>40</v>
      </c>
      <c r="B31" t="s">
        <v>219</v>
      </c>
      <c r="C31" t="s">
        <v>2485</v>
      </c>
      <c r="D31">
        <v>-5</v>
      </c>
    </row>
    <row r="32" spans="1:4" x14ac:dyDescent="0.25">
      <c r="A32" t="s">
        <v>40</v>
      </c>
      <c r="B32" t="s">
        <v>313</v>
      </c>
      <c r="C32" t="s">
        <v>1515</v>
      </c>
      <c r="D32">
        <v>-3</v>
      </c>
    </row>
    <row r="33" spans="1:4" x14ac:dyDescent="0.25">
      <c r="A33" t="s">
        <v>40</v>
      </c>
      <c r="B33" t="s">
        <v>600</v>
      </c>
      <c r="C33" t="s">
        <v>1134</v>
      </c>
      <c r="D33">
        <v>-1</v>
      </c>
    </row>
    <row r="34" spans="1:4" x14ac:dyDescent="0.25">
      <c r="A34" t="s">
        <v>40</v>
      </c>
      <c r="B34" t="s">
        <v>1198</v>
      </c>
      <c r="C34" t="s">
        <v>2129</v>
      </c>
      <c r="D34">
        <v>-3</v>
      </c>
    </row>
    <row r="35" spans="1:4" x14ac:dyDescent="0.25">
      <c r="A35" t="s">
        <v>40</v>
      </c>
      <c r="B35" t="s">
        <v>67</v>
      </c>
      <c r="C35" t="s">
        <v>2725</v>
      </c>
      <c r="D35">
        <v>-1</v>
      </c>
    </row>
    <row r="36" spans="1:4" x14ac:dyDescent="0.25">
      <c r="A36" t="s">
        <v>40</v>
      </c>
      <c r="B36" t="s">
        <v>25</v>
      </c>
      <c r="C36" t="s">
        <v>2131</v>
      </c>
      <c r="D36">
        <v>-4</v>
      </c>
    </row>
    <row r="37" spans="1:4" x14ac:dyDescent="0.25">
      <c r="A37" t="s">
        <v>40</v>
      </c>
      <c r="B37" t="s">
        <v>70</v>
      </c>
      <c r="C37" t="s">
        <v>2726</v>
      </c>
      <c r="D37">
        <v>-6</v>
      </c>
    </row>
    <row r="38" spans="1:4" x14ac:dyDescent="0.25">
      <c r="A38" t="s">
        <v>40</v>
      </c>
      <c r="B38" t="s">
        <v>1129</v>
      </c>
      <c r="C38" t="s">
        <v>1831</v>
      </c>
      <c r="D38">
        <v>-4</v>
      </c>
    </row>
    <row r="39" spans="1:4" x14ac:dyDescent="0.25">
      <c r="A39" t="s">
        <v>40</v>
      </c>
      <c r="B39" t="s">
        <v>788</v>
      </c>
      <c r="C39" t="s">
        <v>1832</v>
      </c>
      <c r="D39">
        <v>-6</v>
      </c>
    </row>
    <row r="40" spans="1:4" x14ac:dyDescent="0.25">
      <c r="A40" t="s">
        <v>40</v>
      </c>
      <c r="B40" t="s">
        <v>320</v>
      </c>
      <c r="C40" t="s">
        <v>617</v>
      </c>
      <c r="D40">
        <v>-4</v>
      </c>
    </row>
    <row r="41" spans="1:4" x14ac:dyDescent="0.25">
      <c r="A41" t="s">
        <v>40</v>
      </c>
      <c r="B41" t="s">
        <v>710</v>
      </c>
      <c r="C41" t="s">
        <v>619</v>
      </c>
      <c r="D41">
        <v>-7</v>
      </c>
    </row>
    <row r="42" spans="1:4" x14ac:dyDescent="0.25">
      <c r="A42" t="s">
        <v>40</v>
      </c>
      <c r="B42" t="s">
        <v>999</v>
      </c>
      <c r="C42" t="s">
        <v>92</v>
      </c>
      <c r="D42">
        <v>-5</v>
      </c>
    </row>
    <row r="43" spans="1:4" x14ac:dyDescent="0.25">
      <c r="A43" t="s">
        <v>40</v>
      </c>
      <c r="B43" t="s">
        <v>1733</v>
      </c>
      <c r="C43" t="s">
        <v>94</v>
      </c>
      <c r="D43">
        <v>-4</v>
      </c>
    </row>
    <row r="44" spans="1:4" x14ac:dyDescent="0.25">
      <c r="A44" t="s">
        <v>40</v>
      </c>
      <c r="B44" t="s">
        <v>1733</v>
      </c>
      <c r="C44" t="s">
        <v>1763</v>
      </c>
      <c r="D44">
        <v>-3</v>
      </c>
    </row>
    <row r="45" spans="1:4" x14ac:dyDescent="0.25">
      <c r="A45" t="s">
        <v>40</v>
      </c>
      <c r="B45" t="s">
        <v>559</v>
      </c>
      <c r="C45" t="s">
        <v>738</v>
      </c>
      <c r="D45">
        <v>-1</v>
      </c>
    </row>
    <row r="46" spans="1:4" x14ac:dyDescent="0.25">
      <c r="A46" t="s">
        <v>40</v>
      </c>
      <c r="B46" t="s">
        <v>559</v>
      </c>
      <c r="C46" t="s">
        <v>2310</v>
      </c>
      <c r="D46">
        <v>0</v>
      </c>
    </row>
    <row r="47" spans="1:4" x14ac:dyDescent="0.25">
      <c r="A47" t="s">
        <v>80</v>
      </c>
      <c r="B47" t="s">
        <v>41</v>
      </c>
      <c r="C47" t="s">
        <v>373</v>
      </c>
      <c r="D47">
        <v>3</v>
      </c>
    </row>
    <row r="48" spans="1:4" x14ac:dyDescent="0.25">
      <c r="A48" t="s">
        <v>80</v>
      </c>
      <c r="B48" t="s">
        <v>1138</v>
      </c>
      <c r="C48" t="s">
        <v>375</v>
      </c>
      <c r="D48">
        <v>1</v>
      </c>
    </row>
    <row r="49" spans="1:4" x14ac:dyDescent="0.25">
      <c r="A49" t="s">
        <v>80</v>
      </c>
      <c r="B49" t="s">
        <v>2443</v>
      </c>
      <c r="C49" t="s">
        <v>2727</v>
      </c>
      <c r="D49">
        <v>4</v>
      </c>
    </row>
    <row r="50" spans="1:4" x14ac:dyDescent="0.25">
      <c r="A50" t="s">
        <v>80</v>
      </c>
      <c r="B50" t="s">
        <v>271</v>
      </c>
      <c r="C50" t="s">
        <v>1526</v>
      </c>
      <c r="D50">
        <v>5</v>
      </c>
    </row>
    <row r="51" spans="1:4" x14ac:dyDescent="0.25">
      <c r="A51" t="s">
        <v>80</v>
      </c>
      <c r="B51" t="s">
        <v>1408</v>
      </c>
      <c r="C51" t="s">
        <v>2728</v>
      </c>
      <c r="D51">
        <v>7</v>
      </c>
    </row>
    <row r="52" spans="1:4" x14ac:dyDescent="0.25">
      <c r="A52" t="s">
        <v>80</v>
      </c>
      <c r="B52" t="s">
        <v>1824</v>
      </c>
      <c r="C52" t="s">
        <v>496</v>
      </c>
      <c r="D52">
        <v>4</v>
      </c>
    </row>
    <row r="53" spans="1:4" x14ac:dyDescent="0.25">
      <c r="A53" t="s">
        <v>80</v>
      </c>
      <c r="B53" t="s">
        <v>1529</v>
      </c>
      <c r="C53" t="s">
        <v>383</v>
      </c>
      <c r="D53">
        <v>2</v>
      </c>
    </row>
    <row r="54" spans="1:4" x14ac:dyDescent="0.25">
      <c r="A54" t="s">
        <v>80</v>
      </c>
      <c r="B54" t="s">
        <v>1693</v>
      </c>
      <c r="C54" t="s">
        <v>385</v>
      </c>
      <c r="D54">
        <v>0</v>
      </c>
    </row>
    <row r="55" spans="1:4" x14ac:dyDescent="0.25">
      <c r="A55" t="s">
        <v>80</v>
      </c>
      <c r="B55" t="s">
        <v>1724</v>
      </c>
      <c r="C55" t="s">
        <v>387</v>
      </c>
      <c r="D55">
        <v>2</v>
      </c>
    </row>
    <row r="56" spans="1:4" x14ac:dyDescent="0.25">
      <c r="A56" t="s">
        <v>80</v>
      </c>
      <c r="B56" t="s">
        <v>186</v>
      </c>
      <c r="C56" t="s">
        <v>2340</v>
      </c>
      <c r="D56">
        <v>4</v>
      </c>
    </row>
    <row r="57" spans="1:4" x14ac:dyDescent="0.25">
      <c r="A57" t="s">
        <v>80</v>
      </c>
      <c r="B57" t="s">
        <v>313</v>
      </c>
      <c r="C57" t="s">
        <v>501</v>
      </c>
      <c r="D57">
        <v>6</v>
      </c>
    </row>
    <row r="58" spans="1:4" x14ac:dyDescent="0.25">
      <c r="A58" t="s">
        <v>80</v>
      </c>
      <c r="B58" t="s">
        <v>805</v>
      </c>
      <c r="C58" t="s">
        <v>502</v>
      </c>
      <c r="D58">
        <v>4</v>
      </c>
    </row>
    <row r="59" spans="1:4" x14ac:dyDescent="0.25">
      <c r="A59" t="s">
        <v>80</v>
      </c>
      <c r="B59" t="s">
        <v>743</v>
      </c>
      <c r="C59" t="s">
        <v>1168</v>
      </c>
      <c r="D59">
        <v>7</v>
      </c>
    </row>
    <row r="60" spans="1:4" x14ac:dyDescent="0.25">
      <c r="A60" t="s">
        <v>80</v>
      </c>
      <c r="B60" t="s">
        <v>1038</v>
      </c>
      <c r="C60" t="s">
        <v>2729</v>
      </c>
      <c r="D60">
        <v>8</v>
      </c>
    </row>
    <row r="61" spans="1:4" x14ac:dyDescent="0.25">
      <c r="A61" t="s">
        <v>80</v>
      </c>
      <c r="B61" t="s">
        <v>1038</v>
      </c>
      <c r="C61" t="s">
        <v>1468</v>
      </c>
      <c r="D61">
        <v>9</v>
      </c>
    </row>
    <row r="62" spans="1:4" x14ac:dyDescent="0.25">
      <c r="A62" t="s">
        <v>80</v>
      </c>
      <c r="B62" t="s">
        <v>605</v>
      </c>
      <c r="C62" t="s">
        <v>1469</v>
      </c>
      <c r="D62">
        <v>11</v>
      </c>
    </row>
    <row r="63" spans="1:4" x14ac:dyDescent="0.25">
      <c r="A63" t="s">
        <v>80</v>
      </c>
      <c r="B63" t="s">
        <v>845</v>
      </c>
      <c r="C63" t="s">
        <v>1612</v>
      </c>
      <c r="D63">
        <v>9</v>
      </c>
    </row>
    <row r="64" spans="1:4" x14ac:dyDescent="0.25">
      <c r="A64" t="s">
        <v>80</v>
      </c>
      <c r="B64" t="s">
        <v>389</v>
      </c>
      <c r="C64" t="s">
        <v>1614</v>
      </c>
      <c r="D64">
        <v>7</v>
      </c>
    </row>
    <row r="65" spans="1:4" x14ac:dyDescent="0.25">
      <c r="A65" t="s">
        <v>80</v>
      </c>
      <c r="B65" t="s">
        <v>231</v>
      </c>
      <c r="C65" t="s">
        <v>2730</v>
      </c>
      <c r="D65">
        <v>8</v>
      </c>
    </row>
    <row r="66" spans="1:4" x14ac:dyDescent="0.25">
      <c r="A66" t="s">
        <v>80</v>
      </c>
      <c r="B66" t="s">
        <v>231</v>
      </c>
      <c r="C66" t="s">
        <v>403</v>
      </c>
      <c r="D66">
        <v>9</v>
      </c>
    </row>
    <row r="67" spans="1:4" x14ac:dyDescent="0.25">
      <c r="A67" t="s">
        <v>80</v>
      </c>
      <c r="B67" t="s">
        <v>31</v>
      </c>
      <c r="C67" t="s">
        <v>404</v>
      </c>
      <c r="D67">
        <v>7</v>
      </c>
    </row>
    <row r="68" spans="1:4" x14ac:dyDescent="0.25">
      <c r="A68" t="s">
        <v>80</v>
      </c>
      <c r="B68" t="s">
        <v>1204</v>
      </c>
      <c r="C68" t="s">
        <v>2731</v>
      </c>
      <c r="D68">
        <v>6</v>
      </c>
    </row>
    <row r="69" spans="1:4" x14ac:dyDescent="0.25">
      <c r="A69" t="s">
        <v>80</v>
      </c>
      <c r="B69" t="s">
        <v>1204</v>
      </c>
      <c r="C69" t="s">
        <v>2556</v>
      </c>
      <c r="D69">
        <v>5</v>
      </c>
    </row>
    <row r="70" spans="1:4" x14ac:dyDescent="0.25">
      <c r="A70" t="s">
        <v>80</v>
      </c>
      <c r="B70" t="s">
        <v>394</v>
      </c>
      <c r="C70" t="s">
        <v>1178</v>
      </c>
      <c r="D70">
        <v>4</v>
      </c>
    </row>
    <row r="71" spans="1:4" x14ac:dyDescent="0.25">
      <c r="A71" t="s">
        <v>80</v>
      </c>
      <c r="B71" t="s">
        <v>154</v>
      </c>
      <c r="C71" t="s">
        <v>763</v>
      </c>
      <c r="D71">
        <v>5</v>
      </c>
    </row>
    <row r="72" spans="1:4" x14ac:dyDescent="0.25">
      <c r="A72" t="s">
        <v>80</v>
      </c>
      <c r="B72" t="s">
        <v>154</v>
      </c>
      <c r="C72" t="s">
        <v>1179</v>
      </c>
      <c r="D72">
        <v>6</v>
      </c>
    </row>
    <row r="73" spans="1:4" x14ac:dyDescent="0.25">
      <c r="A73" t="s">
        <v>80</v>
      </c>
      <c r="B73" t="s">
        <v>1276</v>
      </c>
      <c r="C73" t="s">
        <v>410</v>
      </c>
      <c r="D73">
        <v>5</v>
      </c>
    </row>
    <row r="74" spans="1:4" x14ac:dyDescent="0.25">
      <c r="A74" t="s">
        <v>80</v>
      </c>
      <c r="B74" t="s">
        <v>508</v>
      </c>
      <c r="C74" t="s">
        <v>2732</v>
      </c>
      <c r="D74">
        <v>3</v>
      </c>
    </row>
    <row r="75" spans="1:4" x14ac:dyDescent="0.25">
      <c r="A75" t="s">
        <v>123</v>
      </c>
      <c r="B75" t="s">
        <v>1664</v>
      </c>
      <c r="C75" t="s">
        <v>2733</v>
      </c>
      <c r="D75">
        <v>5</v>
      </c>
    </row>
    <row r="76" spans="1:4" x14ac:dyDescent="0.25">
      <c r="A76" t="s">
        <v>123</v>
      </c>
      <c r="B76" t="s">
        <v>7</v>
      </c>
      <c r="C76" t="s">
        <v>2734</v>
      </c>
      <c r="D76">
        <v>3</v>
      </c>
    </row>
    <row r="77" spans="1:4" x14ac:dyDescent="0.25">
      <c r="A77" t="s">
        <v>123</v>
      </c>
      <c r="B77" t="s">
        <v>273</v>
      </c>
      <c r="C77" t="s">
        <v>665</v>
      </c>
      <c r="D77">
        <v>1</v>
      </c>
    </row>
    <row r="78" spans="1:4" x14ac:dyDescent="0.25">
      <c r="A78" t="s">
        <v>123</v>
      </c>
      <c r="B78" t="s">
        <v>1117</v>
      </c>
      <c r="C78" t="s">
        <v>666</v>
      </c>
      <c r="D78">
        <v>3</v>
      </c>
    </row>
    <row r="79" spans="1:4" x14ac:dyDescent="0.25">
      <c r="A79" t="s">
        <v>123</v>
      </c>
      <c r="B79" t="s">
        <v>778</v>
      </c>
      <c r="C79" t="s">
        <v>668</v>
      </c>
      <c r="D79">
        <v>2</v>
      </c>
    </row>
    <row r="80" spans="1:4" x14ac:dyDescent="0.25">
      <c r="A80" t="s">
        <v>123</v>
      </c>
      <c r="B80" t="s">
        <v>590</v>
      </c>
      <c r="C80" t="s">
        <v>528</v>
      </c>
      <c r="D80">
        <v>0</v>
      </c>
    </row>
    <row r="81" spans="1:4" x14ac:dyDescent="0.25">
      <c r="A81" t="s">
        <v>123</v>
      </c>
      <c r="B81" t="s">
        <v>361</v>
      </c>
      <c r="C81" t="s">
        <v>2735</v>
      </c>
      <c r="D81">
        <v>1</v>
      </c>
    </row>
    <row r="82" spans="1:4" x14ac:dyDescent="0.25">
      <c r="A82" t="s">
        <v>123</v>
      </c>
      <c r="B82" t="s">
        <v>361</v>
      </c>
      <c r="C82" t="s">
        <v>672</v>
      </c>
      <c r="D82">
        <v>2</v>
      </c>
    </row>
    <row r="83" spans="1:4" x14ac:dyDescent="0.25">
      <c r="A83" t="s">
        <v>123</v>
      </c>
      <c r="B83" t="s">
        <v>1086</v>
      </c>
      <c r="C83" t="s">
        <v>533</v>
      </c>
      <c r="D83">
        <v>0</v>
      </c>
    </row>
    <row r="84" spans="1:4" x14ac:dyDescent="0.25">
      <c r="A84" t="s">
        <v>123</v>
      </c>
      <c r="B84" t="s">
        <v>916</v>
      </c>
      <c r="C84" t="s">
        <v>2318</v>
      </c>
      <c r="D84">
        <v>2</v>
      </c>
    </row>
    <row r="85" spans="1:4" x14ac:dyDescent="0.25">
      <c r="A85" t="s">
        <v>123</v>
      </c>
      <c r="B85" t="s">
        <v>1723</v>
      </c>
      <c r="C85" t="s">
        <v>2736</v>
      </c>
      <c r="D85">
        <v>0</v>
      </c>
    </row>
    <row r="86" spans="1:4" x14ac:dyDescent="0.25">
      <c r="A86" t="s">
        <v>123</v>
      </c>
      <c r="B86" t="s">
        <v>138</v>
      </c>
      <c r="C86" t="s">
        <v>2737</v>
      </c>
      <c r="D86">
        <v>-2</v>
      </c>
    </row>
    <row r="87" spans="1:4" x14ac:dyDescent="0.25">
      <c r="A87" t="s">
        <v>123</v>
      </c>
      <c r="B87" t="s">
        <v>138</v>
      </c>
      <c r="C87" t="s">
        <v>2348</v>
      </c>
      <c r="D87">
        <v>-3</v>
      </c>
    </row>
    <row r="88" spans="1:4" x14ac:dyDescent="0.25">
      <c r="A88" t="s">
        <v>123</v>
      </c>
      <c r="B88" t="s">
        <v>499</v>
      </c>
      <c r="C88" t="s">
        <v>2738</v>
      </c>
      <c r="D88">
        <v>-1</v>
      </c>
    </row>
    <row r="89" spans="1:4" x14ac:dyDescent="0.25">
      <c r="A89" t="s">
        <v>123</v>
      </c>
      <c r="B89" t="s">
        <v>628</v>
      </c>
      <c r="C89" t="s">
        <v>2739</v>
      </c>
      <c r="D89">
        <v>0</v>
      </c>
    </row>
    <row r="90" spans="1:4" x14ac:dyDescent="0.25">
      <c r="A90" t="s">
        <v>123</v>
      </c>
      <c r="B90" t="s">
        <v>628</v>
      </c>
      <c r="C90" t="s">
        <v>2740</v>
      </c>
      <c r="D90">
        <v>1</v>
      </c>
    </row>
    <row r="91" spans="1:4" x14ac:dyDescent="0.25">
      <c r="A91" t="s">
        <v>123</v>
      </c>
      <c r="B91" t="s">
        <v>605</v>
      </c>
      <c r="C91" t="s">
        <v>2709</v>
      </c>
      <c r="D91">
        <v>0</v>
      </c>
    </row>
    <row r="92" spans="1:4" x14ac:dyDescent="0.25">
      <c r="A92" t="s">
        <v>123</v>
      </c>
      <c r="B92" t="s">
        <v>605</v>
      </c>
      <c r="C92" t="s">
        <v>2710</v>
      </c>
      <c r="D92">
        <v>-1</v>
      </c>
    </row>
    <row r="93" spans="1:4" x14ac:dyDescent="0.25">
      <c r="A93" t="s">
        <v>123</v>
      </c>
      <c r="B93" t="s">
        <v>290</v>
      </c>
      <c r="C93" t="s">
        <v>2741</v>
      </c>
      <c r="D93">
        <v>0</v>
      </c>
    </row>
    <row r="94" spans="1:4" x14ac:dyDescent="0.25">
      <c r="A94" t="s">
        <v>123</v>
      </c>
      <c r="B94" t="s">
        <v>290</v>
      </c>
      <c r="C94" t="s">
        <v>2742</v>
      </c>
      <c r="D94">
        <v>1</v>
      </c>
    </row>
    <row r="95" spans="1:4" x14ac:dyDescent="0.25">
      <c r="A95" t="s">
        <v>123</v>
      </c>
      <c r="B95" t="s">
        <v>1398</v>
      </c>
      <c r="C95" t="s">
        <v>2743</v>
      </c>
      <c r="D95">
        <v>-1</v>
      </c>
    </row>
    <row r="96" spans="1:4" x14ac:dyDescent="0.25">
      <c r="A96" t="s">
        <v>123</v>
      </c>
      <c r="B96" t="s">
        <v>1339</v>
      </c>
      <c r="C96" t="s">
        <v>1632</v>
      </c>
      <c r="D96">
        <v>1</v>
      </c>
    </row>
    <row r="97" spans="1:4" x14ac:dyDescent="0.25">
      <c r="A97" t="s">
        <v>123</v>
      </c>
      <c r="B97" t="s">
        <v>202</v>
      </c>
      <c r="C97" t="s">
        <v>2715</v>
      </c>
      <c r="D97">
        <v>-2</v>
      </c>
    </row>
    <row r="98" spans="1:4" x14ac:dyDescent="0.25">
      <c r="A98" t="s">
        <v>123</v>
      </c>
      <c r="B98" t="s">
        <v>556</v>
      </c>
      <c r="C98" t="s">
        <v>875</v>
      </c>
      <c r="D98">
        <v>-1</v>
      </c>
    </row>
    <row r="99" spans="1:4" x14ac:dyDescent="0.25">
      <c r="A99" t="s">
        <v>123</v>
      </c>
      <c r="B99" t="s">
        <v>556</v>
      </c>
      <c r="C99" t="s">
        <v>2744</v>
      </c>
      <c r="D99">
        <v>0</v>
      </c>
    </row>
    <row r="100" spans="1:4" x14ac:dyDescent="0.25">
      <c r="A100" t="s">
        <v>123</v>
      </c>
      <c r="B100" t="s">
        <v>770</v>
      </c>
      <c r="C100" t="s">
        <v>2745</v>
      </c>
      <c r="D100">
        <v>3</v>
      </c>
    </row>
    <row r="102" spans="1:4" x14ac:dyDescent="0.25">
      <c r="A102" s="2" t="s">
        <v>157</v>
      </c>
    </row>
    <row r="103" spans="1:4" x14ac:dyDescent="0.25">
      <c r="A103" t="s">
        <v>158</v>
      </c>
      <c r="D103">
        <f>AVERAGE(D2:D100)</f>
        <v>0.58585858585858586</v>
      </c>
    </row>
    <row r="104" spans="1:4" x14ac:dyDescent="0.25">
      <c r="A104" t="s">
        <v>159</v>
      </c>
      <c r="D104">
        <f>MAX(D2:D100)</f>
        <v>11</v>
      </c>
    </row>
    <row r="105" spans="1:4" x14ac:dyDescent="0.25">
      <c r="A105" t="s">
        <v>160</v>
      </c>
      <c r="D105">
        <f>MIN(D2:D100)</f>
        <v>-10</v>
      </c>
    </row>
    <row r="106" spans="1:4" x14ac:dyDescent="0.25">
      <c r="A106" t="s">
        <v>161</v>
      </c>
      <c r="D106">
        <f>COUNTIF(D2:D100,"&gt;0")</f>
        <v>48</v>
      </c>
    </row>
    <row r="107" spans="1:4" x14ac:dyDescent="0.25">
      <c r="A107" t="s">
        <v>162</v>
      </c>
      <c r="D107">
        <f>COUNTIF(D2:D100,"=0")</f>
        <v>12</v>
      </c>
    </row>
    <row r="108" spans="1:4" x14ac:dyDescent="0.25">
      <c r="A108" t="s">
        <v>561</v>
      </c>
      <c r="D108">
        <f>COUNTIF(D2:D100,"&lt;0")</f>
        <v>39</v>
      </c>
    </row>
    <row r="110" spans="1:4" x14ac:dyDescent="0.25">
      <c r="A110" s="2" t="s">
        <v>164</v>
      </c>
    </row>
    <row r="111" spans="1:4" x14ac:dyDescent="0.25">
      <c r="A111" t="s">
        <v>165</v>
      </c>
      <c r="D111">
        <f>AVERAGE(D2,D3,D4,D5,D6,D7,D8,D9,D10,D11,D12,D13,D14,D15,D16,D17,D18,D19,D20,D21)</f>
        <v>0.15</v>
      </c>
    </row>
    <row r="112" spans="1:4" x14ac:dyDescent="0.25">
      <c r="A112" t="s">
        <v>166</v>
      </c>
      <c r="D112">
        <f>AVERAGE(D22,D23,D24,D25,D26,D27,D28,D29,D30,D31,D32,D33,D34,D35,D36,D37,D38,D39,D40,D41,D42,D43,D44,D45,D46)</f>
        <v>-4.4000000000000004</v>
      </c>
    </row>
    <row r="113" spans="1:4" x14ac:dyDescent="0.25">
      <c r="A113" t="s">
        <v>167</v>
      </c>
      <c r="D113">
        <f>AVERAGE(D47,D48,D49,D50,D51,D52,D53,D54,D55,D56,D57,D58,D59,D60,D61,D62,D63,D64,D65,D66,D67,D68,D69,D70,D71,D72,D73,D74)</f>
        <v>5.3928571428571432</v>
      </c>
    </row>
    <row r="114" spans="1:4" x14ac:dyDescent="0.25">
      <c r="A114" t="s">
        <v>168</v>
      </c>
      <c r="D114">
        <f>AVERAGE(D75,D76,D77,D78,D79,D80,D81,D82,D83,D84,D85,D86,D87,D88,D89,D90,D91,D92,D93,D94,D95,D96,D97,D98,D99,D100)</f>
        <v>0.53846153846153844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795</v>
      </c>
      <c r="C2" t="s">
        <v>908</v>
      </c>
      <c r="D2">
        <v>-2</v>
      </c>
    </row>
    <row r="3" spans="1:4" x14ac:dyDescent="0.25">
      <c r="A3" t="s">
        <v>4</v>
      </c>
      <c r="B3" t="s">
        <v>242</v>
      </c>
      <c r="C3" t="s">
        <v>909</v>
      </c>
      <c r="D3">
        <v>-5</v>
      </c>
    </row>
    <row r="4" spans="1:4" x14ac:dyDescent="0.25">
      <c r="A4" t="s">
        <v>4</v>
      </c>
      <c r="B4" t="s">
        <v>1431</v>
      </c>
      <c r="C4" t="s">
        <v>2199</v>
      </c>
      <c r="D4">
        <v>-7</v>
      </c>
    </row>
    <row r="5" spans="1:4" x14ac:dyDescent="0.25">
      <c r="A5" t="s">
        <v>4</v>
      </c>
      <c r="B5" t="s">
        <v>1117</v>
      </c>
      <c r="C5" t="s">
        <v>2746</v>
      </c>
      <c r="D5">
        <v>-8</v>
      </c>
    </row>
    <row r="6" spans="1:4" x14ac:dyDescent="0.25">
      <c r="A6" t="s">
        <v>4</v>
      </c>
      <c r="B6" t="s">
        <v>1117</v>
      </c>
      <c r="C6" t="s">
        <v>2747</v>
      </c>
      <c r="D6">
        <v>-9</v>
      </c>
    </row>
    <row r="7" spans="1:4" x14ac:dyDescent="0.25">
      <c r="A7" t="s">
        <v>4</v>
      </c>
      <c r="B7" t="s">
        <v>208</v>
      </c>
      <c r="C7" t="s">
        <v>2748</v>
      </c>
      <c r="D7">
        <v>-12</v>
      </c>
    </row>
    <row r="8" spans="1:4" x14ac:dyDescent="0.25">
      <c r="A8" t="s">
        <v>4</v>
      </c>
      <c r="B8" t="s">
        <v>1824</v>
      </c>
      <c r="C8" t="s">
        <v>2749</v>
      </c>
      <c r="D8">
        <v>-10</v>
      </c>
    </row>
    <row r="9" spans="1:4" x14ac:dyDescent="0.25">
      <c r="A9" t="s">
        <v>4</v>
      </c>
      <c r="B9" t="s">
        <v>1248</v>
      </c>
      <c r="C9" t="s">
        <v>2750</v>
      </c>
      <c r="D9">
        <v>-8</v>
      </c>
    </row>
    <row r="10" spans="1:4" x14ac:dyDescent="0.25">
      <c r="A10" t="s">
        <v>4</v>
      </c>
      <c r="B10" t="s">
        <v>1549</v>
      </c>
      <c r="C10" t="s">
        <v>2751</v>
      </c>
      <c r="D10">
        <v>-10</v>
      </c>
    </row>
    <row r="11" spans="1:4" x14ac:dyDescent="0.25">
      <c r="A11" t="s">
        <v>4</v>
      </c>
      <c r="B11" t="s">
        <v>1549</v>
      </c>
      <c r="C11" t="s">
        <v>2752</v>
      </c>
      <c r="D11">
        <v>-11</v>
      </c>
    </row>
    <row r="12" spans="1:4" x14ac:dyDescent="0.25">
      <c r="A12" t="s">
        <v>4</v>
      </c>
      <c r="B12" t="s">
        <v>623</v>
      </c>
      <c r="C12" t="s">
        <v>2753</v>
      </c>
      <c r="D12">
        <v>-9</v>
      </c>
    </row>
    <row r="13" spans="1:4" x14ac:dyDescent="0.25">
      <c r="A13" t="s">
        <v>4</v>
      </c>
      <c r="B13" t="s">
        <v>1105</v>
      </c>
      <c r="C13" t="s">
        <v>2754</v>
      </c>
      <c r="D13">
        <v>-7</v>
      </c>
    </row>
    <row r="14" spans="1:4" x14ac:dyDescent="0.25">
      <c r="A14" t="s">
        <v>4</v>
      </c>
      <c r="B14" t="s">
        <v>2158</v>
      </c>
      <c r="C14" t="s">
        <v>1643</v>
      </c>
      <c r="D14">
        <v>-9</v>
      </c>
    </row>
    <row r="15" spans="1:4" x14ac:dyDescent="0.25">
      <c r="A15" t="s">
        <v>4</v>
      </c>
      <c r="B15" t="s">
        <v>874</v>
      </c>
      <c r="C15" t="s">
        <v>2397</v>
      </c>
      <c r="D15">
        <v>-6</v>
      </c>
    </row>
    <row r="16" spans="1:4" x14ac:dyDescent="0.25">
      <c r="A16" t="s">
        <v>4</v>
      </c>
      <c r="B16" t="s">
        <v>805</v>
      </c>
      <c r="C16" t="s">
        <v>2398</v>
      </c>
      <c r="D16">
        <v>-9</v>
      </c>
    </row>
    <row r="17" spans="1:4" x14ac:dyDescent="0.25">
      <c r="A17" t="s">
        <v>4</v>
      </c>
      <c r="B17" t="s">
        <v>285</v>
      </c>
      <c r="C17" t="s">
        <v>2400</v>
      </c>
      <c r="D17">
        <v>-11</v>
      </c>
    </row>
    <row r="18" spans="1:4" x14ac:dyDescent="0.25">
      <c r="A18" t="s">
        <v>4</v>
      </c>
      <c r="B18" t="s">
        <v>749</v>
      </c>
      <c r="C18" t="s">
        <v>2401</v>
      </c>
      <c r="D18">
        <v>-13</v>
      </c>
    </row>
    <row r="19" spans="1:4" x14ac:dyDescent="0.25">
      <c r="A19" t="s">
        <v>4</v>
      </c>
      <c r="B19" t="s">
        <v>749</v>
      </c>
      <c r="C19" t="s">
        <v>2755</v>
      </c>
      <c r="D19">
        <v>-14</v>
      </c>
    </row>
    <row r="20" spans="1:4" x14ac:dyDescent="0.25">
      <c r="A20" t="s">
        <v>4</v>
      </c>
      <c r="B20" t="s">
        <v>228</v>
      </c>
      <c r="C20" t="s">
        <v>2756</v>
      </c>
      <c r="D20">
        <v>-15</v>
      </c>
    </row>
    <row r="21" spans="1:4" x14ac:dyDescent="0.25">
      <c r="A21" t="s">
        <v>4</v>
      </c>
      <c r="B21" t="s">
        <v>228</v>
      </c>
      <c r="C21" t="s">
        <v>2757</v>
      </c>
      <c r="D21">
        <v>-16</v>
      </c>
    </row>
    <row r="22" spans="1:4" x14ac:dyDescent="0.25">
      <c r="A22" t="s">
        <v>4</v>
      </c>
      <c r="B22" t="s">
        <v>1132</v>
      </c>
      <c r="C22" t="s">
        <v>2758</v>
      </c>
      <c r="D22">
        <v>-14</v>
      </c>
    </row>
    <row r="23" spans="1:4" x14ac:dyDescent="0.25">
      <c r="A23" t="s">
        <v>4</v>
      </c>
      <c r="B23" t="s">
        <v>552</v>
      </c>
      <c r="C23" t="s">
        <v>2759</v>
      </c>
      <c r="D23">
        <v>-11</v>
      </c>
    </row>
    <row r="24" spans="1:4" x14ac:dyDescent="0.25">
      <c r="A24" t="s">
        <v>4</v>
      </c>
      <c r="B24" t="s">
        <v>505</v>
      </c>
      <c r="C24" t="s">
        <v>2760</v>
      </c>
      <c r="D24">
        <v>-13</v>
      </c>
    </row>
    <row r="25" spans="1:4" x14ac:dyDescent="0.25">
      <c r="A25" t="s">
        <v>4</v>
      </c>
      <c r="B25" t="s">
        <v>1489</v>
      </c>
      <c r="C25" t="s">
        <v>2723</v>
      </c>
      <c r="D25">
        <v>-10</v>
      </c>
    </row>
    <row r="26" spans="1:4" x14ac:dyDescent="0.25">
      <c r="A26" t="s">
        <v>40</v>
      </c>
      <c r="B26" t="s">
        <v>1664</v>
      </c>
      <c r="C26" t="s">
        <v>2724</v>
      </c>
      <c r="D26">
        <v>-8</v>
      </c>
    </row>
    <row r="27" spans="1:4" x14ac:dyDescent="0.25">
      <c r="A27" t="s">
        <v>40</v>
      </c>
      <c r="B27" t="s">
        <v>1009</v>
      </c>
      <c r="C27" t="s">
        <v>1879</v>
      </c>
      <c r="D27">
        <v>-5</v>
      </c>
    </row>
    <row r="28" spans="1:4" x14ac:dyDescent="0.25">
      <c r="A28" t="s">
        <v>40</v>
      </c>
      <c r="B28" t="s">
        <v>1210</v>
      </c>
      <c r="C28" t="s">
        <v>2208</v>
      </c>
      <c r="D28">
        <v>-7</v>
      </c>
    </row>
    <row r="29" spans="1:4" x14ac:dyDescent="0.25">
      <c r="A29" t="s">
        <v>40</v>
      </c>
      <c r="B29" t="s">
        <v>9</v>
      </c>
      <c r="C29" t="s">
        <v>2209</v>
      </c>
      <c r="D29">
        <v>-5</v>
      </c>
    </row>
    <row r="30" spans="1:4" x14ac:dyDescent="0.25">
      <c r="A30" t="s">
        <v>40</v>
      </c>
      <c r="B30" t="s">
        <v>355</v>
      </c>
      <c r="C30" t="s">
        <v>2210</v>
      </c>
      <c r="D30">
        <v>-8</v>
      </c>
    </row>
    <row r="31" spans="1:4" x14ac:dyDescent="0.25">
      <c r="A31" t="s">
        <v>40</v>
      </c>
      <c r="B31" t="s">
        <v>1143</v>
      </c>
      <c r="C31" t="s">
        <v>603</v>
      </c>
      <c r="D31">
        <v>-6</v>
      </c>
    </row>
    <row r="32" spans="1:4" x14ac:dyDescent="0.25">
      <c r="A32" t="s">
        <v>40</v>
      </c>
      <c r="B32" t="s">
        <v>1836</v>
      </c>
      <c r="C32" t="s">
        <v>2212</v>
      </c>
      <c r="D32">
        <v>-8</v>
      </c>
    </row>
    <row r="33" spans="1:4" x14ac:dyDescent="0.25">
      <c r="A33" t="s">
        <v>40</v>
      </c>
      <c r="B33" t="s">
        <v>1194</v>
      </c>
      <c r="C33" t="s">
        <v>2761</v>
      </c>
      <c r="D33">
        <v>-7</v>
      </c>
    </row>
    <row r="34" spans="1:4" x14ac:dyDescent="0.25">
      <c r="A34" t="s">
        <v>40</v>
      </c>
      <c r="B34" t="s">
        <v>1194</v>
      </c>
      <c r="C34" t="s">
        <v>69</v>
      </c>
      <c r="D34">
        <v>-6</v>
      </c>
    </row>
    <row r="35" spans="1:4" x14ac:dyDescent="0.25">
      <c r="A35" t="s">
        <v>40</v>
      </c>
      <c r="B35" t="s">
        <v>1194</v>
      </c>
      <c r="C35" t="s">
        <v>2128</v>
      </c>
      <c r="D35">
        <v>-5</v>
      </c>
    </row>
    <row r="36" spans="1:4" x14ac:dyDescent="0.25">
      <c r="A36" t="s">
        <v>40</v>
      </c>
      <c r="B36" t="s">
        <v>19</v>
      </c>
      <c r="C36" t="s">
        <v>2762</v>
      </c>
      <c r="D36">
        <v>-4</v>
      </c>
    </row>
    <row r="37" spans="1:4" x14ac:dyDescent="0.25">
      <c r="A37" t="s">
        <v>40</v>
      </c>
      <c r="B37" t="s">
        <v>19</v>
      </c>
      <c r="C37" t="s">
        <v>2129</v>
      </c>
      <c r="D37">
        <v>-3</v>
      </c>
    </row>
    <row r="38" spans="1:4" x14ac:dyDescent="0.25">
      <c r="A38" t="s">
        <v>40</v>
      </c>
      <c r="B38" t="s">
        <v>743</v>
      </c>
      <c r="C38" t="s">
        <v>1719</v>
      </c>
      <c r="D38">
        <v>-5</v>
      </c>
    </row>
    <row r="39" spans="1:4" x14ac:dyDescent="0.25">
      <c r="A39" t="s">
        <v>40</v>
      </c>
      <c r="B39" t="s">
        <v>1503</v>
      </c>
      <c r="C39" t="s">
        <v>2763</v>
      </c>
      <c r="D39">
        <v>-2</v>
      </c>
    </row>
    <row r="40" spans="1:4" x14ac:dyDescent="0.25">
      <c r="A40" t="s">
        <v>40</v>
      </c>
      <c r="B40" t="s">
        <v>225</v>
      </c>
      <c r="C40" t="s">
        <v>358</v>
      </c>
      <c r="D40">
        <v>1</v>
      </c>
    </row>
    <row r="41" spans="1:4" x14ac:dyDescent="0.25">
      <c r="A41" t="s">
        <v>40</v>
      </c>
      <c r="B41" t="s">
        <v>112</v>
      </c>
      <c r="C41" t="s">
        <v>1221</v>
      </c>
      <c r="D41">
        <v>0</v>
      </c>
    </row>
    <row r="42" spans="1:4" x14ac:dyDescent="0.25">
      <c r="A42" t="s">
        <v>40</v>
      </c>
      <c r="B42" t="s">
        <v>112</v>
      </c>
      <c r="C42" t="s">
        <v>1722</v>
      </c>
      <c r="D42">
        <v>-1</v>
      </c>
    </row>
    <row r="43" spans="1:4" x14ac:dyDescent="0.25">
      <c r="A43" t="s">
        <v>40</v>
      </c>
      <c r="B43" t="s">
        <v>1043</v>
      </c>
      <c r="C43" t="s">
        <v>2218</v>
      </c>
      <c r="D43">
        <v>-3</v>
      </c>
    </row>
    <row r="44" spans="1:4" x14ac:dyDescent="0.25">
      <c r="A44" t="s">
        <v>40</v>
      </c>
      <c r="B44" t="s">
        <v>27</v>
      </c>
      <c r="C44" t="s">
        <v>243</v>
      </c>
      <c r="D44">
        <v>-1</v>
      </c>
    </row>
    <row r="45" spans="1:4" x14ac:dyDescent="0.25">
      <c r="A45" t="s">
        <v>40</v>
      </c>
      <c r="B45" t="s">
        <v>529</v>
      </c>
      <c r="C45" t="s">
        <v>1762</v>
      </c>
      <c r="D45">
        <v>-2</v>
      </c>
    </row>
    <row r="46" spans="1:4" x14ac:dyDescent="0.25">
      <c r="A46" t="s">
        <v>40</v>
      </c>
      <c r="B46" t="s">
        <v>231</v>
      </c>
      <c r="C46" t="s">
        <v>1226</v>
      </c>
      <c r="D46">
        <v>1</v>
      </c>
    </row>
    <row r="47" spans="1:4" x14ac:dyDescent="0.25">
      <c r="A47" t="s">
        <v>40</v>
      </c>
      <c r="B47" t="s">
        <v>72</v>
      </c>
      <c r="C47" t="s">
        <v>2415</v>
      </c>
      <c r="D47">
        <v>-2</v>
      </c>
    </row>
    <row r="48" spans="1:4" x14ac:dyDescent="0.25">
      <c r="A48" t="s">
        <v>40</v>
      </c>
      <c r="B48" t="s">
        <v>1180</v>
      </c>
      <c r="C48" t="s">
        <v>626</v>
      </c>
      <c r="D48">
        <v>-5</v>
      </c>
    </row>
    <row r="49" spans="1:4" x14ac:dyDescent="0.25">
      <c r="A49" t="s">
        <v>40</v>
      </c>
      <c r="B49" t="s">
        <v>1276</v>
      </c>
      <c r="C49" t="s">
        <v>102</v>
      </c>
      <c r="D49">
        <v>-7</v>
      </c>
    </row>
    <row r="50" spans="1:4" x14ac:dyDescent="0.25">
      <c r="A50" t="s">
        <v>80</v>
      </c>
      <c r="B50" t="s">
        <v>5</v>
      </c>
      <c r="C50" t="s">
        <v>2764</v>
      </c>
      <c r="D50">
        <v>-6</v>
      </c>
    </row>
    <row r="51" spans="1:4" x14ac:dyDescent="0.25">
      <c r="A51" t="s">
        <v>80</v>
      </c>
      <c r="B51" t="s">
        <v>5</v>
      </c>
      <c r="C51" t="s">
        <v>627</v>
      </c>
      <c r="D51">
        <v>-5</v>
      </c>
    </row>
    <row r="52" spans="1:4" x14ac:dyDescent="0.25">
      <c r="A52" t="s">
        <v>80</v>
      </c>
      <c r="B52" t="s">
        <v>2443</v>
      </c>
      <c r="C52" t="s">
        <v>2445</v>
      </c>
      <c r="D52">
        <v>-3</v>
      </c>
    </row>
    <row r="53" spans="1:4" x14ac:dyDescent="0.25">
      <c r="A53" t="s">
        <v>80</v>
      </c>
      <c r="B53" t="s">
        <v>859</v>
      </c>
      <c r="C53" t="s">
        <v>2225</v>
      </c>
      <c r="D53">
        <v>-5</v>
      </c>
    </row>
    <row r="54" spans="1:4" x14ac:dyDescent="0.25">
      <c r="A54" t="s">
        <v>80</v>
      </c>
      <c r="B54" t="s">
        <v>954</v>
      </c>
      <c r="C54" t="s">
        <v>2765</v>
      </c>
      <c r="D54">
        <v>-3</v>
      </c>
    </row>
    <row r="55" spans="1:4" x14ac:dyDescent="0.25">
      <c r="A55" t="s">
        <v>80</v>
      </c>
      <c r="B55" t="s">
        <v>1029</v>
      </c>
      <c r="C55" t="s">
        <v>2227</v>
      </c>
      <c r="D55">
        <v>-5</v>
      </c>
    </row>
    <row r="56" spans="1:4" x14ac:dyDescent="0.25">
      <c r="A56" t="s">
        <v>80</v>
      </c>
      <c r="B56" t="s">
        <v>937</v>
      </c>
      <c r="C56" t="s">
        <v>835</v>
      </c>
      <c r="D56">
        <v>-8</v>
      </c>
    </row>
    <row r="57" spans="1:4" x14ac:dyDescent="0.25">
      <c r="A57" t="s">
        <v>80</v>
      </c>
      <c r="B57" t="s">
        <v>572</v>
      </c>
      <c r="C57" t="s">
        <v>837</v>
      </c>
      <c r="D57">
        <v>-6</v>
      </c>
    </row>
    <row r="58" spans="1:4" x14ac:dyDescent="0.25">
      <c r="A58" t="s">
        <v>80</v>
      </c>
      <c r="B58" t="s">
        <v>517</v>
      </c>
      <c r="C58" t="s">
        <v>2137</v>
      </c>
      <c r="D58">
        <v>-8</v>
      </c>
    </row>
    <row r="59" spans="1:4" x14ac:dyDescent="0.25">
      <c r="A59" t="s">
        <v>80</v>
      </c>
      <c r="B59" t="s">
        <v>517</v>
      </c>
      <c r="C59" t="s">
        <v>2766</v>
      </c>
      <c r="D59">
        <v>-9</v>
      </c>
    </row>
    <row r="60" spans="1:4" x14ac:dyDescent="0.25">
      <c r="A60" t="s">
        <v>80</v>
      </c>
      <c r="B60" t="s">
        <v>1069</v>
      </c>
      <c r="C60" t="s">
        <v>2138</v>
      </c>
      <c r="D60">
        <v>-7</v>
      </c>
    </row>
    <row r="61" spans="1:4" x14ac:dyDescent="0.25">
      <c r="A61" t="s">
        <v>80</v>
      </c>
      <c r="B61" t="s">
        <v>186</v>
      </c>
      <c r="C61" t="s">
        <v>1734</v>
      </c>
      <c r="D61">
        <v>-5</v>
      </c>
    </row>
    <row r="62" spans="1:4" x14ac:dyDescent="0.25">
      <c r="A62" t="s">
        <v>80</v>
      </c>
      <c r="B62" t="s">
        <v>1349</v>
      </c>
      <c r="C62" t="s">
        <v>2767</v>
      </c>
      <c r="D62">
        <v>-8</v>
      </c>
    </row>
    <row r="63" spans="1:4" x14ac:dyDescent="0.25">
      <c r="A63" t="s">
        <v>80</v>
      </c>
      <c r="B63" t="s">
        <v>1350</v>
      </c>
      <c r="C63" t="s">
        <v>279</v>
      </c>
      <c r="D63">
        <v>-5</v>
      </c>
    </row>
    <row r="64" spans="1:4" x14ac:dyDescent="0.25">
      <c r="A64" t="s">
        <v>80</v>
      </c>
      <c r="B64" t="s">
        <v>337</v>
      </c>
      <c r="C64" t="s">
        <v>1777</v>
      </c>
      <c r="D64">
        <v>-7</v>
      </c>
    </row>
    <row r="65" spans="1:4" x14ac:dyDescent="0.25">
      <c r="A65" t="s">
        <v>80</v>
      </c>
      <c r="B65" t="s">
        <v>223</v>
      </c>
      <c r="C65" t="s">
        <v>2768</v>
      </c>
      <c r="D65">
        <v>-4</v>
      </c>
    </row>
    <row r="66" spans="1:4" x14ac:dyDescent="0.25">
      <c r="A66" t="s">
        <v>80</v>
      </c>
      <c r="B66" t="s">
        <v>25</v>
      </c>
      <c r="C66" t="s">
        <v>2236</v>
      </c>
      <c r="D66">
        <v>-6</v>
      </c>
    </row>
    <row r="67" spans="1:4" x14ac:dyDescent="0.25">
      <c r="A67" t="s">
        <v>80</v>
      </c>
      <c r="B67" t="s">
        <v>503</v>
      </c>
      <c r="C67" t="s">
        <v>2313</v>
      </c>
      <c r="D67">
        <v>-4</v>
      </c>
    </row>
    <row r="68" spans="1:4" x14ac:dyDescent="0.25">
      <c r="A68" t="s">
        <v>80</v>
      </c>
      <c r="B68" t="s">
        <v>477</v>
      </c>
      <c r="C68" t="s">
        <v>2423</v>
      </c>
      <c r="D68">
        <v>-7</v>
      </c>
    </row>
    <row r="69" spans="1:4" x14ac:dyDescent="0.25">
      <c r="A69" t="s">
        <v>80</v>
      </c>
      <c r="B69" t="s">
        <v>996</v>
      </c>
      <c r="C69" t="s">
        <v>1542</v>
      </c>
      <c r="D69">
        <v>-9</v>
      </c>
    </row>
    <row r="70" spans="1:4" x14ac:dyDescent="0.25">
      <c r="A70" t="s">
        <v>80</v>
      </c>
      <c r="B70" t="s">
        <v>76</v>
      </c>
      <c r="C70" t="s">
        <v>2769</v>
      </c>
      <c r="D70">
        <v>-8</v>
      </c>
    </row>
    <row r="71" spans="1:4" x14ac:dyDescent="0.25">
      <c r="A71" t="s">
        <v>80</v>
      </c>
      <c r="B71" t="s">
        <v>1568</v>
      </c>
      <c r="C71" t="s">
        <v>2770</v>
      </c>
      <c r="D71">
        <v>-10</v>
      </c>
    </row>
    <row r="72" spans="1:4" x14ac:dyDescent="0.25">
      <c r="A72" t="s">
        <v>80</v>
      </c>
      <c r="B72" t="s">
        <v>1568</v>
      </c>
      <c r="C72" t="s">
        <v>2771</v>
      </c>
      <c r="D72">
        <v>-11</v>
      </c>
    </row>
    <row r="73" spans="1:4" x14ac:dyDescent="0.25">
      <c r="A73" t="s">
        <v>80</v>
      </c>
      <c r="B73" t="s">
        <v>396</v>
      </c>
      <c r="C73" t="s">
        <v>1546</v>
      </c>
      <c r="D73">
        <v>-10</v>
      </c>
    </row>
    <row r="74" spans="1:4" x14ac:dyDescent="0.25">
      <c r="A74" t="s">
        <v>80</v>
      </c>
      <c r="B74" t="s">
        <v>396</v>
      </c>
      <c r="C74" t="s">
        <v>2426</v>
      </c>
      <c r="D74">
        <v>-9</v>
      </c>
    </row>
    <row r="75" spans="1:4" x14ac:dyDescent="0.25">
      <c r="A75" t="s">
        <v>123</v>
      </c>
      <c r="B75" t="s">
        <v>89</v>
      </c>
      <c r="C75" t="s">
        <v>2772</v>
      </c>
      <c r="D75">
        <v>-12</v>
      </c>
    </row>
    <row r="76" spans="1:4" x14ac:dyDescent="0.25">
      <c r="A76" t="s">
        <v>123</v>
      </c>
      <c r="B76" t="s">
        <v>250</v>
      </c>
      <c r="C76" t="s">
        <v>2773</v>
      </c>
      <c r="D76">
        <v>-11</v>
      </c>
    </row>
    <row r="77" spans="1:4" x14ac:dyDescent="0.25">
      <c r="A77" t="s">
        <v>123</v>
      </c>
      <c r="B77" t="s">
        <v>250</v>
      </c>
      <c r="C77" t="s">
        <v>2429</v>
      </c>
      <c r="D77">
        <v>-10</v>
      </c>
    </row>
    <row r="78" spans="1:4" x14ac:dyDescent="0.25">
      <c r="A78" t="s">
        <v>123</v>
      </c>
      <c r="B78" t="s">
        <v>250</v>
      </c>
      <c r="C78" t="s">
        <v>856</v>
      </c>
      <c r="D78">
        <v>-9</v>
      </c>
    </row>
    <row r="79" spans="1:4" x14ac:dyDescent="0.25">
      <c r="A79" t="s">
        <v>123</v>
      </c>
      <c r="B79" t="s">
        <v>277</v>
      </c>
      <c r="C79" t="s">
        <v>299</v>
      </c>
      <c r="D79">
        <v>-7</v>
      </c>
    </row>
    <row r="80" spans="1:4" x14ac:dyDescent="0.25">
      <c r="A80" t="s">
        <v>123</v>
      </c>
      <c r="B80" t="s">
        <v>1033</v>
      </c>
      <c r="C80" t="s">
        <v>302</v>
      </c>
      <c r="D80">
        <v>-9</v>
      </c>
    </row>
    <row r="81" spans="1:4" x14ac:dyDescent="0.25">
      <c r="A81" t="s">
        <v>123</v>
      </c>
      <c r="B81" t="s">
        <v>217</v>
      </c>
      <c r="C81" t="s">
        <v>1553</v>
      </c>
      <c r="D81">
        <v>-11</v>
      </c>
    </row>
    <row r="82" spans="1:4" x14ac:dyDescent="0.25">
      <c r="A82" t="s">
        <v>123</v>
      </c>
      <c r="B82" t="s">
        <v>2154</v>
      </c>
      <c r="C82" t="s">
        <v>2774</v>
      </c>
      <c r="D82">
        <v>-8</v>
      </c>
    </row>
    <row r="83" spans="1:4" x14ac:dyDescent="0.25">
      <c r="A83" t="s">
        <v>123</v>
      </c>
      <c r="B83" t="s">
        <v>1602</v>
      </c>
      <c r="C83" t="s">
        <v>2775</v>
      </c>
      <c r="D83">
        <v>-10</v>
      </c>
    </row>
    <row r="84" spans="1:4" x14ac:dyDescent="0.25">
      <c r="A84" t="s">
        <v>123</v>
      </c>
      <c r="B84" t="s">
        <v>471</v>
      </c>
      <c r="C84" t="s">
        <v>2776</v>
      </c>
      <c r="D84">
        <v>-12</v>
      </c>
    </row>
    <row r="85" spans="1:4" x14ac:dyDescent="0.25">
      <c r="A85" t="s">
        <v>123</v>
      </c>
      <c r="B85" t="s">
        <v>442</v>
      </c>
      <c r="C85" t="s">
        <v>2777</v>
      </c>
      <c r="D85">
        <v>-11</v>
      </c>
    </row>
    <row r="86" spans="1:4" x14ac:dyDescent="0.25">
      <c r="A86" t="s">
        <v>123</v>
      </c>
      <c r="B86" t="s">
        <v>1202</v>
      </c>
      <c r="C86" t="s">
        <v>2778</v>
      </c>
      <c r="D86">
        <v>-10</v>
      </c>
    </row>
    <row r="87" spans="1:4" x14ac:dyDescent="0.25">
      <c r="A87" t="s">
        <v>123</v>
      </c>
      <c r="B87" t="s">
        <v>1750</v>
      </c>
      <c r="C87" t="s">
        <v>2779</v>
      </c>
      <c r="D87">
        <v>-8</v>
      </c>
    </row>
    <row r="88" spans="1:4" x14ac:dyDescent="0.25">
      <c r="A88" t="s">
        <v>123</v>
      </c>
      <c r="B88" t="s">
        <v>152</v>
      </c>
      <c r="C88" t="s">
        <v>1559</v>
      </c>
      <c r="D88">
        <v>-10</v>
      </c>
    </row>
    <row r="89" spans="1:4" x14ac:dyDescent="0.25">
      <c r="A89" t="s">
        <v>123</v>
      </c>
      <c r="B89" t="s">
        <v>1222</v>
      </c>
      <c r="C89" t="s">
        <v>1801</v>
      </c>
      <c r="D89">
        <v>-12</v>
      </c>
    </row>
    <row r="90" spans="1:4" x14ac:dyDescent="0.25">
      <c r="A90" t="s">
        <v>123</v>
      </c>
      <c r="B90" t="s">
        <v>534</v>
      </c>
      <c r="C90" t="s">
        <v>1560</v>
      </c>
      <c r="D90">
        <v>-13</v>
      </c>
    </row>
    <row r="91" spans="1:4" x14ac:dyDescent="0.25">
      <c r="A91" t="s">
        <v>123</v>
      </c>
      <c r="B91" t="s">
        <v>1874</v>
      </c>
      <c r="C91" t="s">
        <v>1802</v>
      </c>
      <c r="D91">
        <v>-14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-7.5777777777777775</v>
      </c>
    </row>
    <row r="95" spans="1:4" x14ac:dyDescent="0.25">
      <c r="A95" t="s">
        <v>159</v>
      </c>
      <c r="D95">
        <f>MAX(D2:D91)</f>
        <v>1</v>
      </c>
    </row>
    <row r="96" spans="1:4" x14ac:dyDescent="0.25">
      <c r="A96" t="s">
        <v>160</v>
      </c>
      <c r="D96">
        <f>MIN(D2:D91)</f>
        <v>-16</v>
      </c>
    </row>
    <row r="97" spans="1:4" x14ac:dyDescent="0.25">
      <c r="A97" t="s">
        <v>161</v>
      </c>
      <c r="D97">
        <f>COUNTIF(D2:D91,"&gt;0")</f>
        <v>2</v>
      </c>
    </row>
    <row r="98" spans="1:4" x14ac:dyDescent="0.25">
      <c r="A98" t="s">
        <v>162</v>
      </c>
      <c r="D98">
        <f>COUNTIF(D2:D91,"=0")</f>
        <v>1</v>
      </c>
    </row>
    <row r="99" spans="1:4" x14ac:dyDescent="0.25">
      <c r="A99" t="s">
        <v>561</v>
      </c>
      <c r="D99">
        <f>COUNTIF(D2:D91,"&lt;0")</f>
        <v>87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AVERAGE(D2,D3,D4,D5,D6,D7,D8,D9,D10,D11,D12,D13,D14,D15,D16,D17,D18,D19,D20,D21,D22,D23,D24,D25)</f>
        <v>-9.9583333333333339</v>
      </c>
    </row>
    <row r="103" spans="1:4" x14ac:dyDescent="0.25">
      <c r="A103" t="s">
        <v>166</v>
      </c>
      <c r="D103">
        <f>AVERAGE(D26,D27,D28,D29,D30,D31,D32,D33,D34,D35,D36,D37,D38,D39,D40,D41,D42,D43,D44,D45,D46,D47,D48,D49)</f>
        <v>-4.083333333333333</v>
      </c>
    </row>
    <row r="104" spans="1:4" x14ac:dyDescent="0.25">
      <c r="A104" t="s">
        <v>167</v>
      </c>
      <c r="D104">
        <f>AVERAGE(D50,D51,D52,D53,D54,D55,D56,D57,D58,D59,D60,D61,D62,D63,D64,D65,D66,D67,D68,D69,D70,D71,D72,D73,D74)</f>
        <v>-6.72</v>
      </c>
    </row>
    <row r="105" spans="1:4" x14ac:dyDescent="0.25">
      <c r="A105" t="s">
        <v>168</v>
      </c>
      <c r="D105">
        <f>AVERAGE(D75,D76,D77,D78,D79,D80,D81,D82,D83,D84,D85,D86,D87,D88,D89,D90,D91)</f>
        <v>-10.411764705882353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7</v>
      </c>
      <c r="C2" t="s">
        <v>908</v>
      </c>
      <c r="D2">
        <v>-2</v>
      </c>
    </row>
    <row r="3" spans="1:4" x14ac:dyDescent="0.25">
      <c r="A3" t="s">
        <v>4</v>
      </c>
      <c r="B3" t="s">
        <v>1083</v>
      </c>
      <c r="C3" t="s">
        <v>1008</v>
      </c>
      <c r="D3">
        <v>-3</v>
      </c>
    </row>
    <row r="4" spans="1:4" x14ac:dyDescent="0.25">
      <c r="A4" t="s">
        <v>4</v>
      </c>
      <c r="B4" t="s">
        <v>691</v>
      </c>
      <c r="C4" t="s">
        <v>306</v>
      </c>
      <c r="D4">
        <v>-1</v>
      </c>
    </row>
    <row r="5" spans="1:4" x14ac:dyDescent="0.25">
      <c r="A5" t="s">
        <v>4</v>
      </c>
      <c r="B5" t="s">
        <v>2405</v>
      </c>
      <c r="C5" t="s">
        <v>429</v>
      </c>
      <c r="D5">
        <v>2</v>
      </c>
    </row>
    <row r="6" spans="1:4" x14ac:dyDescent="0.25">
      <c r="A6" t="s">
        <v>4</v>
      </c>
      <c r="B6" t="s">
        <v>1408</v>
      </c>
      <c r="C6" t="s">
        <v>1106</v>
      </c>
      <c r="D6">
        <v>1</v>
      </c>
    </row>
    <row r="7" spans="1:4" x14ac:dyDescent="0.25">
      <c r="A7" t="s">
        <v>4</v>
      </c>
      <c r="B7" t="s">
        <v>1408</v>
      </c>
      <c r="C7" t="s">
        <v>2430</v>
      </c>
      <c r="D7">
        <v>0</v>
      </c>
    </row>
    <row r="8" spans="1:4" x14ac:dyDescent="0.25">
      <c r="A8" t="s">
        <v>4</v>
      </c>
      <c r="B8" t="s">
        <v>400</v>
      </c>
      <c r="C8" t="s">
        <v>1107</v>
      </c>
      <c r="D8">
        <v>-1</v>
      </c>
    </row>
    <row r="9" spans="1:4" x14ac:dyDescent="0.25">
      <c r="A9" t="s">
        <v>4</v>
      </c>
      <c r="B9" t="s">
        <v>400</v>
      </c>
      <c r="C9" t="s">
        <v>913</v>
      </c>
      <c r="D9">
        <v>-2</v>
      </c>
    </row>
    <row r="10" spans="1:4" x14ac:dyDescent="0.25">
      <c r="A10" t="s">
        <v>4</v>
      </c>
      <c r="B10" t="s">
        <v>1824</v>
      </c>
      <c r="C10" t="s">
        <v>567</v>
      </c>
      <c r="D10">
        <v>0</v>
      </c>
    </row>
    <row r="11" spans="1:4" x14ac:dyDescent="0.25">
      <c r="A11" t="s">
        <v>4</v>
      </c>
      <c r="B11" t="s">
        <v>361</v>
      </c>
      <c r="C11" t="s">
        <v>436</v>
      </c>
      <c r="D11">
        <v>-3</v>
      </c>
    </row>
    <row r="12" spans="1:4" x14ac:dyDescent="0.25">
      <c r="A12" t="s">
        <v>4</v>
      </c>
      <c r="B12" t="s">
        <v>914</v>
      </c>
      <c r="C12" t="s">
        <v>438</v>
      </c>
      <c r="D12">
        <v>-1</v>
      </c>
    </row>
    <row r="13" spans="1:4" x14ac:dyDescent="0.25">
      <c r="A13" t="s">
        <v>4</v>
      </c>
      <c r="B13" t="s">
        <v>868</v>
      </c>
      <c r="C13" t="s">
        <v>1433</v>
      </c>
      <c r="D13">
        <v>-3</v>
      </c>
    </row>
    <row r="14" spans="1:4" x14ac:dyDescent="0.25">
      <c r="A14" t="s">
        <v>4</v>
      </c>
      <c r="B14" t="s">
        <v>802</v>
      </c>
      <c r="C14" t="s">
        <v>575</v>
      </c>
      <c r="D14">
        <v>-1</v>
      </c>
    </row>
    <row r="15" spans="1:4" x14ac:dyDescent="0.25">
      <c r="A15" t="s">
        <v>4</v>
      </c>
      <c r="B15" t="s">
        <v>804</v>
      </c>
      <c r="C15" t="s">
        <v>1872</v>
      </c>
      <c r="D15">
        <v>2</v>
      </c>
    </row>
    <row r="16" spans="1:4" x14ac:dyDescent="0.25">
      <c r="A16" t="s">
        <v>4</v>
      </c>
      <c r="B16" t="s">
        <v>598</v>
      </c>
      <c r="C16" t="s">
        <v>34</v>
      </c>
      <c r="D16">
        <v>0</v>
      </c>
    </row>
    <row r="17" spans="1:4" x14ac:dyDescent="0.25">
      <c r="A17" t="s">
        <v>4</v>
      </c>
      <c r="B17" t="s">
        <v>1108</v>
      </c>
      <c r="C17" t="s">
        <v>2538</v>
      </c>
      <c r="D17">
        <v>3</v>
      </c>
    </row>
    <row r="18" spans="1:4" x14ac:dyDescent="0.25">
      <c r="A18" t="s">
        <v>4</v>
      </c>
      <c r="B18" t="s">
        <v>1016</v>
      </c>
      <c r="C18" t="s">
        <v>707</v>
      </c>
      <c r="D18">
        <v>1</v>
      </c>
    </row>
    <row r="19" spans="1:4" x14ac:dyDescent="0.25">
      <c r="A19" t="s">
        <v>4</v>
      </c>
      <c r="B19" t="s">
        <v>1073</v>
      </c>
      <c r="C19" t="s">
        <v>39</v>
      </c>
      <c r="D19">
        <v>-1</v>
      </c>
    </row>
    <row r="20" spans="1:4" x14ac:dyDescent="0.25">
      <c r="A20" t="s">
        <v>4</v>
      </c>
      <c r="B20" t="s">
        <v>1127</v>
      </c>
      <c r="C20" t="s">
        <v>2721</v>
      </c>
      <c r="D20">
        <v>0</v>
      </c>
    </row>
    <row r="21" spans="1:4" x14ac:dyDescent="0.25">
      <c r="A21" t="s">
        <v>4</v>
      </c>
      <c r="B21" t="s">
        <v>1127</v>
      </c>
      <c r="C21" t="s">
        <v>583</v>
      </c>
      <c r="D21">
        <v>1</v>
      </c>
    </row>
    <row r="22" spans="1:4" x14ac:dyDescent="0.25">
      <c r="A22" t="s">
        <v>4</v>
      </c>
      <c r="B22" t="s">
        <v>290</v>
      </c>
      <c r="C22" t="s">
        <v>1508</v>
      </c>
      <c r="D22">
        <v>-1</v>
      </c>
    </row>
    <row r="23" spans="1:4" x14ac:dyDescent="0.25">
      <c r="A23" t="s">
        <v>4</v>
      </c>
      <c r="B23" t="s">
        <v>611</v>
      </c>
      <c r="C23" t="s">
        <v>711</v>
      </c>
      <c r="D23">
        <v>1</v>
      </c>
    </row>
    <row r="24" spans="1:4" x14ac:dyDescent="0.25">
      <c r="A24" t="s">
        <v>4</v>
      </c>
      <c r="B24" t="s">
        <v>1048</v>
      </c>
      <c r="C24" t="s">
        <v>1438</v>
      </c>
      <c r="D24">
        <v>0</v>
      </c>
    </row>
    <row r="25" spans="1:4" x14ac:dyDescent="0.25">
      <c r="A25" t="s">
        <v>4</v>
      </c>
      <c r="B25" t="s">
        <v>29</v>
      </c>
      <c r="C25" t="s">
        <v>2265</v>
      </c>
      <c r="D25">
        <v>-1</v>
      </c>
    </row>
    <row r="26" spans="1:4" x14ac:dyDescent="0.25">
      <c r="A26" t="s">
        <v>4</v>
      </c>
      <c r="B26" t="s">
        <v>900</v>
      </c>
      <c r="C26" t="s">
        <v>48</v>
      </c>
      <c r="D26">
        <v>-3</v>
      </c>
    </row>
    <row r="27" spans="1:4" x14ac:dyDescent="0.25">
      <c r="A27" t="s">
        <v>4</v>
      </c>
      <c r="B27" t="s">
        <v>322</v>
      </c>
      <c r="C27" t="s">
        <v>2780</v>
      </c>
      <c r="D27">
        <v>0</v>
      </c>
    </row>
    <row r="28" spans="1:4" x14ac:dyDescent="0.25">
      <c r="A28" t="s">
        <v>4</v>
      </c>
      <c r="B28" t="s">
        <v>930</v>
      </c>
      <c r="C28" t="s">
        <v>2703</v>
      </c>
      <c r="D28">
        <v>1</v>
      </c>
    </row>
    <row r="29" spans="1:4" x14ac:dyDescent="0.25">
      <c r="A29" t="s">
        <v>4</v>
      </c>
      <c r="B29" t="s">
        <v>930</v>
      </c>
      <c r="C29" t="s">
        <v>336</v>
      </c>
      <c r="D29">
        <v>2</v>
      </c>
    </row>
    <row r="30" spans="1:4" x14ac:dyDescent="0.25">
      <c r="A30" t="s">
        <v>4</v>
      </c>
      <c r="B30" t="s">
        <v>422</v>
      </c>
      <c r="C30" t="s">
        <v>1714</v>
      </c>
      <c r="D30">
        <v>-1</v>
      </c>
    </row>
    <row r="31" spans="1:4" x14ac:dyDescent="0.25">
      <c r="A31" t="s">
        <v>40</v>
      </c>
      <c r="B31" t="s">
        <v>795</v>
      </c>
      <c r="C31" t="s">
        <v>2359</v>
      </c>
      <c r="D31">
        <v>2</v>
      </c>
    </row>
    <row r="32" spans="1:4" x14ac:dyDescent="0.25">
      <c r="A32" t="s">
        <v>40</v>
      </c>
      <c r="B32" t="s">
        <v>487</v>
      </c>
      <c r="C32" t="s">
        <v>2781</v>
      </c>
      <c r="D32">
        <v>5</v>
      </c>
    </row>
    <row r="33" spans="1:4" x14ac:dyDescent="0.25">
      <c r="A33" t="s">
        <v>40</v>
      </c>
      <c r="B33" t="s">
        <v>89</v>
      </c>
      <c r="C33" t="s">
        <v>2782</v>
      </c>
      <c r="D33">
        <v>7</v>
      </c>
    </row>
    <row r="34" spans="1:4" x14ac:dyDescent="0.25">
      <c r="A34" t="s">
        <v>40</v>
      </c>
      <c r="B34" t="s">
        <v>1824</v>
      </c>
      <c r="C34" t="s">
        <v>2529</v>
      </c>
      <c r="D34">
        <v>8</v>
      </c>
    </row>
    <row r="35" spans="1:4" x14ac:dyDescent="0.25">
      <c r="A35" t="s">
        <v>40</v>
      </c>
      <c r="B35" t="s">
        <v>1683</v>
      </c>
      <c r="C35" t="s">
        <v>2704</v>
      </c>
      <c r="D35">
        <v>6</v>
      </c>
    </row>
    <row r="36" spans="1:4" x14ac:dyDescent="0.25">
      <c r="A36" t="s">
        <v>40</v>
      </c>
      <c r="B36" t="s">
        <v>1693</v>
      </c>
      <c r="C36" t="s">
        <v>2161</v>
      </c>
      <c r="D36">
        <v>7</v>
      </c>
    </row>
    <row r="37" spans="1:4" x14ac:dyDescent="0.25">
      <c r="A37" t="s">
        <v>40</v>
      </c>
      <c r="B37" t="s">
        <v>1693</v>
      </c>
      <c r="C37" t="s">
        <v>1215</v>
      </c>
      <c r="D37">
        <v>8</v>
      </c>
    </row>
    <row r="38" spans="1:4" x14ac:dyDescent="0.25">
      <c r="A38" t="s">
        <v>40</v>
      </c>
      <c r="B38" t="s">
        <v>433</v>
      </c>
      <c r="C38" t="s">
        <v>940</v>
      </c>
      <c r="D38">
        <v>6</v>
      </c>
    </row>
    <row r="39" spans="1:4" x14ac:dyDescent="0.25">
      <c r="A39" t="s">
        <v>40</v>
      </c>
      <c r="B39" t="s">
        <v>499</v>
      </c>
      <c r="C39" t="s">
        <v>1589</v>
      </c>
      <c r="D39">
        <v>9</v>
      </c>
    </row>
    <row r="40" spans="1:4" x14ac:dyDescent="0.25">
      <c r="A40" t="s">
        <v>40</v>
      </c>
      <c r="B40" t="s">
        <v>1288</v>
      </c>
      <c r="C40" t="s">
        <v>1669</v>
      </c>
      <c r="D40">
        <v>6</v>
      </c>
    </row>
    <row r="41" spans="1:4" x14ac:dyDescent="0.25">
      <c r="A41" t="s">
        <v>40</v>
      </c>
      <c r="B41" t="s">
        <v>539</v>
      </c>
      <c r="C41" t="s">
        <v>1140</v>
      </c>
      <c r="D41">
        <v>9</v>
      </c>
    </row>
    <row r="42" spans="1:4" x14ac:dyDescent="0.25">
      <c r="A42" t="s">
        <v>40</v>
      </c>
      <c r="B42" t="s">
        <v>378</v>
      </c>
      <c r="C42" t="s">
        <v>1141</v>
      </c>
      <c r="D42">
        <v>10</v>
      </c>
    </row>
    <row r="43" spans="1:4" x14ac:dyDescent="0.25">
      <c r="A43" t="s">
        <v>40</v>
      </c>
      <c r="B43" t="s">
        <v>378</v>
      </c>
      <c r="C43" t="s">
        <v>1942</v>
      </c>
      <c r="D43">
        <v>11</v>
      </c>
    </row>
    <row r="44" spans="1:4" x14ac:dyDescent="0.25">
      <c r="A44" t="s">
        <v>40</v>
      </c>
      <c r="B44" t="s">
        <v>2120</v>
      </c>
      <c r="C44" t="s">
        <v>2783</v>
      </c>
      <c r="D44">
        <v>10</v>
      </c>
    </row>
    <row r="45" spans="1:4" x14ac:dyDescent="0.25">
      <c r="A45" t="s">
        <v>40</v>
      </c>
      <c r="B45" t="s">
        <v>1200</v>
      </c>
      <c r="C45" t="s">
        <v>950</v>
      </c>
      <c r="D45">
        <v>13</v>
      </c>
    </row>
    <row r="46" spans="1:4" x14ac:dyDescent="0.25">
      <c r="A46" t="s">
        <v>40</v>
      </c>
      <c r="B46" t="s">
        <v>990</v>
      </c>
      <c r="C46" t="s">
        <v>2784</v>
      </c>
      <c r="D46">
        <v>12</v>
      </c>
    </row>
    <row r="47" spans="1:4" x14ac:dyDescent="0.25">
      <c r="A47" t="s">
        <v>40</v>
      </c>
      <c r="B47" t="s">
        <v>990</v>
      </c>
      <c r="C47" t="s">
        <v>1454</v>
      </c>
      <c r="D47">
        <v>11</v>
      </c>
    </row>
    <row r="48" spans="1:4" x14ac:dyDescent="0.25">
      <c r="A48" t="s">
        <v>40</v>
      </c>
      <c r="B48" t="s">
        <v>1640</v>
      </c>
      <c r="C48" t="s">
        <v>2785</v>
      </c>
      <c r="D48">
        <v>12</v>
      </c>
    </row>
    <row r="49" spans="1:4" x14ac:dyDescent="0.25">
      <c r="A49" t="s">
        <v>40</v>
      </c>
      <c r="B49" t="s">
        <v>29</v>
      </c>
      <c r="C49" t="s">
        <v>1596</v>
      </c>
      <c r="D49">
        <v>10</v>
      </c>
    </row>
    <row r="50" spans="1:4" x14ac:dyDescent="0.25">
      <c r="A50" t="s">
        <v>40</v>
      </c>
      <c r="B50" t="s">
        <v>1356</v>
      </c>
      <c r="C50" t="s">
        <v>2786</v>
      </c>
      <c r="D50">
        <v>11</v>
      </c>
    </row>
    <row r="51" spans="1:4" x14ac:dyDescent="0.25">
      <c r="A51" t="s">
        <v>40</v>
      </c>
      <c r="B51" t="s">
        <v>1356</v>
      </c>
      <c r="C51" t="s">
        <v>2364</v>
      </c>
      <c r="D51">
        <v>12</v>
      </c>
    </row>
    <row r="52" spans="1:4" x14ac:dyDescent="0.25">
      <c r="A52" t="s">
        <v>40</v>
      </c>
      <c r="B52" t="s">
        <v>1113</v>
      </c>
      <c r="C52" t="s">
        <v>1149</v>
      </c>
      <c r="D52">
        <v>11</v>
      </c>
    </row>
    <row r="53" spans="1:4" x14ac:dyDescent="0.25">
      <c r="A53" t="s">
        <v>40</v>
      </c>
      <c r="B53" t="s">
        <v>1113</v>
      </c>
      <c r="C53" t="s">
        <v>1678</v>
      </c>
      <c r="D53">
        <v>10</v>
      </c>
    </row>
    <row r="54" spans="1:4" x14ac:dyDescent="0.25">
      <c r="A54" t="s">
        <v>40</v>
      </c>
      <c r="B54" t="s">
        <v>233</v>
      </c>
      <c r="C54" t="s">
        <v>1679</v>
      </c>
      <c r="D54">
        <v>12</v>
      </c>
    </row>
    <row r="55" spans="1:4" x14ac:dyDescent="0.25">
      <c r="A55" t="s">
        <v>80</v>
      </c>
      <c r="B55" t="s">
        <v>1541</v>
      </c>
      <c r="C55" t="s">
        <v>1681</v>
      </c>
      <c r="D55">
        <v>14</v>
      </c>
    </row>
    <row r="56" spans="1:4" x14ac:dyDescent="0.25">
      <c r="A56" t="s">
        <v>80</v>
      </c>
      <c r="B56" t="s">
        <v>1083</v>
      </c>
      <c r="C56" t="s">
        <v>2787</v>
      </c>
      <c r="D56">
        <v>16</v>
      </c>
    </row>
    <row r="57" spans="1:4" x14ac:dyDescent="0.25">
      <c r="A57" t="s">
        <v>80</v>
      </c>
      <c r="B57" t="s">
        <v>1691</v>
      </c>
      <c r="C57" t="s">
        <v>2666</v>
      </c>
      <c r="D57">
        <v>14</v>
      </c>
    </row>
    <row r="58" spans="1:4" x14ac:dyDescent="0.25">
      <c r="A58" t="s">
        <v>80</v>
      </c>
      <c r="B58" t="s">
        <v>1190</v>
      </c>
      <c r="C58" t="s">
        <v>2788</v>
      </c>
      <c r="D58">
        <v>17</v>
      </c>
    </row>
    <row r="59" spans="1:4" x14ac:dyDescent="0.25">
      <c r="A59" t="s">
        <v>80</v>
      </c>
      <c r="B59" t="s">
        <v>570</v>
      </c>
      <c r="C59" t="s">
        <v>2789</v>
      </c>
      <c r="D59">
        <v>15</v>
      </c>
    </row>
    <row r="60" spans="1:4" x14ac:dyDescent="0.25">
      <c r="A60" t="s">
        <v>80</v>
      </c>
      <c r="B60" t="s">
        <v>1498</v>
      </c>
      <c r="C60" t="s">
        <v>2790</v>
      </c>
      <c r="D60">
        <v>13</v>
      </c>
    </row>
    <row r="61" spans="1:4" x14ac:dyDescent="0.25">
      <c r="A61" t="s">
        <v>80</v>
      </c>
      <c r="B61" t="s">
        <v>99</v>
      </c>
      <c r="C61" t="s">
        <v>2791</v>
      </c>
      <c r="D61">
        <v>14</v>
      </c>
    </row>
    <row r="62" spans="1:4" x14ac:dyDescent="0.25">
      <c r="A62" t="s">
        <v>80</v>
      </c>
      <c r="B62" t="s">
        <v>961</v>
      </c>
      <c r="C62" t="s">
        <v>2792</v>
      </c>
      <c r="D62">
        <v>11</v>
      </c>
    </row>
    <row r="63" spans="1:4" x14ac:dyDescent="0.25">
      <c r="A63" t="s">
        <v>80</v>
      </c>
      <c r="B63" t="s">
        <v>729</v>
      </c>
      <c r="C63" t="s">
        <v>2793</v>
      </c>
      <c r="D63">
        <v>14</v>
      </c>
    </row>
    <row r="64" spans="1:4" x14ac:dyDescent="0.25">
      <c r="A64" t="s">
        <v>80</v>
      </c>
      <c r="B64" t="s">
        <v>1436</v>
      </c>
      <c r="C64" t="s">
        <v>2794</v>
      </c>
      <c r="D64">
        <v>12</v>
      </c>
    </row>
    <row r="65" spans="1:4" x14ac:dyDescent="0.25">
      <c r="A65" t="s">
        <v>80</v>
      </c>
      <c r="B65" t="s">
        <v>605</v>
      </c>
      <c r="C65" t="s">
        <v>2795</v>
      </c>
      <c r="D65">
        <v>15</v>
      </c>
    </row>
    <row r="66" spans="1:4" x14ac:dyDescent="0.25">
      <c r="A66" t="s">
        <v>80</v>
      </c>
      <c r="B66" t="s">
        <v>112</v>
      </c>
      <c r="C66" t="s">
        <v>2796</v>
      </c>
      <c r="D66">
        <v>13</v>
      </c>
    </row>
    <row r="67" spans="1:4" x14ac:dyDescent="0.25">
      <c r="A67" t="s">
        <v>80</v>
      </c>
      <c r="B67" t="s">
        <v>607</v>
      </c>
      <c r="C67" t="s">
        <v>2797</v>
      </c>
      <c r="D67">
        <v>11</v>
      </c>
    </row>
    <row r="68" spans="1:4" x14ac:dyDescent="0.25">
      <c r="A68" t="s">
        <v>80</v>
      </c>
      <c r="B68" t="s">
        <v>1882</v>
      </c>
      <c r="C68" t="s">
        <v>2674</v>
      </c>
      <c r="D68">
        <v>13</v>
      </c>
    </row>
    <row r="69" spans="1:4" x14ac:dyDescent="0.25">
      <c r="A69" t="s">
        <v>80</v>
      </c>
      <c r="B69" t="s">
        <v>2453</v>
      </c>
      <c r="C69" t="s">
        <v>2798</v>
      </c>
      <c r="D69">
        <v>15</v>
      </c>
    </row>
    <row r="70" spans="1:4" x14ac:dyDescent="0.25">
      <c r="A70" t="s">
        <v>80</v>
      </c>
      <c r="B70" t="s">
        <v>1402</v>
      </c>
      <c r="C70" t="s">
        <v>1471</v>
      </c>
      <c r="D70">
        <v>12</v>
      </c>
    </row>
    <row r="71" spans="1:4" x14ac:dyDescent="0.25">
      <c r="A71" t="s">
        <v>80</v>
      </c>
      <c r="B71" t="s">
        <v>451</v>
      </c>
      <c r="C71" t="s">
        <v>2799</v>
      </c>
      <c r="D71">
        <v>15</v>
      </c>
    </row>
    <row r="72" spans="1:4" x14ac:dyDescent="0.25">
      <c r="A72" t="s">
        <v>123</v>
      </c>
      <c r="B72" t="s">
        <v>43</v>
      </c>
      <c r="C72" t="s">
        <v>2800</v>
      </c>
      <c r="D72">
        <v>18</v>
      </c>
    </row>
    <row r="73" spans="1:4" x14ac:dyDescent="0.25">
      <c r="A73" t="s">
        <v>123</v>
      </c>
      <c r="B73" t="s">
        <v>691</v>
      </c>
      <c r="C73" t="s">
        <v>1477</v>
      </c>
      <c r="D73">
        <v>16</v>
      </c>
    </row>
    <row r="74" spans="1:4" x14ac:dyDescent="0.25">
      <c r="A74" t="s">
        <v>123</v>
      </c>
      <c r="B74" t="s">
        <v>1069</v>
      </c>
      <c r="C74" t="s">
        <v>2801</v>
      </c>
      <c r="D74">
        <v>18</v>
      </c>
    </row>
    <row r="75" spans="1:4" x14ac:dyDescent="0.25">
      <c r="A75" t="s">
        <v>123</v>
      </c>
      <c r="B75" t="s">
        <v>596</v>
      </c>
      <c r="C75" t="s">
        <v>2802</v>
      </c>
      <c r="D75">
        <v>16</v>
      </c>
    </row>
    <row r="76" spans="1:4" x14ac:dyDescent="0.25">
      <c r="A76" t="s">
        <v>123</v>
      </c>
      <c r="B76" t="s">
        <v>596</v>
      </c>
      <c r="C76" t="s">
        <v>2803</v>
      </c>
      <c r="D76">
        <v>15</v>
      </c>
    </row>
    <row r="77" spans="1:4" x14ac:dyDescent="0.25">
      <c r="A77" t="s">
        <v>123</v>
      </c>
      <c r="B77" t="s">
        <v>435</v>
      </c>
      <c r="C77" t="s">
        <v>2804</v>
      </c>
      <c r="D77">
        <v>18</v>
      </c>
    </row>
    <row r="78" spans="1:4" x14ac:dyDescent="0.25">
      <c r="A78" t="s">
        <v>123</v>
      </c>
      <c r="B78" t="s">
        <v>762</v>
      </c>
      <c r="C78" t="s">
        <v>2805</v>
      </c>
      <c r="D78">
        <v>16</v>
      </c>
    </row>
    <row r="79" spans="1:4" x14ac:dyDescent="0.25">
      <c r="A79" t="s">
        <v>123</v>
      </c>
      <c r="B79" t="s">
        <v>1231</v>
      </c>
      <c r="C79" t="s">
        <v>2806</v>
      </c>
      <c r="D79">
        <v>19</v>
      </c>
    </row>
    <row r="80" spans="1:4" x14ac:dyDescent="0.25">
      <c r="A80" t="s">
        <v>123</v>
      </c>
      <c r="B80" t="s">
        <v>228</v>
      </c>
      <c r="C80" t="s">
        <v>2807</v>
      </c>
      <c r="D80">
        <v>17</v>
      </c>
    </row>
    <row r="81" spans="1:4" x14ac:dyDescent="0.25">
      <c r="A81" t="s">
        <v>123</v>
      </c>
      <c r="B81" t="s">
        <v>1675</v>
      </c>
      <c r="C81" t="s">
        <v>2808</v>
      </c>
      <c r="D81">
        <v>16</v>
      </c>
    </row>
    <row r="82" spans="1:4" x14ac:dyDescent="0.25">
      <c r="A82" t="s">
        <v>123</v>
      </c>
      <c r="B82" t="s">
        <v>1675</v>
      </c>
      <c r="C82" t="s">
        <v>2809</v>
      </c>
      <c r="D82">
        <v>15</v>
      </c>
    </row>
    <row r="83" spans="1:4" x14ac:dyDescent="0.25">
      <c r="A83" t="s">
        <v>123</v>
      </c>
      <c r="B83" t="s">
        <v>296</v>
      </c>
      <c r="C83" t="s">
        <v>2810</v>
      </c>
      <c r="D83">
        <v>17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7.8414634146341466</v>
      </c>
    </row>
    <row r="87" spans="1:4" x14ac:dyDescent="0.25">
      <c r="A87" t="s">
        <v>159</v>
      </c>
      <c r="D87">
        <f>MAX(D2:D83)</f>
        <v>19</v>
      </c>
    </row>
    <row r="88" spans="1:4" x14ac:dyDescent="0.25">
      <c r="A88" t="s">
        <v>160</v>
      </c>
      <c r="D88">
        <f>MIN(D2:D83)</f>
        <v>-3</v>
      </c>
    </row>
    <row r="89" spans="1:4" x14ac:dyDescent="0.25">
      <c r="A89" t="s">
        <v>161</v>
      </c>
      <c r="D89">
        <f>COUNTIF(D2:D83,"&gt;0")</f>
        <v>62</v>
      </c>
    </row>
    <row r="90" spans="1:4" x14ac:dyDescent="0.25">
      <c r="A90" t="s">
        <v>162</v>
      </c>
      <c r="D90">
        <f>COUNTIF(D2:D83,"=0")</f>
        <v>6</v>
      </c>
    </row>
    <row r="91" spans="1:4" x14ac:dyDescent="0.25">
      <c r="A91" t="s">
        <v>2150</v>
      </c>
      <c r="D91">
        <f>COUNTIF(D2:D83,"&lt;0")</f>
        <v>14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AVERAGE(D2,D3,D4,D5,D6,D7,D8,D9,D10,D11,D12,D13,D14,D15,D16,D17,D18,D19,D20,D21,D22,D23,D24,D25,D26,D27,D28,D29,D30)</f>
        <v>-0.34482758620689657</v>
      </c>
    </row>
    <row r="95" spans="1:4" x14ac:dyDescent="0.25">
      <c r="A95" t="s">
        <v>166</v>
      </c>
      <c r="D95">
        <f>AVERAGE(D31,D32,D33,D34,D35,D36,D37,D38,D39,D40,D41,D42,D43,D44,D45,D46,D47,D48,D49,D50,D51,D52,D53,D54)</f>
        <v>9.0833333333333339</v>
      </c>
    </row>
    <row r="96" spans="1:4" x14ac:dyDescent="0.25">
      <c r="A96" t="s">
        <v>167</v>
      </c>
      <c r="D96">
        <f>AVERAGE(D55,D56,D57,D58,D59,D60,D61,D62,D63,D64,D65,D66,D67,D68,D69,D70,D71)</f>
        <v>13.764705882352942</v>
      </c>
    </row>
    <row r="97" spans="1:4" x14ac:dyDescent="0.25">
      <c r="A97" t="s">
        <v>168</v>
      </c>
      <c r="D97">
        <f>AVERAGE(D72,D73,D74,D75,D76,D77,D78,D79,D80,D81,D82,D83)</f>
        <v>16.75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1704</v>
      </c>
      <c r="C2" t="s">
        <v>171</v>
      </c>
      <c r="D2">
        <v>3</v>
      </c>
    </row>
    <row r="3" spans="1:4" x14ac:dyDescent="0.25">
      <c r="A3" t="s">
        <v>4</v>
      </c>
      <c r="B3" t="s">
        <v>857</v>
      </c>
      <c r="C3" t="s">
        <v>1191</v>
      </c>
      <c r="D3">
        <v>0</v>
      </c>
    </row>
    <row r="4" spans="1:4" x14ac:dyDescent="0.25">
      <c r="A4" t="s">
        <v>4</v>
      </c>
      <c r="B4" t="s">
        <v>1691</v>
      </c>
      <c r="C4" t="s">
        <v>1494</v>
      </c>
      <c r="D4">
        <v>-3</v>
      </c>
    </row>
    <row r="5" spans="1:4" x14ac:dyDescent="0.25">
      <c r="A5" t="s">
        <v>4</v>
      </c>
      <c r="B5" t="s">
        <v>1244</v>
      </c>
      <c r="C5" t="s">
        <v>1107</v>
      </c>
      <c r="D5">
        <v>-1</v>
      </c>
    </row>
    <row r="6" spans="1:4" x14ac:dyDescent="0.25">
      <c r="A6" t="s">
        <v>4</v>
      </c>
      <c r="B6" t="s">
        <v>693</v>
      </c>
      <c r="C6" t="s">
        <v>1496</v>
      </c>
      <c r="D6">
        <v>-4</v>
      </c>
    </row>
    <row r="7" spans="1:4" x14ac:dyDescent="0.25">
      <c r="A7" t="s">
        <v>4</v>
      </c>
      <c r="B7" t="s">
        <v>723</v>
      </c>
      <c r="C7" t="s">
        <v>1497</v>
      </c>
      <c r="D7">
        <v>-2</v>
      </c>
    </row>
    <row r="8" spans="1:4" x14ac:dyDescent="0.25">
      <c r="A8" t="s">
        <v>4</v>
      </c>
      <c r="B8" t="s">
        <v>1771</v>
      </c>
      <c r="C8" t="s">
        <v>571</v>
      </c>
      <c r="D8">
        <v>0</v>
      </c>
    </row>
    <row r="9" spans="1:4" x14ac:dyDescent="0.25">
      <c r="A9" t="s">
        <v>4</v>
      </c>
      <c r="B9" t="s">
        <v>13</v>
      </c>
      <c r="C9" t="s">
        <v>1744</v>
      </c>
      <c r="D9">
        <v>-2</v>
      </c>
    </row>
    <row r="10" spans="1:4" x14ac:dyDescent="0.25">
      <c r="A10" t="s">
        <v>4</v>
      </c>
      <c r="B10" t="s">
        <v>213</v>
      </c>
      <c r="C10" t="s">
        <v>2325</v>
      </c>
      <c r="D10">
        <v>-5</v>
      </c>
    </row>
    <row r="11" spans="1:4" x14ac:dyDescent="0.25">
      <c r="A11" t="s">
        <v>4</v>
      </c>
      <c r="B11" t="s">
        <v>2170</v>
      </c>
      <c r="C11" t="s">
        <v>2812</v>
      </c>
      <c r="D11">
        <v>-7</v>
      </c>
    </row>
    <row r="12" spans="1:4" x14ac:dyDescent="0.25">
      <c r="A12" t="s">
        <v>4</v>
      </c>
      <c r="B12" t="s">
        <v>312</v>
      </c>
      <c r="C12" t="s">
        <v>2813</v>
      </c>
      <c r="D12">
        <v>-5</v>
      </c>
    </row>
    <row r="13" spans="1:4" x14ac:dyDescent="0.25">
      <c r="A13" t="s">
        <v>4</v>
      </c>
      <c r="B13" t="s">
        <v>435</v>
      </c>
      <c r="C13" t="s">
        <v>2397</v>
      </c>
      <c r="D13">
        <v>-6</v>
      </c>
    </row>
    <row r="14" spans="1:4" x14ac:dyDescent="0.25">
      <c r="A14" t="s">
        <v>4</v>
      </c>
      <c r="B14" t="s">
        <v>1855</v>
      </c>
      <c r="C14" t="s">
        <v>2203</v>
      </c>
      <c r="D14">
        <v>-5</v>
      </c>
    </row>
    <row r="15" spans="1:4" x14ac:dyDescent="0.25">
      <c r="A15" t="s">
        <v>4</v>
      </c>
      <c r="B15" t="s">
        <v>1855</v>
      </c>
      <c r="C15" t="s">
        <v>1504</v>
      </c>
      <c r="D15">
        <v>-4</v>
      </c>
    </row>
    <row r="16" spans="1:4" x14ac:dyDescent="0.25">
      <c r="A16" t="s">
        <v>4</v>
      </c>
      <c r="B16" t="s">
        <v>764</v>
      </c>
      <c r="C16" t="s">
        <v>447</v>
      </c>
      <c r="D16">
        <v>-1</v>
      </c>
    </row>
    <row r="17" spans="1:4" x14ac:dyDescent="0.25">
      <c r="A17" t="s">
        <v>4</v>
      </c>
      <c r="B17" t="s">
        <v>1698</v>
      </c>
      <c r="C17" t="s">
        <v>449</v>
      </c>
      <c r="D17">
        <v>2</v>
      </c>
    </row>
    <row r="18" spans="1:4" x14ac:dyDescent="0.25">
      <c r="A18" t="s">
        <v>4</v>
      </c>
      <c r="B18" t="s">
        <v>2120</v>
      </c>
      <c r="C18" t="s">
        <v>585</v>
      </c>
      <c r="D18">
        <v>0</v>
      </c>
    </row>
    <row r="19" spans="1:4" x14ac:dyDescent="0.25">
      <c r="A19" t="s">
        <v>4</v>
      </c>
      <c r="B19" t="s">
        <v>629</v>
      </c>
      <c r="C19" t="s">
        <v>1822</v>
      </c>
      <c r="D19">
        <v>2</v>
      </c>
    </row>
    <row r="20" spans="1:4" x14ac:dyDescent="0.25">
      <c r="A20" t="s">
        <v>4</v>
      </c>
      <c r="B20" t="s">
        <v>477</v>
      </c>
      <c r="C20" t="s">
        <v>207</v>
      </c>
      <c r="D20">
        <v>5</v>
      </c>
    </row>
    <row r="21" spans="1:4" x14ac:dyDescent="0.25">
      <c r="A21" t="s">
        <v>4</v>
      </c>
      <c r="B21" t="s">
        <v>389</v>
      </c>
      <c r="C21" t="s">
        <v>334</v>
      </c>
      <c r="D21">
        <v>3</v>
      </c>
    </row>
    <row r="22" spans="1:4" x14ac:dyDescent="0.25">
      <c r="A22" t="s">
        <v>4</v>
      </c>
      <c r="B22" t="s">
        <v>389</v>
      </c>
      <c r="C22" t="s">
        <v>1751</v>
      </c>
      <c r="D22">
        <v>2</v>
      </c>
    </row>
    <row r="23" spans="1:4" x14ac:dyDescent="0.25">
      <c r="A23" t="s">
        <v>4</v>
      </c>
      <c r="B23" t="s">
        <v>1484</v>
      </c>
      <c r="C23" t="s">
        <v>928</v>
      </c>
      <c r="D23">
        <v>5</v>
      </c>
    </row>
    <row r="24" spans="1:4" x14ac:dyDescent="0.25">
      <c r="A24" t="s">
        <v>4</v>
      </c>
      <c r="B24" t="s">
        <v>120</v>
      </c>
      <c r="C24" t="s">
        <v>1124</v>
      </c>
      <c r="D24">
        <v>2</v>
      </c>
    </row>
    <row r="25" spans="1:4" x14ac:dyDescent="0.25">
      <c r="A25" t="s">
        <v>4</v>
      </c>
      <c r="B25" t="s">
        <v>346</v>
      </c>
      <c r="C25" t="s">
        <v>1584</v>
      </c>
      <c r="D25">
        <v>5</v>
      </c>
    </row>
    <row r="26" spans="1:4" x14ac:dyDescent="0.25">
      <c r="A26" t="s">
        <v>4</v>
      </c>
      <c r="B26" t="s">
        <v>301</v>
      </c>
      <c r="C26" t="s">
        <v>1935</v>
      </c>
      <c r="D26">
        <v>8</v>
      </c>
    </row>
    <row r="27" spans="1:4" x14ac:dyDescent="0.25">
      <c r="A27" t="s">
        <v>40</v>
      </c>
      <c r="B27" t="s">
        <v>43</v>
      </c>
      <c r="C27" t="s">
        <v>2814</v>
      </c>
      <c r="D27">
        <v>11</v>
      </c>
    </row>
    <row r="28" spans="1:4" x14ac:dyDescent="0.25">
      <c r="A28" t="s">
        <v>40</v>
      </c>
      <c r="B28" t="s">
        <v>172</v>
      </c>
      <c r="C28" t="s">
        <v>226</v>
      </c>
      <c r="D28">
        <v>8</v>
      </c>
    </row>
    <row r="29" spans="1:4" x14ac:dyDescent="0.25">
      <c r="A29" t="s">
        <v>40</v>
      </c>
      <c r="B29" t="s">
        <v>1824</v>
      </c>
      <c r="C29" t="s">
        <v>2815</v>
      </c>
      <c r="D29">
        <v>11</v>
      </c>
    </row>
    <row r="30" spans="1:4" x14ac:dyDescent="0.25">
      <c r="A30" t="s">
        <v>40</v>
      </c>
      <c r="B30" t="s">
        <v>1549</v>
      </c>
      <c r="C30" t="s">
        <v>942</v>
      </c>
      <c r="D30">
        <v>8</v>
      </c>
    </row>
    <row r="31" spans="1:4" x14ac:dyDescent="0.25">
      <c r="A31" t="s">
        <v>40</v>
      </c>
      <c r="B31" t="s">
        <v>13</v>
      </c>
      <c r="C31" t="s">
        <v>1589</v>
      </c>
      <c r="D31">
        <v>9</v>
      </c>
    </row>
    <row r="32" spans="1:4" x14ac:dyDescent="0.25">
      <c r="A32" t="s">
        <v>40</v>
      </c>
      <c r="B32" t="s">
        <v>916</v>
      </c>
      <c r="C32" t="s">
        <v>1669</v>
      </c>
      <c r="D32">
        <v>6</v>
      </c>
    </row>
    <row r="33" spans="1:4" x14ac:dyDescent="0.25">
      <c r="A33" t="s">
        <v>40</v>
      </c>
      <c r="B33" t="s">
        <v>1475</v>
      </c>
      <c r="C33" t="s">
        <v>1139</v>
      </c>
      <c r="D33">
        <v>8</v>
      </c>
    </row>
    <row r="34" spans="1:4" x14ac:dyDescent="0.25">
      <c r="A34" t="s">
        <v>40</v>
      </c>
      <c r="B34" t="s">
        <v>188</v>
      </c>
      <c r="C34" t="s">
        <v>1141</v>
      </c>
      <c r="D34">
        <v>10</v>
      </c>
    </row>
    <row r="35" spans="1:4" x14ac:dyDescent="0.25">
      <c r="A35" t="s">
        <v>40</v>
      </c>
      <c r="B35" t="s">
        <v>890</v>
      </c>
      <c r="C35" t="s">
        <v>2816</v>
      </c>
      <c r="D35">
        <v>13</v>
      </c>
    </row>
    <row r="36" spans="1:4" x14ac:dyDescent="0.25">
      <c r="A36" t="s">
        <v>40</v>
      </c>
      <c r="B36" t="s">
        <v>288</v>
      </c>
      <c r="C36" t="s">
        <v>2817</v>
      </c>
      <c r="D36">
        <v>15</v>
      </c>
    </row>
    <row r="37" spans="1:4" x14ac:dyDescent="0.25">
      <c r="A37" t="s">
        <v>40</v>
      </c>
      <c r="B37" t="s">
        <v>288</v>
      </c>
      <c r="C37" t="s">
        <v>2818</v>
      </c>
      <c r="D37">
        <v>16</v>
      </c>
    </row>
    <row r="38" spans="1:4" x14ac:dyDescent="0.25">
      <c r="A38" t="s">
        <v>40</v>
      </c>
      <c r="B38" t="s">
        <v>876</v>
      </c>
      <c r="C38" t="s">
        <v>2065</v>
      </c>
      <c r="D38">
        <v>18</v>
      </c>
    </row>
    <row r="39" spans="1:4" x14ac:dyDescent="0.25">
      <c r="A39" t="s">
        <v>40</v>
      </c>
      <c r="B39" t="s">
        <v>481</v>
      </c>
      <c r="C39" t="s">
        <v>1946</v>
      </c>
      <c r="D39">
        <v>16</v>
      </c>
    </row>
    <row r="40" spans="1:4" x14ac:dyDescent="0.25">
      <c r="A40" t="s">
        <v>40</v>
      </c>
      <c r="B40" t="s">
        <v>481</v>
      </c>
      <c r="C40" t="s">
        <v>2819</v>
      </c>
      <c r="D40">
        <v>15</v>
      </c>
    </row>
    <row r="41" spans="1:4" x14ac:dyDescent="0.25">
      <c r="A41" t="s">
        <v>40</v>
      </c>
      <c r="B41" t="s">
        <v>1874</v>
      </c>
      <c r="C41" t="s">
        <v>2820</v>
      </c>
      <c r="D41">
        <v>17</v>
      </c>
    </row>
    <row r="42" spans="1:4" x14ac:dyDescent="0.25">
      <c r="A42" t="s">
        <v>80</v>
      </c>
      <c r="B42" t="s">
        <v>1027</v>
      </c>
      <c r="C42" t="s">
        <v>2821</v>
      </c>
      <c r="D42">
        <v>19</v>
      </c>
    </row>
    <row r="43" spans="1:4" x14ac:dyDescent="0.25">
      <c r="A43" t="s">
        <v>80</v>
      </c>
      <c r="B43" t="s">
        <v>1573</v>
      </c>
      <c r="C43" t="s">
        <v>1950</v>
      </c>
      <c r="D43">
        <v>16</v>
      </c>
    </row>
    <row r="44" spans="1:4" x14ac:dyDescent="0.25">
      <c r="A44" t="s">
        <v>80</v>
      </c>
      <c r="B44" t="s">
        <v>1836</v>
      </c>
      <c r="C44" t="s">
        <v>2822</v>
      </c>
      <c r="D44">
        <v>17</v>
      </c>
    </row>
    <row r="45" spans="1:4" x14ac:dyDescent="0.25">
      <c r="A45" t="s">
        <v>80</v>
      </c>
      <c r="B45" t="s">
        <v>914</v>
      </c>
      <c r="C45" t="s">
        <v>2823</v>
      </c>
      <c r="D45">
        <v>19</v>
      </c>
    </row>
    <row r="46" spans="1:4" x14ac:dyDescent="0.25">
      <c r="A46" t="s">
        <v>80</v>
      </c>
      <c r="B46" t="s">
        <v>517</v>
      </c>
      <c r="C46" t="s">
        <v>2824</v>
      </c>
      <c r="D46">
        <v>17</v>
      </c>
    </row>
    <row r="47" spans="1:4" x14ac:dyDescent="0.25">
      <c r="A47" t="s">
        <v>80</v>
      </c>
      <c r="B47" t="s">
        <v>181</v>
      </c>
      <c r="C47" t="s">
        <v>963</v>
      </c>
      <c r="D47">
        <v>20</v>
      </c>
    </row>
    <row r="48" spans="1:4" x14ac:dyDescent="0.25">
      <c r="A48" t="s">
        <v>80</v>
      </c>
      <c r="B48" t="s">
        <v>435</v>
      </c>
      <c r="C48" t="s">
        <v>964</v>
      </c>
      <c r="D48">
        <v>18</v>
      </c>
    </row>
    <row r="49" spans="1:4" x14ac:dyDescent="0.25">
      <c r="A49" t="s">
        <v>80</v>
      </c>
      <c r="B49" t="s">
        <v>1153</v>
      </c>
      <c r="C49" t="s">
        <v>2825</v>
      </c>
      <c r="D49">
        <v>21</v>
      </c>
    </row>
    <row r="50" spans="1:4" x14ac:dyDescent="0.25">
      <c r="A50" t="s">
        <v>80</v>
      </c>
      <c r="B50" t="s">
        <v>114</v>
      </c>
      <c r="C50" t="s">
        <v>2826</v>
      </c>
      <c r="D50">
        <v>24</v>
      </c>
    </row>
    <row r="51" spans="1:4" x14ac:dyDescent="0.25">
      <c r="A51" t="s">
        <v>80</v>
      </c>
      <c r="B51" t="s">
        <v>894</v>
      </c>
      <c r="C51" t="s">
        <v>2827</v>
      </c>
      <c r="D51">
        <v>23</v>
      </c>
    </row>
    <row r="52" spans="1:4" x14ac:dyDescent="0.25">
      <c r="A52" t="s">
        <v>80</v>
      </c>
      <c r="B52" t="s">
        <v>1202</v>
      </c>
      <c r="C52" t="s">
        <v>2828</v>
      </c>
      <c r="D52">
        <v>24</v>
      </c>
    </row>
    <row r="53" spans="1:4" x14ac:dyDescent="0.25">
      <c r="A53" t="s">
        <v>80</v>
      </c>
      <c r="B53" t="s">
        <v>1750</v>
      </c>
      <c r="C53" t="s">
        <v>2829</v>
      </c>
      <c r="D53">
        <v>25</v>
      </c>
    </row>
    <row r="54" spans="1:4" x14ac:dyDescent="0.25">
      <c r="A54" t="s">
        <v>80</v>
      </c>
      <c r="B54" t="s">
        <v>1750</v>
      </c>
      <c r="C54" t="s">
        <v>2830</v>
      </c>
      <c r="D54">
        <v>26</v>
      </c>
    </row>
    <row r="55" spans="1:4" x14ac:dyDescent="0.25">
      <c r="A55" t="s">
        <v>80</v>
      </c>
      <c r="B55" t="s">
        <v>1222</v>
      </c>
      <c r="C55" t="s">
        <v>2831</v>
      </c>
      <c r="D55">
        <v>28</v>
      </c>
    </row>
    <row r="56" spans="1:4" x14ac:dyDescent="0.25">
      <c r="A56" t="s">
        <v>80</v>
      </c>
      <c r="B56" t="s">
        <v>1845</v>
      </c>
      <c r="C56" t="s">
        <v>2832</v>
      </c>
      <c r="D56">
        <v>27</v>
      </c>
    </row>
    <row r="57" spans="1:4" x14ac:dyDescent="0.25">
      <c r="A57" t="s">
        <v>80</v>
      </c>
      <c r="B57" t="s">
        <v>1845</v>
      </c>
      <c r="C57" t="s">
        <v>2833</v>
      </c>
      <c r="D57">
        <v>26</v>
      </c>
    </row>
    <row r="58" spans="1:4" x14ac:dyDescent="0.25">
      <c r="A58" t="s">
        <v>80</v>
      </c>
      <c r="B58" t="s">
        <v>38</v>
      </c>
      <c r="C58" t="s">
        <v>2834</v>
      </c>
      <c r="D58">
        <v>28</v>
      </c>
    </row>
    <row r="59" spans="1:4" x14ac:dyDescent="0.25">
      <c r="A59" t="s">
        <v>123</v>
      </c>
      <c r="B59" t="s">
        <v>819</v>
      </c>
      <c r="C59" t="s">
        <v>2835</v>
      </c>
      <c r="D59">
        <v>27</v>
      </c>
    </row>
    <row r="60" spans="1:4" x14ac:dyDescent="0.25">
      <c r="A60" t="s">
        <v>123</v>
      </c>
      <c r="B60" t="s">
        <v>819</v>
      </c>
      <c r="C60" t="s">
        <v>2836</v>
      </c>
      <c r="D60">
        <v>26</v>
      </c>
    </row>
    <row r="61" spans="1:4" x14ac:dyDescent="0.25">
      <c r="A61" t="s">
        <v>123</v>
      </c>
      <c r="B61" t="s">
        <v>932</v>
      </c>
      <c r="C61" t="s">
        <v>2837</v>
      </c>
      <c r="D61">
        <v>23</v>
      </c>
    </row>
    <row r="62" spans="1:4" x14ac:dyDescent="0.25">
      <c r="A62" t="s">
        <v>123</v>
      </c>
      <c r="B62" t="s">
        <v>757</v>
      </c>
      <c r="C62" t="s">
        <v>2838</v>
      </c>
      <c r="D62">
        <v>21</v>
      </c>
    </row>
    <row r="63" spans="1:4" x14ac:dyDescent="0.25">
      <c r="A63" t="s">
        <v>123</v>
      </c>
      <c r="B63" t="s">
        <v>490</v>
      </c>
      <c r="C63" t="s">
        <v>2839</v>
      </c>
      <c r="D63">
        <v>23</v>
      </c>
    </row>
    <row r="64" spans="1:4" x14ac:dyDescent="0.25">
      <c r="A64" t="s">
        <v>123</v>
      </c>
      <c r="B64" t="s">
        <v>305</v>
      </c>
      <c r="C64" t="s">
        <v>2840</v>
      </c>
      <c r="D64">
        <v>20</v>
      </c>
    </row>
    <row r="65" spans="1:4" x14ac:dyDescent="0.25">
      <c r="A65" t="s">
        <v>123</v>
      </c>
      <c r="B65" t="s">
        <v>51</v>
      </c>
      <c r="C65" t="s">
        <v>2093</v>
      </c>
      <c r="D65">
        <v>22</v>
      </c>
    </row>
    <row r="66" spans="1:4" x14ac:dyDescent="0.25">
      <c r="A66" t="s">
        <v>123</v>
      </c>
      <c r="B66" t="s">
        <v>1169</v>
      </c>
      <c r="C66" t="s">
        <v>2094</v>
      </c>
      <c r="D66">
        <v>19</v>
      </c>
    </row>
    <row r="67" spans="1:4" x14ac:dyDescent="0.25">
      <c r="A67" t="s">
        <v>123</v>
      </c>
      <c r="B67" t="s">
        <v>132</v>
      </c>
      <c r="C67" t="s">
        <v>2383</v>
      </c>
      <c r="D67">
        <v>21</v>
      </c>
    </row>
    <row r="68" spans="1:4" x14ac:dyDescent="0.25">
      <c r="A68" t="s">
        <v>123</v>
      </c>
      <c r="B68" t="s">
        <v>1495</v>
      </c>
      <c r="C68" t="s">
        <v>2841</v>
      </c>
      <c r="D68">
        <v>19</v>
      </c>
    </row>
    <row r="69" spans="1:4" x14ac:dyDescent="0.25">
      <c r="A69" t="s">
        <v>123</v>
      </c>
      <c r="B69" t="s">
        <v>2842</v>
      </c>
      <c r="C69" t="s">
        <v>2843</v>
      </c>
      <c r="D69">
        <v>18</v>
      </c>
    </row>
    <row r="70" spans="1:4" x14ac:dyDescent="0.25">
      <c r="A70" t="s">
        <v>123</v>
      </c>
      <c r="B70" t="s">
        <v>1090</v>
      </c>
      <c r="C70" t="s">
        <v>2844</v>
      </c>
      <c r="D70">
        <v>21</v>
      </c>
    </row>
    <row r="71" spans="1:4" x14ac:dyDescent="0.25">
      <c r="A71" t="s">
        <v>123</v>
      </c>
      <c r="B71" t="s">
        <v>1108</v>
      </c>
      <c r="C71" t="s">
        <v>2845</v>
      </c>
      <c r="D71">
        <v>19</v>
      </c>
    </row>
    <row r="72" spans="1:4" x14ac:dyDescent="0.25">
      <c r="A72" t="s">
        <v>123</v>
      </c>
      <c r="B72" t="s">
        <v>1038</v>
      </c>
      <c r="C72" t="s">
        <v>2846</v>
      </c>
      <c r="D72">
        <v>21</v>
      </c>
    </row>
    <row r="73" spans="1:4" x14ac:dyDescent="0.25">
      <c r="A73" t="s">
        <v>123</v>
      </c>
      <c r="B73" t="s">
        <v>1038</v>
      </c>
      <c r="C73" t="s">
        <v>2847</v>
      </c>
      <c r="D73">
        <v>22</v>
      </c>
    </row>
    <row r="74" spans="1:4" x14ac:dyDescent="0.25">
      <c r="A74" t="s">
        <v>123</v>
      </c>
      <c r="B74" t="s">
        <v>1739</v>
      </c>
      <c r="C74" t="s">
        <v>2848</v>
      </c>
      <c r="D74">
        <v>19</v>
      </c>
    </row>
    <row r="75" spans="1:4" x14ac:dyDescent="0.25">
      <c r="A75" t="s">
        <v>123</v>
      </c>
      <c r="B75" t="s">
        <v>292</v>
      </c>
      <c r="C75" t="s">
        <v>2810</v>
      </c>
      <c r="D75">
        <v>17</v>
      </c>
    </row>
    <row r="76" spans="1:4" x14ac:dyDescent="0.25">
      <c r="A76" t="s">
        <v>123</v>
      </c>
      <c r="B76" t="s">
        <v>29</v>
      </c>
      <c r="C76" t="s">
        <v>2849</v>
      </c>
      <c r="D76">
        <v>19</v>
      </c>
    </row>
    <row r="77" spans="1:4" x14ac:dyDescent="0.25">
      <c r="A77" t="s">
        <v>123</v>
      </c>
      <c r="B77" t="s">
        <v>550</v>
      </c>
      <c r="C77" t="s">
        <v>2850</v>
      </c>
      <c r="D77">
        <v>17</v>
      </c>
    </row>
    <row r="78" spans="1:4" x14ac:dyDescent="0.25">
      <c r="A78" t="s">
        <v>123</v>
      </c>
      <c r="B78" t="s">
        <v>552</v>
      </c>
      <c r="C78" t="s">
        <v>2851</v>
      </c>
      <c r="D78">
        <v>18</v>
      </c>
    </row>
    <row r="79" spans="1:4" x14ac:dyDescent="0.25">
      <c r="A79" t="s">
        <v>123</v>
      </c>
      <c r="B79" t="s">
        <v>552</v>
      </c>
      <c r="C79" t="s">
        <v>2852</v>
      </c>
      <c r="D79">
        <v>19</v>
      </c>
    </row>
    <row r="80" spans="1:4" x14ac:dyDescent="0.25">
      <c r="A80" t="s">
        <v>123</v>
      </c>
      <c r="B80" t="s">
        <v>673</v>
      </c>
      <c r="C80" t="s">
        <v>2683</v>
      </c>
      <c r="D80">
        <v>16</v>
      </c>
    </row>
    <row r="81" spans="1:4" x14ac:dyDescent="0.25">
      <c r="A81" t="s">
        <v>123</v>
      </c>
      <c r="B81" t="s">
        <v>634</v>
      </c>
      <c r="C81" t="s">
        <v>2853</v>
      </c>
      <c r="D81">
        <v>19</v>
      </c>
    </row>
    <row r="82" spans="1:4" x14ac:dyDescent="0.25">
      <c r="A82" t="s">
        <v>123</v>
      </c>
      <c r="B82" t="s">
        <v>1646</v>
      </c>
      <c r="C82" t="s">
        <v>2854</v>
      </c>
      <c r="D82">
        <v>18</v>
      </c>
    </row>
    <row r="83" spans="1:4" x14ac:dyDescent="0.25">
      <c r="A83" t="s">
        <v>123</v>
      </c>
      <c r="B83" t="s">
        <v>396</v>
      </c>
      <c r="C83" t="s">
        <v>2855</v>
      </c>
      <c r="D83">
        <v>19</v>
      </c>
    </row>
    <row r="84" spans="1:4" x14ac:dyDescent="0.25">
      <c r="A84" t="s">
        <v>123</v>
      </c>
      <c r="B84" t="s">
        <v>396</v>
      </c>
      <c r="C84" t="s">
        <v>2856</v>
      </c>
      <c r="D84">
        <v>20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12.939759036144578</v>
      </c>
    </row>
    <row r="88" spans="1:4" x14ac:dyDescent="0.25">
      <c r="A88" t="s">
        <v>159</v>
      </c>
      <c r="D88">
        <f>MAX(D2:D84)</f>
        <v>28</v>
      </c>
    </row>
    <row r="89" spans="1:4" x14ac:dyDescent="0.25">
      <c r="A89" t="s">
        <v>160</v>
      </c>
      <c r="D89">
        <f>MIN(D2:D84)</f>
        <v>-7</v>
      </c>
    </row>
    <row r="90" spans="1:4" x14ac:dyDescent="0.25">
      <c r="A90" t="s">
        <v>161</v>
      </c>
      <c r="D90">
        <f>COUNTIF(D2:D84,"&gt;0")</f>
        <v>68</v>
      </c>
    </row>
    <row r="91" spans="1:4" x14ac:dyDescent="0.25">
      <c r="A91" t="s">
        <v>162</v>
      </c>
      <c r="D91">
        <f>COUNTIF(D2:D84,"=0")</f>
        <v>3</v>
      </c>
    </row>
    <row r="92" spans="1:4" x14ac:dyDescent="0.25">
      <c r="A92" t="s">
        <v>2857</v>
      </c>
      <c r="D92">
        <f>COUNTIF(D2:D84,"&lt;0")</f>
        <v>12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AVERAGE(D2,D3,D4,D5,D6,D7,D8,D9,D10,D11,D12,D13,D14,D15,D16,D17,D18,D19,D20,D21,D22,D23,D24,D25,D26)</f>
        <v>-0.32</v>
      </c>
    </row>
    <row r="96" spans="1:4" x14ac:dyDescent="0.25">
      <c r="A96" t="s">
        <v>166</v>
      </c>
      <c r="D96">
        <f>AVERAGE(D27,D28,D29,D30,D31,D32,D33,D34,D35,D36,D37,D38,D39,D40,D41)</f>
        <v>12.066666666666666</v>
      </c>
    </row>
    <row r="97" spans="1:4" x14ac:dyDescent="0.25">
      <c r="A97" t="s">
        <v>167</v>
      </c>
      <c r="D97">
        <f>AVERAGE(D42,D43,D44,D45,D46,D47,D48,D49,D50,D51,D52,D53,D54,D55,D56,D57,D58)</f>
        <v>22.235294117647058</v>
      </c>
    </row>
    <row r="98" spans="1:4" x14ac:dyDescent="0.25">
      <c r="A98" t="s">
        <v>168</v>
      </c>
      <c r="D98">
        <f>AVERAGE(D59,D60,D61,D62,D63,D64,D65,D66,D67,D68,D69,D70,D71,D72,D73,D74,D75,D76,D77,D78,D79,D80,D81,D82,D83,D84)</f>
        <v>20.115384615384617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8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325</v>
      </c>
      <c r="C2" t="s">
        <v>6</v>
      </c>
      <c r="D2">
        <v>2</v>
      </c>
    </row>
    <row r="3" spans="1:4" x14ac:dyDescent="0.25">
      <c r="A3" t="s">
        <v>4</v>
      </c>
      <c r="B3" t="s">
        <v>490</v>
      </c>
      <c r="C3" t="s">
        <v>2353</v>
      </c>
      <c r="D3">
        <v>4</v>
      </c>
    </row>
    <row r="4" spans="1:4" x14ac:dyDescent="0.25">
      <c r="A4" t="s">
        <v>4</v>
      </c>
      <c r="B4" t="s">
        <v>398</v>
      </c>
      <c r="C4" t="s">
        <v>564</v>
      </c>
      <c r="D4">
        <v>2</v>
      </c>
    </row>
    <row r="5" spans="1:4" x14ac:dyDescent="0.25">
      <c r="A5" t="s">
        <v>4</v>
      </c>
      <c r="B5" t="s">
        <v>1248</v>
      </c>
      <c r="C5" t="s">
        <v>12</v>
      </c>
      <c r="D5">
        <v>0</v>
      </c>
    </row>
    <row r="6" spans="1:4" x14ac:dyDescent="0.25">
      <c r="A6" t="s">
        <v>4</v>
      </c>
      <c r="B6" t="s">
        <v>2266</v>
      </c>
      <c r="C6" t="s">
        <v>178</v>
      </c>
      <c r="D6">
        <v>2</v>
      </c>
    </row>
    <row r="7" spans="1:4" x14ac:dyDescent="0.25">
      <c r="A7" t="s">
        <v>4</v>
      </c>
      <c r="B7" t="s">
        <v>140</v>
      </c>
      <c r="C7" t="s">
        <v>2046</v>
      </c>
      <c r="D7">
        <v>0</v>
      </c>
    </row>
    <row r="8" spans="1:4" x14ac:dyDescent="0.25">
      <c r="A8" t="s">
        <v>4</v>
      </c>
      <c r="B8" t="s">
        <v>1230</v>
      </c>
      <c r="C8" t="s">
        <v>16</v>
      </c>
      <c r="D8">
        <v>-1</v>
      </c>
    </row>
    <row r="9" spans="1:4" x14ac:dyDescent="0.25">
      <c r="A9" t="s">
        <v>4</v>
      </c>
      <c r="B9" t="s">
        <v>661</v>
      </c>
      <c r="C9" t="s">
        <v>696</v>
      </c>
      <c r="D9">
        <v>1</v>
      </c>
    </row>
    <row r="10" spans="1:4" x14ac:dyDescent="0.25">
      <c r="A10" t="s">
        <v>4</v>
      </c>
      <c r="B10" t="s">
        <v>1016</v>
      </c>
      <c r="C10" t="s">
        <v>1351</v>
      </c>
      <c r="D10">
        <v>3</v>
      </c>
    </row>
    <row r="11" spans="1:4" x14ac:dyDescent="0.25">
      <c r="A11" t="s">
        <v>4</v>
      </c>
      <c r="B11" t="s">
        <v>1602</v>
      </c>
      <c r="C11" t="s">
        <v>699</v>
      </c>
      <c r="D11">
        <v>1</v>
      </c>
    </row>
    <row r="12" spans="1:4" x14ac:dyDescent="0.25">
      <c r="A12" t="s">
        <v>4</v>
      </c>
      <c r="B12" t="s">
        <v>544</v>
      </c>
      <c r="C12" t="s">
        <v>26</v>
      </c>
      <c r="D12">
        <v>3</v>
      </c>
    </row>
    <row r="13" spans="1:4" x14ac:dyDescent="0.25">
      <c r="A13" t="s">
        <v>4</v>
      </c>
      <c r="B13" t="s">
        <v>704</v>
      </c>
      <c r="C13" t="s">
        <v>2155</v>
      </c>
      <c r="D13">
        <v>0</v>
      </c>
    </row>
    <row r="14" spans="1:4" x14ac:dyDescent="0.25">
      <c r="A14" t="s">
        <v>4</v>
      </c>
      <c r="B14" t="s">
        <v>196</v>
      </c>
      <c r="C14" t="s">
        <v>30</v>
      </c>
      <c r="D14">
        <v>-1</v>
      </c>
    </row>
    <row r="15" spans="1:4" x14ac:dyDescent="0.25">
      <c r="A15" t="s">
        <v>4</v>
      </c>
      <c r="B15" t="s">
        <v>1882</v>
      </c>
      <c r="C15" t="s">
        <v>32</v>
      </c>
      <c r="D15">
        <v>1</v>
      </c>
    </row>
    <row r="16" spans="1:4" x14ac:dyDescent="0.25">
      <c r="A16" t="s">
        <v>4</v>
      </c>
      <c r="B16" t="s">
        <v>29</v>
      </c>
      <c r="C16" t="s">
        <v>35</v>
      </c>
      <c r="D16">
        <v>-1</v>
      </c>
    </row>
    <row r="17" spans="1:4" x14ac:dyDescent="0.25">
      <c r="A17" t="s">
        <v>4</v>
      </c>
      <c r="B17" t="s">
        <v>1115</v>
      </c>
      <c r="C17" t="s">
        <v>446</v>
      </c>
      <c r="D17">
        <v>1</v>
      </c>
    </row>
    <row r="18" spans="1:4" x14ac:dyDescent="0.25">
      <c r="A18" t="s">
        <v>4</v>
      </c>
      <c r="B18" t="s">
        <v>772</v>
      </c>
      <c r="C18" t="s">
        <v>2156</v>
      </c>
      <c r="D18">
        <v>-2</v>
      </c>
    </row>
    <row r="19" spans="1:4" x14ac:dyDescent="0.25">
      <c r="A19" t="s">
        <v>40</v>
      </c>
      <c r="B19" t="s">
        <v>242</v>
      </c>
      <c r="C19" t="s">
        <v>2721</v>
      </c>
      <c r="D19">
        <v>0</v>
      </c>
    </row>
    <row r="20" spans="1:4" x14ac:dyDescent="0.25">
      <c r="A20" t="s">
        <v>40</v>
      </c>
      <c r="B20" t="s">
        <v>487</v>
      </c>
      <c r="C20" t="s">
        <v>2722</v>
      </c>
      <c r="D20">
        <v>-3</v>
      </c>
    </row>
    <row r="21" spans="1:4" x14ac:dyDescent="0.25">
      <c r="A21" t="s">
        <v>40</v>
      </c>
      <c r="B21" t="s">
        <v>271</v>
      </c>
      <c r="C21" t="s">
        <v>2404</v>
      </c>
      <c r="D21">
        <v>-6</v>
      </c>
    </row>
    <row r="22" spans="1:4" x14ac:dyDescent="0.25">
      <c r="A22" t="s">
        <v>40</v>
      </c>
      <c r="B22" t="s">
        <v>1789</v>
      </c>
      <c r="C22" t="s">
        <v>796</v>
      </c>
      <c r="D22">
        <v>-4</v>
      </c>
    </row>
    <row r="23" spans="1:4" x14ac:dyDescent="0.25">
      <c r="A23" t="s">
        <v>40</v>
      </c>
      <c r="B23" t="s">
        <v>954</v>
      </c>
      <c r="C23" t="s">
        <v>798</v>
      </c>
      <c r="D23">
        <v>-7</v>
      </c>
    </row>
    <row r="24" spans="1:4" x14ac:dyDescent="0.25">
      <c r="A24" t="s">
        <v>40</v>
      </c>
      <c r="B24" t="s">
        <v>431</v>
      </c>
      <c r="C24" t="s">
        <v>2437</v>
      </c>
      <c r="D24">
        <v>-9</v>
      </c>
    </row>
    <row r="25" spans="1:4" x14ac:dyDescent="0.25">
      <c r="A25" t="s">
        <v>40</v>
      </c>
      <c r="B25" t="s">
        <v>280</v>
      </c>
      <c r="C25" t="s">
        <v>2859</v>
      </c>
      <c r="D25">
        <v>-12</v>
      </c>
    </row>
    <row r="26" spans="1:4" x14ac:dyDescent="0.25">
      <c r="A26" t="s">
        <v>40</v>
      </c>
      <c r="B26" t="s">
        <v>215</v>
      </c>
      <c r="C26" t="s">
        <v>1659</v>
      </c>
      <c r="D26">
        <v>-11</v>
      </c>
    </row>
    <row r="27" spans="1:4" x14ac:dyDescent="0.25">
      <c r="A27" t="s">
        <v>40</v>
      </c>
      <c r="B27" t="s">
        <v>1475</v>
      </c>
      <c r="C27" t="s">
        <v>1660</v>
      </c>
      <c r="D27">
        <v>-10</v>
      </c>
    </row>
    <row r="28" spans="1:4" x14ac:dyDescent="0.25">
      <c r="A28" t="s">
        <v>40</v>
      </c>
      <c r="B28" t="s">
        <v>1475</v>
      </c>
      <c r="C28" t="s">
        <v>2409</v>
      </c>
      <c r="D28">
        <v>-9</v>
      </c>
    </row>
    <row r="29" spans="1:4" x14ac:dyDescent="0.25">
      <c r="A29" t="s">
        <v>40</v>
      </c>
      <c r="B29" t="s">
        <v>1151</v>
      </c>
      <c r="C29" t="s">
        <v>2860</v>
      </c>
      <c r="D29">
        <v>-11</v>
      </c>
    </row>
    <row r="30" spans="1:4" x14ac:dyDescent="0.25">
      <c r="A30" t="s">
        <v>40</v>
      </c>
      <c r="B30" t="s">
        <v>1795</v>
      </c>
      <c r="C30" t="s">
        <v>2861</v>
      </c>
      <c r="D30">
        <v>-10</v>
      </c>
    </row>
    <row r="31" spans="1:4" x14ac:dyDescent="0.25">
      <c r="A31" t="s">
        <v>40</v>
      </c>
      <c r="B31" t="s">
        <v>922</v>
      </c>
      <c r="C31" t="s">
        <v>2210</v>
      </c>
      <c r="D31">
        <v>-8</v>
      </c>
    </row>
    <row r="32" spans="1:4" x14ac:dyDescent="0.25">
      <c r="A32" t="s">
        <v>40</v>
      </c>
      <c r="B32" t="s">
        <v>2120</v>
      </c>
      <c r="C32" t="s">
        <v>603</v>
      </c>
      <c r="D32">
        <v>-6</v>
      </c>
    </row>
    <row r="33" spans="1:4" x14ac:dyDescent="0.25">
      <c r="A33" t="s">
        <v>40</v>
      </c>
      <c r="B33" t="s">
        <v>29</v>
      </c>
      <c r="C33" t="s">
        <v>1515</v>
      </c>
      <c r="D33">
        <v>-3</v>
      </c>
    </row>
    <row r="34" spans="1:4" x14ac:dyDescent="0.25">
      <c r="A34" t="s">
        <v>40</v>
      </c>
      <c r="B34" t="s">
        <v>1204</v>
      </c>
      <c r="C34" t="s">
        <v>470</v>
      </c>
      <c r="D34">
        <v>0</v>
      </c>
    </row>
    <row r="35" spans="1:4" x14ac:dyDescent="0.25">
      <c r="A35" t="s">
        <v>40</v>
      </c>
      <c r="B35" t="s">
        <v>1809</v>
      </c>
      <c r="C35" t="s">
        <v>2303</v>
      </c>
      <c r="D35">
        <v>-1</v>
      </c>
    </row>
    <row r="36" spans="1:4" x14ac:dyDescent="0.25">
      <c r="A36" t="s">
        <v>80</v>
      </c>
      <c r="B36" t="s">
        <v>1007</v>
      </c>
      <c r="C36" t="s">
        <v>354</v>
      </c>
      <c r="D36">
        <v>1</v>
      </c>
    </row>
    <row r="37" spans="1:4" x14ac:dyDescent="0.25">
      <c r="A37" t="s">
        <v>80</v>
      </c>
      <c r="B37" t="s">
        <v>1116</v>
      </c>
      <c r="C37" t="s">
        <v>1518</v>
      </c>
      <c r="D37">
        <v>-1</v>
      </c>
    </row>
    <row r="38" spans="1:4" x14ac:dyDescent="0.25">
      <c r="A38" t="s">
        <v>80</v>
      </c>
      <c r="B38" t="s">
        <v>1431</v>
      </c>
      <c r="C38" t="s">
        <v>2304</v>
      </c>
      <c r="D38">
        <v>0</v>
      </c>
    </row>
    <row r="39" spans="1:4" x14ac:dyDescent="0.25">
      <c r="A39" t="s">
        <v>80</v>
      </c>
      <c r="B39" t="s">
        <v>1431</v>
      </c>
      <c r="C39" t="s">
        <v>476</v>
      </c>
      <c r="D39">
        <v>1</v>
      </c>
    </row>
    <row r="40" spans="1:4" x14ac:dyDescent="0.25">
      <c r="A40" t="s">
        <v>80</v>
      </c>
      <c r="B40" t="s">
        <v>616</v>
      </c>
      <c r="C40" t="s">
        <v>1758</v>
      </c>
      <c r="D40">
        <v>3</v>
      </c>
    </row>
    <row r="41" spans="1:4" x14ac:dyDescent="0.25">
      <c r="A41" t="s">
        <v>80</v>
      </c>
      <c r="B41" t="s">
        <v>935</v>
      </c>
      <c r="C41" t="s">
        <v>733</v>
      </c>
      <c r="D41">
        <v>0</v>
      </c>
    </row>
    <row r="42" spans="1:4" x14ac:dyDescent="0.25">
      <c r="A42" t="s">
        <v>80</v>
      </c>
      <c r="B42" t="s">
        <v>618</v>
      </c>
      <c r="C42" t="s">
        <v>734</v>
      </c>
      <c r="D42">
        <v>2</v>
      </c>
    </row>
    <row r="43" spans="1:4" x14ac:dyDescent="0.25">
      <c r="A43" t="s">
        <v>80</v>
      </c>
      <c r="B43" t="s">
        <v>724</v>
      </c>
      <c r="C43" t="s">
        <v>2547</v>
      </c>
      <c r="D43">
        <v>4</v>
      </c>
    </row>
    <row r="44" spans="1:4" x14ac:dyDescent="0.25">
      <c r="A44" t="s">
        <v>80</v>
      </c>
      <c r="B44" t="s">
        <v>256</v>
      </c>
      <c r="C44" t="s">
        <v>2169</v>
      </c>
      <c r="D44">
        <v>6</v>
      </c>
    </row>
    <row r="45" spans="1:4" x14ac:dyDescent="0.25">
      <c r="A45" t="s">
        <v>80</v>
      </c>
      <c r="B45" t="s">
        <v>186</v>
      </c>
      <c r="C45" t="s">
        <v>2705</v>
      </c>
      <c r="D45">
        <v>8</v>
      </c>
    </row>
    <row r="46" spans="1:4" x14ac:dyDescent="0.25">
      <c r="A46" t="s">
        <v>80</v>
      </c>
      <c r="B46" t="s">
        <v>762</v>
      </c>
      <c r="C46" t="s">
        <v>1149</v>
      </c>
      <c r="D46">
        <v>11</v>
      </c>
    </row>
    <row r="47" spans="1:4" x14ac:dyDescent="0.25">
      <c r="A47" t="s">
        <v>80</v>
      </c>
      <c r="B47" t="s">
        <v>1016</v>
      </c>
      <c r="C47" t="s">
        <v>2862</v>
      </c>
      <c r="D47">
        <v>13</v>
      </c>
    </row>
    <row r="48" spans="1:4" x14ac:dyDescent="0.25">
      <c r="A48" t="s">
        <v>80</v>
      </c>
      <c r="B48" t="s">
        <v>546</v>
      </c>
      <c r="C48" t="s">
        <v>2665</v>
      </c>
      <c r="D48">
        <v>15</v>
      </c>
    </row>
    <row r="49" spans="1:4" x14ac:dyDescent="0.25">
      <c r="A49" t="s">
        <v>80</v>
      </c>
      <c r="B49" t="s">
        <v>894</v>
      </c>
      <c r="C49" t="s">
        <v>1459</v>
      </c>
      <c r="D49">
        <v>13</v>
      </c>
    </row>
    <row r="50" spans="1:4" x14ac:dyDescent="0.25">
      <c r="A50" t="s">
        <v>80</v>
      </c>
      <c r="B50" t="s">
        <v>417</v>
      </c>
      <c r="C50" t="s">
        <v>2863</v>
      </c>
      <c r="D50">
        <v>15</v>
      </c>
    </row>
    <row r="51" spans="1:4" x14ac:dyDescent="0.25">
      <c r="A51" t="s">
        <v>80</v>
      </c>
      <c r="B51" t="s">
        <v>2608</v>
      </c>
      <c r="C51" t="s">
        <v>2666</v>
      </c>
      <c r="D51">
        <v>14</v>
      </c>
    </row>
    <row r="52" spans="1:4" x14ac:dyDescent="0.25">
      <c r="A52" t="s">
        <v>80</v>
      </c>
      <c r="B52" t="s">
        <v>2608</v>
      </c>
      <c r="C52" t="s">
        <v>2366</v>
      </c>
      <c r="D52">
        <v>13</v>
      </c>
    </row>
    <row r="53" spans="1:4" x14ac:dyDescent="0.25">
      <c r="A53" t="s">
        <v>80</v>
      </c>
      <c r="B53" t="s">
        <v>582</v>
      </c>
      <c r="C53" t="s">
        <v>1463</v>
      </c>
      <c r="D53">
        <v>10</v>
      </c>
    </row>
    <row r="54" spans="1:4" x14ac:dyDescent="0.25">
      <c r="A54" t="s">
        <v>80</v>
      </c>
      <c r="B54" t="s">
        <v>770</v>
      </c>
      <c r="C54" t="s">
        <v>2274</v>
      </c>
      <c r="D54">
        <v>8</v>
      </c>
    </row>
    <row r="55" spans="1:4" x14ac:dyDescent="0.25">
      <c r="A55" t="s">
        <v>80</v>
      </c>
      <c r="B55" t="s">
        <v>78</v>
      </c>
      <c r="C55" t="s">
        <v>2864</v>
      </c>
      <c r="D55">
        <v>11</v>
      </c>
    </row>
    <row r="56" spans="1:4" x14ac:dyDescent="0.25">
      <c r="A56" t="s">
        <v>123</v>
      </c>
      <c r="B56" t="s">
        <v>242</v>
      </c>
      <c r="C56" t="s">
        <v>1466</v>
      </c>
      <c r="D56">
        <v>13</v>
      </c>
    </row>
    <row r="57" spans="1:4" x14ac:dyDescent="0.25">
      <c r="A57" t="s">
        <v>123</v>
      </c>
      <c r="B57" t="s">
        <v>271</v>
      </c>
      <c r="C57" t="s">
        <v>2865</v>
      </c>
      <c r="D57">
        <v>12</v>
      </c>
    </row>
    <row r="58" spans="1:4" x14ac:dyDescent="0.25">
      <c r="A58" t="s">
        <v>123</v>
      </c>
      <c r="B58" t="s">
        <v>490</v>
      </c>
      <c r="C58" t="s">
        <v>2793</v>
      </c>
      <c r="D58">
        <v>14</v>
      </c>
    </row>
    <row r="59" spans="1:4" x14ac:dyDescent="0.25">
      <c r="A59" t="s">
        <v>123</v>
      </c>
      <c r="B59" t="s">
        <v>2405</v>
      </c>
      <c r="C59" t="s">
        <v>2671</v>
      </c>
      <c r="D59">
        <v>16</v>
      </c>
    </row>
    <row r="60" spans="1:4" x14ac:dyDescent="0.25">
      <c r="A60" t="s">
        <v>123</v>
      </c>
      <c r="B60" t="s">
        <v>254</v>
      </c>
      <c r="C60" t="s">
        <v>2866</v>
      </c>
      <c r="D60">
        <v>14</v>
      </c>
    </row>
    <row r="61" spans="1:4" x14ac:dyDescent="0.25">
      <c r="A61" t="s">
        <v>123</v>
      </c>
      <c r="B61" t="s">
        <v>1441</v>
      </c>
      <c r="C61" t="s">
        <v>2672</v>
      </c>
      <c r="D61">
        <v>13</v>
      </c>
    </row>
    <row r="62" spans="1:4" x14ac:dyDescent="0.25">
      <c r="A62" t="s">
        <v>123</v>
      </c>
      <c r="B62" t="s">
        <v>740</v>
      </c>
      <c r="C62" t="s">
        <v>2867</v>
      </c>
      <c r="D62">
        <v>15</v>
      </c>
    </row>
    <row r="63" spans="1:4" x14ac:dyDescent="0.25">
      <c r="A63" t="s">
        <v>123</v>
      </c>
      <c r="B63" t="s">
        <v>440</v>
      </c>
      <c r="C63" t="s">
        <v>2868</v>
      </c>
      <c r="D63">
        <v>12</v>
      </c>
    </row>
    <row r="64" spans="1:4" x14ac:dyDescent="0.25">
      <c r="A64" t="s">
        <v>123</v>
      </c>
      <c r="B64" t="s">
        <v>1045</v>
      </c>
      <c r="C64" t="s">
        <v>399</v>
      </c>
      <c r="D64">
        <v>10</v>
      </c>
    </row>
    <row r="65" spans="1:4" x14ac:dyDescent="0.25">
      <c r="A65" t="s">
        <v>123</v>
      </c>
      <c r="B65" t="s">
        <v>320</v>
      </c>
      <c r="C65" t="s">
        <v>2869</v>
      </c>
      <c r="D65">
        <v>11</v>
      </c>
    </row>
    <row r="66" spans="1:4" x14ac:dyDescent="0.25">
      <c r="A66" t="s">
        <v>123</v>
      </c>
      <c r="B66" t="s">
        <v>320</v>
      </c>
      <c r="C66" t="s">
        <v>2870</v>
      </c>
      <c r="D66">
        <v>12</v>
      </c>
    </row>
    <row r="67" spans="1:4" x14ac:dyDescent="0.25">
      <c r="A67" t="s">
        <v>123</v>
      </c>
      <c r="B67" t="s">
        <v>1135</v>
      </c>
      <c r="C67" t="s">
        <v>402</v>
      </c>
      <c r="D67">
        <v>10</v>
      </c>
    </row>
    <row r="68" spans="1:4" x14ac:dyDescent="0.25">
      <c r="A68" t="s">
        <v>123</v>
      </c>
      <c r="B68" t="s">
        <v>36</v>
      </c>
      <c r="C68" t="s">
        <v>1472</v>
      </c>
      <c r="D68">
        <v>11</v>
      </c>
    </row>
    <row r="69" spans="1:4" x14ac:dyDescent="0.25">
      <c r="A69" t="s">
        <v>123</v>
      </c>
      <c r="B69" t="s">
        <v>36</v>
      </c>
      <c r="C69" t="s">
        <v>2871</v>
      </c>
      <c r="D69">
        <v>12</v>
      </c>
    </row>
    <row r="71" spans="1:4" x14ac:dyDescent="0.25">
      <c r="A71" s="2" t="s">
        <v>157</v>
      </c>
    </row>
    <row r="72" spans="1:4" x14ac:dyDescent="0.25">
      <c r="A72" t="s">
        <v>158</v>
      </c>
      <c r="D72">
        <f>AVERAGE(D2:D69)</f>
        <v>3.3382352941176472</v>
      </c>
    </row>
    <row r="73" spans="1:4" x14ac:dyDescent="0.25">
      <c r="A73" t="s">
        <v>159</v>
      </c>
      <c r="D73">
        <f>MAX(D2:D69)</f>
        <v>16</v>
      </c>
    </row>
    <row r="74" spans="1:4" x14ac:dyDescent="0.25">
      <c r="A74" t="s">
        <v>160</v>
      </c>
      <c r="D74">
        <f>MIN(D2:D69)</f>
        <v>-12</v>
      </c>
    </row>
    <row r="75" spans="1:4" x14ac:dyDescent="0.25">
      <c r="A75" t="s">
        <v>161</v>
      </c>
      <c r="D75">
        <f>COUNTIF(D2:D69,"&gt;0")</f>
        <v>41</v>
      </c>
    </row>
    <row r="76" spans="1:4" x14ac:dyDescent="0.25">
      <c r="A76" t="s">
        <v>162</v>
      </c>
      <c r="D76">
        <f>COUNTIF(D2:D69,"=0")</f>
        <v>7</v>
      </c>
    </row>
    <row r="77" spans="1:4" x14ac:dyDescent="0.25">
      <c r="A77" t="s">
        <v>2872</v>
      </c>
      <c r="D77">
        <f>COUNTIF(D2:D69,"&lt;0")</f>
        <v>20</v>
      </c>
    </row>
    <row r="79" spans="1:4" x14ac:dyDescent="0.25">
      <c r="A79" s="2" t="s">
        <v>164</v>
      </c>
    </row>
    <row r="80" spans="1:4" x14ac:dyDescent="0.25">
      <c r="A80" t="s">
        <v>165</v>
      </c>
      <c r="D80">
        <f>AVERAGE(D2,D3,D4,D5,D6,D7,D8,D9,D10,D11,D12,D13,D14,D15,D16,D17,D18)</f>
        <v>0.88235294117647056</v>
      </c>
    </row>
    <row r="81" spans="1:4" x14ac:dyDescent="0.25">
      <c r="A81" t="s">
        <v>166</v>
      </c>
      <c r="D81">
        <f>AVERAGE(D19,D20,D21,D22,D23,D24,D25,D26,D27,D28,D29,D30,D31,D32,D33,D34,D35)</f>
        <v>-6.4705882352941178</v>
      </c>
    </row>
    <row r="82" spans="1:4" x14ac:dyDescent="0.25">
      <c r="A82" t="s">
        <v>167</v>
      </c>
      <c r="D82">
        <f>AVERAGE(D36,D37,D38,D39,D40,D41,D42,D43,D44,D45,D46,D47,D48,D49,D50,D51,D52,D53,D54,D55)</f>
        <v>7.35</v>
      </c>
    </row>
    <row r="83" spans="1:4" x14ac:dyDescent="0.25">
      <c r="A83" t="s">
        <v>168</v>
      </c>
      <c r="D83">
        <f>AVERAGE(D56,D57,D58,D59,D60,D61,D62,D63,D64,D65,D66,D67,D68,D69)</f>
        <v>12.5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0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2873</v>
      </c>
    </row>
    <row r="2" spans="1:4" x14ac:dyDescent="0.25">
      <c r="A2" t="s">
        <v>4</v>
      </c>
      <c r="B2" t="s">
        <v>237</v>
      </c>
      <c r="C2" t="s">
        <v>6</v>
      </c>
      <c r="D2">
        <v>2</v>
      </c>
    </row>
    <row r="3" spans="1:4" x14ac:dyDescent="0.25">
      <c r="A3" t="s">
        <v>4</v>
      </c>
      <c r="B3" t="s">
        <v>777</v>
      </c>
      <c r="C3" t="s">
        <v>8</v>
      </c>
      <c r="D3">
        <v>0</v>
      </c>
    </row>
    <row r="4" spans="1:4" x14ac:dyDescent="0.25">
      <c r="A4" t="s">
        <v>4</v>
      </c>
      <c r="B4" t="s">
        <v>616</v>
      </c>
      <c r="C4" t="s">
        <v>10</v>
      </c>
      <c r="D4">
        <v>-2</v>
      </c>
    </row>
    <row r="5" spans="1:4" x14ac:dyDescent="0.25">
      <c r="A5" t="s">
        <v>4</v>
      </c>
      <c r="B5" t="s">
        <v>1190</v>
      </c>
      <c r="C5" t="s">
        <v>12</v>
      </c>
      <c r="D5">
        <v>0</v>
      </c>
    </row>
    <row r="6" spans="1:4" x14ac:dyDescent="0.25">
      <c r="A6" t="s">
        <v>4</v>
      </c>
      <c r="B6" t="s">
        <v>1192</v>
      </c>
      <c r="C6" t="s">
        <v>1106</v>
      </c>
      <c r="D6">
        <v>1</v>
      </c>
    </row>
    <row r="7" spans="1:4" x14ac:dyDescent="0.25">
      <c r="A7" t="s">
        <v>4</v>
      </c>
      <c r="B7" t="s">
        <v>1549</v>
      </c>
      <c r="C7" t="s">
        <v>1348</v>
      </c>
      <c r="D7">
        <v>3</v>
      </c>
    </row>
    <row r="8" spans="1:4" x14ac:dyDescent="0.25">
      <c r="A8" t="s">
        <v>4</v>
      </c>
      <c r="B8" t="s">
        <v>1549</v>
      </c>
      <c r="C8" t="s">
        <v>180</v>
      </c>
      <c r="D8">
        <v>4</v>
      </c>
    </row>
    <row r="9" spans="1:4" x14ac:dyDescent="0.25">
      <c r="A9" t="s">
        <v>4</v>
      </c>
      <c r="B9" t="s">
        <v>333</v>
      </c>
      <c r="C9" t="s">
        <v>695</v>
      </c>
      <c r="D9">
        <v>3</v>
      </c>
    </row>
    <row r="10" spans="1:4" x14ac:dyDescent="0.25">
      <c r="A10" t="s">
        <v>4</v>
      </c>
      <c r="B10" t="s">
        <v>1693</v>
      </c>
      <c r="C10" t="s">
        <v>20</v>
      </c>
      <c r="D10">
        <v>0</v>
      </c>
    </row>
    <row r="11" spans="1:4" x14ac:dyDescent="0.25">
      <c r="A11" t="s">
        <v>4</v>
      </c>
      <c r="B11" t="s">
        <v>1776</v>
      </c>
      <c r="C11" t="s">
        <v>22</v>
      </c>
      <c r="D11">
        <v>2</v>
      </c>
    </row>
    <row r="12" spans="1:4" x14ac:dyDescent="0.25">
      <c r="A12" t="s">
        <v>4</v>
      </c>
      <c r="B12" t="s">
        <v>219</v>
      </c>
      <c r="C12" t="s">
        <v>699</v>
      </c>
      <c r="D12">
        <v>1</v>
      </c>
    </row>
    <row r="13" spans="1:4" x14ac:dyDescent="0.25">
      <c r="A13" t="s">
        <v>4</v>
      </c>
      <c r="B13" t="s">
        <v>219</v>
      </c>
      <c r="C13" t="s">
        <v>1110</v>
      </c>
      <c r="D13">
        <v>0</v>
      </c>
    </row>
    <row r="14" spans="1:4" x14ac:dyDescent="0.25">
      <c r="A14" t="s">
        <v>4</v>
      </c>
      <c r="B14" t="s">
        <v>313</v>
      </c>
      <c r="C14" t="s">
        <v>439</v>
      </c>
      <c r="D14">
        <v>1</v>
      </c>
    </row>
    <row r="15" spans="1:4" x14ac:dyDescent="0.25">
      <c r="A15" t="s">
        <v>4</v>
      </c>
      <c r="B15" t="s">
        <v>313</v>
      </c>
      <c r="C15" t="s">
        <v>917</v>
      </c>
      <c r="D15">
        <v>2</v>
      </c>
    </row>
    <row r="16" spans="1:4" x14ac:dyDescent="0.25">
      <c r="A16" t="s">
        <v>4</v>
      </c>
      <c r="B16" t="s">
        <v>1829</v>
      </c>
      <c r="C16" t="s">
        <v>1111</v>
      </c>
      <c r="D16">
        <v>5</v>
      </c>
    </row>
    <row r="17" spans="1:4" x14ac:dyDescent="0.25">
      <c r="A17" t="s">
        <v>4</v>
      </c>
      <c r="B17" t="s">
        <v>701</v>
      </c>
      <c r="C17" t="s">
        <v>920</v>
      </c>
      <c r="D17">
        <v>3</v>
      </c>
    </row>
    <row r="18" spans="1:4" x14ac:dyDescent="0.25">
      <c r="A18" t="s">
        <v>4</v>
      </c>
      <c r="B18" t="s">
        <v>747</v>
      </c>
      <c r="C18" t="s">
        <v>921</v>
      </c>
      <c r="D18">
        <v>1</v>
      </c>
    </row>
    <row r="19" spans="1:4" x14ac:dyDescent="0.25">
      <c r="A19" t="s">
        <v>4</v>
      </c>
      <c r="B19" t="s">
        <v>317</v>
      </c>
      <c r="C19" t="s">
        <v>2538</v>
      </c>
      <c r="D19">
        <v>3</v>
      </c>
    </row>
    <row r="20" spans="1:4" x14ac:dyDescent="0.25">
      <c r="A20" t="s">
        <v>4</v>
      </c>
      <c r="B20" t="s">
        <v>444</v>
      </c>
      <c r="C20" t="s">
        <v>2874</v>
      </c>
      <c r="D20">
        <v>4</v>
      </c>
    </row>
    <row r="21" spans="1:4" x14ac:dyDescent="0.25">
      <c r="A21" t="s">
        <v>4</v>
      </c>
      <c r="B21" t="s">
        <v>444</v>
      </c>
      <c r="C21" t="s">
        <v>1580</v>
      </c>
      <c r="D21">
        <v>5</v>
      </c>
    </row>
    <row r="22" spans="1:4" x14ac:dyDescent="0.25">
      <c r="A22" t="s">
        <v>40</v>
      </c>
      <c r="B22" t="s">
        <v>1541</v>
      </c>
      <c r="C22" t="s">
        <v>449</v>
      </c>
      <c r="D22">
        <v>2</v>
      </c>
    </row>
    <row r="23" spans="1:4" x14ac:dyDescent="0.25">
      <c r="A23" t="s">
        <v>40</v>
      </c>
      <c r="B23" t="s">
        <v>1009</v>
      </c>
      <c r="C23" t="s">
        <v>1508</v>
      </c>
      <c r="D23">
        <v>-1</v>
      </c>
    </row>
    <row r="24" spans="1:4" x14ac:dyDescent="0.25">
      <c r="A24" t="s">
        <v>40</v>
      </c>
      <c r="B24" t="s">
        <v>511</v>
      </c>
      <c r="C24" t="s">
        <v>711</v>
      </c>
      <c r="D24">
        <v>1</v>
      </c>
    </row>
    <row r="25" spans="1:4" x14ac:dyDescent="0.25">
      <c r="A25" t="s">
        <v>40</v>
      </c>
      <c r="B25" t="s">
        <v>1877</v>
      </c>
      <c r="C25" t="s">
        <v>2265</v>
      </c>
      <c r="D25">
        <v>-1</v>
      </c>
    </row>
    <row r="26" spans="1:4" x14ac:dyDescent="0.25">
      <c r="A26" t="s">
        <v>40</v>
      </c>
      <c r="B26" t="s">
        <v>307</v>
      </c>
      <c r="C26" t="s">
        <v>2329</v>
      </c>
      <c r="D26">
        <v>-4</v>
      </c>
    </row>
    <row r="27" spans="1:4" x14ac:dyDescent="0.25">
      <c r="A27" t="s">
        <v>40</v>
      </c>
      <c r="B27" t="s">
        <v>916</v>
      </c>
      <c r="C27" t="s">
        <v>456</v>
      </c>
      <c r="D27">
        <v>-2</v>
      </c>
    </row>
    <row r="28" spans="1:4" x14ac:dyDescent="0.25">
      <c r="A28" t="s">
        <v>40</v>
      </c>
      <c r="B28" t="s">
        <v>58</v>
      </c>
      <c r="C28" t="s">
        <v>2357</v>
      </c>
      <c r="D28">
        <v>1</v>
      </c>
    </row>
    <row r="29" spans="1:4" x14ac:dyDescent="0.25">
      <c r="A29" t="s">
        <v>40</v>
      </c>
      <c r="B29" t="s">
        <v>804</v>
      </c>
      <c r="C29" t="s">
        <v>1714</v>
      </c>
      <c r="D29">
        <v>-1</v>
      </c>
    </row>
    <row r="30" spans="1:4" x14ac:dyDescent="0.25">
      <c r="A30" t="s">
        <v>40</v>
      </c>
      <c r="B30" t="s">
        <v>312</v>
      </c>
      <c r="C30" t="s">
        <v>2125</v>
      </c>
      <c r="D30">
        <v>1</v>
      </c>
    </row>
    <row r="31" spans="1:4" x14ac:dyDescent="0.25">
      <c r="A31" t="s">
        <v>40</v>
      </c>
      <c r="B31" t="s">
        <v>1170</v>
      </c>
      <c r="C31" t="s">
        <v>722</v>
      </c>
      <c r="D31">
        <v>3</v>
      </c>
    </row>
    <row r="32" spans="1:4" x14ac:dyDescent="0.25">
      <c r="A32" t="s">
        <v>40</v>
      </c>
      <c r="B32" t="s">
        <v>374</v>
      </c>
      <c r="C32" t="s">
        <v>1212</v>
      </c>
      <c r="D32">
        <v>1</v>
      </c>
    </row>
    <row r="33" spans="1:4" x14ac:dyDescent="0.25">
      <c r="A33" t="s">
        <v>40</v>
      </c>
      <c r="B33" t="s">
        <v>1503</v>
      </c>
      <c r="C33" t="s">
        <v>464</v>
      </c>
      <c r="D33">
        <v>0</v>
      </c>
    </row>
    <row r="34" spans="1:4" x14ac:dyDescent="0.25">
      <c r="A34" t="s">
        <v>40</v>
      </c>
      <c r="B34" t="s">
        <v>1503</v>
      </c>
      <c r="C34" t="s">
        <v>63</v>
      </c>
      <c r="D34">
        <v>-1</v>
      </c>
    </row>
    <row r="35" spans="1:4" x14ac:dyDescent="0.25">
      <c r="A35" t="s">
        <v>40</v>
      </c>
      <c r="B35" t="s">
        <v>380</v>
      </c>
      <c r="C35" t="s">
        <v>66</v>
      </c>
      <c r="D35">
        <v>-3</v>
      </c>
    </row>
    <row r="36" spans="1:4" x14ac:dyDescent="0.25">
      <c r="A36" t="s">
        <v>40</v>
      </c>
      <c r="B36" t="s">
        <v>749</v>
      </c>
      <c r="C36" t="s">
        <v>1756</v>
      </c>
      <c r="D36">
        <v>-1</v>
      </c>
    </row>
    <row r="37" spans="1:4" x14ac:dyDescent="0.25">
      <c r="A37" t="s">
        <v>40</v>
      </c>
      <c r="B37" t="s">
        <v>196</v>
      </c>
      <c r="C37" t="s">
        <v>2762</v>
      </c>
      <c r="D37">
        <v>-4</v>
      </c>
    </row>
    <row r="38" spans="1:4" x14ac:dyDescent="0.25">
      <c r="A38" t="s">
        <v>40</v>
      </c>
      <c r="B38" t="s">
        <v>1048</v>
      </c>
      <c r="C38" t="s">
        <v>2129</v>
      </c>
      <c r="D38">
        <v>-3</v>
      </c>
    </row>
    <row r="39" spans="1:4" x14ac:dyDescent="0.25">
      <c r="A39" t="s">
        <v>40</v>
      </c>
      <c r="B39" t="s">
        <v>1402</v>
      </c>
      <c r="C39" t="s">
        <v>2875</v>
      </c>
      <c r="D39">
        <v>-4</v>
      </c>
    </row>
    <row r="40" spans="1:4" x14ac:dyDescent="0.25">
      <c r="A40" t="s">
        <v>40</v>
      </c>
      <c r="B40" t="s">
        <v>1402</v>
      </c>
      <c r="C40" t="s">
        <v>1719</v>
      </c>
      <c r="D40">
        <v>-5</v>
      </c>
    </row>
    <row r="41" spans="1:4" x14ac:dyDescent="0.25">
      <c r="A41" t="s">
        <v>40</v>
      </c>
      <c r="B41" t="s">
        <v>552</v>
      </c>
      <c r="C41" t="s">
        <v>2876</v>
      </c>
      <c r="D41">
        <v>-3</v>
      </c>
    </row>
    <row r="42" spans="1:4" x14ac:dyDescent="0.25">
      <c r="A42" t="s">
        <v>40</v>
      </c>
      <c r="B42" t="s">
        <v>531</v>
      </c>
      <c r="C42" t="s">
        <v>2131</v>
      </c>
      <c r="D42">
        <v>-4</v>
      </c>
    </row>
    <row r="43" spans="1:4" x14ac:dyDescent="0.25">
      <c r="A43" t="s">
        <v>40</v>
      </c>
      <c r="B43" t="s">
        <v>531</v>
      </c>
      <c r="C43" t="s">
        <v>2216</v>
      </c>
      <c r="D43">
        <v>-5</v>
      </c>
    </row>
    <row r="44" spans="1:4" x14ac:dyDescent="0.25">
      <c r="A44" t="s">
        <v>40</v>
      </c>
      <c r="B44" t="s">
        <v>33</v>
      </c>
      <c r="C44" t="s">
        <v>2217</v>
      </c>
      <c r="D44">
        <v>-3</v>
      </c>
    </row>
    <row r="45" spans="1:4" x14ac:dyDescent="0.25">
      <c r="A45" t="s">
        <v>40</v>
      </c>
      <c r="B45" t="s">
        <v>350</v>
      </c>
      <c r="C45" t="s">
        <v>2133</v>
      </c>
      <c r="D45">
        <v>-5</v>
      </c>
    </row>
    <row r="46" spans="1:4" x14ac:dyDescent="0.25">
      <c r="A46" t="s">
        <v>80</v>
      </c>
      <c r="B46" t="s">
        <v>797</v>
      </c>
      <c r="C46" t="s">
        <v>2218</v>
      </c>
      <c r="D46">
        <v>-3</v>
      </c>
    </row>
    <row r="47" spans="1:4" x14ac:dyDescent="0.25">
      <c r="A47" t="s">
        <v>80</v>
      </c>
      <c r="B47" t="s">
        <v>177</v>
      </c>
      <c r="C47" t="s">
        <v>617</v>
      </c>
      <c r="D47">
        <v>-4</v>
      </c>
    </row>
    <row r="48" spans="1:4" x14ac:dyDescent="0.25">
      <c r="A48" t="s">
        <v>80</v>
      </c>
      <c r="B48" t="s">
        <v>1742</v>
      </c>
      <c r="C48" t="s">
        <v>1521</v>
      </c>
      <c r="D48">
        <v>-3</v>
      </c>
    </row>
    <row r="49" spans="1:4" x14ac:dyDescent="0.25">
      <c r="A49" t="s">
        <v>80</v>
      </c>
      <c r="B49" t="s">
        <v>1742</v>
      </c>
      <c r="C49" t="s">
        <v>1762</v>
      </c>
      <c r="D49">
        <v>-2</v>
      </c>
    </row>
    <row r="50" spans="1:4" x14ac:dyDescent="0.25">
      <c r="A50" t="s">
        <v>80</v>
      </c>
      <c r="B50" t="s">
        <v>1724</v>
      </c>
      <c r="C50" t="s">
        <v>1225</v>
      </c>
      <c r="D50">
        <v>0</v>
      </c>
    </row>
    <row r="51" spans="1:4" x14ac:dyDescent="0.25">
      <c r="A51" t="s">
        <v>80</v>
      </c>
      <c r="B51" t="s">
        <v>19</v>
      </c>
      <c r="C51" t="s">
        <v>251</v>
      </c>
      <c r="D51">
        <v>-2</v>
      </c>
    </row>
    <row r="52" spans="1:4" x14ac:dyDescent="0.25">
      <c r="A52" t="s">
        <v>80</v>
      </c>
      <c r="B52" t="s">
        <v>435</v>
      </c>
      <c r="C52" t="s">
        <v>252</v>
      </c>
      <c r="D52">
        <v>-1</v>
      </c>
    </row>
    <row r="53" spans="1:4" x14ac:dyDescent="0.25">
      <c r="A53" t="s">
        <v>80</v>
      </c>
      <c r="B53" t="s">
        <v>1151</v>
      </c>
      <c r="C53" t="s">
        <v>2415</v>
      </c>
      <c r="D53">
        <v>-2</v>
      </c>
    </row>
    <row r="54" spans="1:4" x14ac:dyDescent="0.25">
      <c r="A54" t="s">
        <v>80</v>
      </c>
      <c r="B54" t="s">
        <v>1151</v>
      </c>
      <c r="C54" t="s">
        <v>2416</v>
      </c>
      <c r="D54">
        <v>-3</v>
      </c>
    </row>
    <row r="55" spans="1:4" x14ac:dyDescent="0.25">
      <c r="A55" t="s">
        <v>80</v>
      </c>
      <c r="B55" t="s">
        <v>805</v>
      </c>
      <c r="C55" t="s">
        <v>2877</v>
      </c>
      <c r="D55">
        <v>-2</v>
      </c>
    </row>
    <row r="56" spans="1:4" x14ac:dyDescent="0.25">
      <c r="A56" t="s">
        <v>80</v>
      </c>
      <c r="B56" t="s">
        <v>805</v>
      </c>
      <c r="C56" t="s">
        <v>2878</v>
      </c>
      <c r="D56">
        <v>-1</v>
      </c>
    </row>
    <row r="57" spans="1:4" x14ac:dyDescent="0.25">
      <c r="A57" t="s">
        <v>80</v>
      </c>
      <c r="B57" t="s">
        <v>805</v>
      </c>
      <c r="C57" t="s">
        <v>2879</v>
      </c>
      <c r="D57">
        <v>1</v>
      </c>
    </row>
    <row r="58" spans="1:4" x14ac:dyDescent="0.25">
      <c r="A58" t="s">
        <v>80</v>
      </c>
      <c r="B58" t="s">
        <v>223</v>
      </c>
      <c r="C58" t="s">
        <v>744</v>
      </c>
      <c r="D58">
        <v>-1</v>
      </c>
    </row>
    <row r="59" spans="1:4" x14ac:dyDescent="0.25">
      <c r="A59" t="s">
        <v>80</v>
      </c>
      <c r="B59" t="s">
        <v>607</v>
      </c>
      <c r="C59" t="s">
        <v>745</v>
      </c>
      <c r="D59">
        <v>0</v>
      </c>
    </row>
    <row r="60" spans="1:4" x14ac:dyDescent="0.25">
      <c r="A60" t="s">
        <v>80</v>
      </c>
      <c r="B60" t="s">
        <v>607</v>
      </c>
      <c r="C60" t="s">
        <v>2880</v>
      </c>
      <c r="D60">
        <v>1</v>
      </c>
    </row>
    <row r="61" spans="1:4" x14ac:dyDescent="0.25">
      <c r="A61" t="s">
        <v>80</v>
      </c>
      <c r="B61" t="s">
        <v>1376</v>
      </c>
      <c r="C61" t="s">
        <v>1527</v>
      </c>
      <c r="D61">
        <v>4</v>
      </c>
    </row>
    <row r="62" spans="1:4" x14ac:dyDescent="0.25">
      <c r="A62" t="s">
        <v>80</v>
      </c>
      <c r="B62" t="s">
        <v>1619</v>
      </c>
      <c r="C62" t="s">
        <v>493</v>
      </c>
      <c r="D62">
        <v>6</v>
      </c>
    </row>
    <row r="63" spans="1:4" x14ac:dyDescent="0.25">
      <c r="A63" t="s">
        <v>80</v>
      </c>
      <c r="B63" t="s">
        <v>1019</v>
      </c>
      <c r="C63" t="s">
        <v>2881</v>
      </c>
      <c r="D63">
        <v>9</v>
      </c>
    </row>
    <row r="64" spans="1:4" x14ac:dyDescent="0.25">
      <c r="A64" t="s">
        <v>80</v>
      </c>
      <c r="B64" t="s">
        <v>2608</v>
      </c>
      <c r="C64" t="s">
        <v>2864</v>
      </c>
      <c r="D64">
        <v>11</v>
      </c>
    </row>
    <row r="65" spans="1:4" x14ac:dyDescent="0.25">
      <c r="A65" t="s">
        <v>80</v>
      </c>
      <c r="B65" t="s">
        <v>1646</v>
      </c>
      <c r="C65" t="s">
        <v>1161</v>
      </c>
      <c r="D65">
        <v>10</v>
      </c>
    </row>
    <row r="66" spans="1:4" x14ac:dyDescent="0.25">
      <c r="A66" t="s">
        <v>80</v>
      </c>
      <c r="B66" t="s">
        <v>1646</v>
      </c>
      <c r="C66" t="s">
        <v>2277</v>
      </c>
      <c r="D66">
        <v>9</v>
      </c>
    </row>
    <row r="67" spans="1:4" x14ac:dyDescent="0.25">
      <c r="A67" t="s">
        <v>80</v>
      </c>
      <c r="B67" t="s">
        <v>1162</v>
      </c>
      <c r="C67" t="s">
        <v>1467</v>
      </c>
      <c r="D67">
        <v>11</v>
      </c>
    </row>
    <row r="68" spans="1:4" x14ac:dyDescent="0.25">
      <c r="A68" t="s">
        <v>123</v>
      </c>
      <c r="B68" t="s">
        <v>855</v>
      </c>
      <c r="C68" t="s">
        <v>2882</v>
      </c>
      <c r="D68">
        <v>10</v>
      </c>
    </row>
    <row r="69" spans="1:4" x14ac:dyDescent="0.25">
      <c r="A69" t="s">
        <v>123</v>
      </c>
      <c r="B69" t="s">
        <v>855</v>
      </c>
      <c r="C69" t="s">
        <v>2883</v>
      </c>
      <c r="D69">
        <v>9</v>
      </c>
    </row>
    <row r="70" spans="1:4" x14ac:dyDescent="0.25">
      <c r="A70" t="s">
        <v>123</v>
      </c>
      <c r="B70" t="s">
        <v>855</v>
      </c>
      <c r="C70" t="s">
        <v>1165</v>
      </c>
      <c r="D70">
        <v>8</v>
      </c>
    </row>
    <row r="71" spans="1:4" x14ac:dyDescent="0.25">
      <c r="A71" t="s">
        <v>123</v>
      </c>
      <c r="B71" t="s">
        <v>126</v>
      </c>
      <c r="C71" t="s">
        <v>1955</v>
      </c>
      <c r="D71">
        <v>9</v>
      </c>
    </row>
    <row r="72" spans="1:4" x14ac:dyDescent="0.25">
      <c r="A72" t="s">
        <v>123</v>
      </c>
      <c r="B72" t="s">
        <v>126</v>
      </c>
      <c r="C72" t="s">
        <v>2884</v>
      </c>
      <c r="D72">
        <v>10</v>
      </c>
    </row>
    <row r="73" spans="1:4" x14ac:dyDescent="0.25">
      <c r="A73" t="s">
        <v>123</v>
      </c>
      <c r="B73" t="s">
        <v>128</v>
      </c>
      <c r="C73" t="s">
        <v>2452</v>
      </c>
      <c r="D73">
        <v>9</v>
      </c>
    </row>
    <row r="74" spans="1:4" x14ac:dyDescent="0.25">
      <c r="A74" t="s">
        <v>123</v>
      </c>
      <c r="B74" t="s">
        <v>128</v>
      </c>
      <c r="C74" t="s">
        <v>1609</v>
      </c>
      <c r="D74">
        <v>8</v>
      </c>
    </row>
    <row r="75" spans="1:4" x14ac:dyDescent="0.25">
      <c r="A75" t="s">
        <v>123</v>
      </c>
      <c r="B75" t="s">
        <v>2074</v>
      </c>
      <c r="C75" t="s">
        <v>1168</v>
      </c>
      <c r="D75">
        <v>7</v>
      </c>
    </row>
    <row r="76" spans="1:4" x14ac:dyDescent="0.25">
      <c r="A76" t="s">
        <v>123</v>
      </c>
      <c r="B76" t="s">
        <v>832</v>
      </c>
      <c r="C76" t="s">
        <v>2729</v>
      </c>
      <c r="D76">
        <v>8</v>
      </c>
    </row>
    <row r="77" spans="1:4" x14ac:dyDescent="0.25">
      <c r="A77" t="s">
        <v>123</v>
      </c>
      <c r="B77" t="s">
        <v>832</v>
      </c>
      <c r="C77" t="s">
        <v>1468</v>
      </c>
      <c r="D77">
        <v>9</v>
      </c>
    </row>
    <row r="78" spans="1:4" x14ac:dyDescent="0.25">
      <c r="A78" t="s">
        <v>123</v>
      </c>
      <c r="B78" t="s">
        <v>836</v>
      </c>
      <c r="C78" t="s">
        <v>1469</v>
      </c>
      <c r="D78">
        <v>11</v>
      </c>
    </row>
    <row r="79" spans="1:4" x14ac:dyDescent="0.25">
      <c r="A79" t="s">
        <v>123</v>
      </c>
      <c r="B79" t="s">
        <v>225</v>
      </c>
      <c r="C79" t="s">
        <v>2885</v>
      </c>
      <c r="D79">
        <v>13</v>
      </c>
    </row>
    <row r="80" spans="1:4" x14ac:dyDescent="0.25">
      <c r="A80" t="s">
        <v>123</v>
      </c>
      <c r="B80" t="s">
        <v>225</v>
      </c>
      <c r="C80" t="s">
        <v>1470</v>
      </c>
      <c r="D80">
        <v>14</v>
      </c>
    </row>
    <row r="81" spans="1:4" x14ac:dyDescent="0.25">
      <c r="A81" t="s">
        <v>123</v>
      </c>
      <c r="B81" t="s">
        <v>667</v>
      </c>
      <c r="C81" t="s">
        <v>2886</v>
      </c>
      <c r="D81">
        <v>16</v>
      </c>
    </row>
    <row r="82" spans="1:4" x14ac:dyDescent="0.25">
      <c r="A82" t="s">
        <v>123</v>
      </c>
      <c r="B82" t="s">
        <v>386</v>
      </c>
      <c r="C82" t="s">
        <v>2887</v>
      </c>
      <c r="D82">
        <v>14</v>
      </c>
    </row>
    <row r="83" spans="1:4" x14ac:dyDescent="0.25">
      <c r="A83" t="s">
        <v>123</v>
      </c>
      <c r="B83" t="s">
        <v>1177</v>
      </c>
      <c r="C83" t="s">
        <v>1473</v>
      </c>
      <c r="D83">
        <v>13</v>
      </c>
    </row>
    <row r="84" spans="1:4" x14ac:dyDescent="0.25">
      <c r="A84" t="s">
        <v>123</v>
      </c>
      <c r="B84" t="s">
        <v>1019</v>
      </c>
      <c r="C84" t="s">
        <v>1474</v>
      </c>
      <c r="D84">
        <v>15</v>
      </c>
    </row>
    <row r="85" spans="1:4" x14ac:dyDescent="0.25">
      <c r="A85" t="s">
        <v>123</v>
      </c>
      <c r="B85" t="s">
        <v>552</v>
      </c>
      <c r="C85" t="s">
        <v>2888</v>
      </c>
      <c r="D85">
        <v>14</v>
      </c>
    </row>
    <row r="86" spans="1:4" x14ac:dyDescent="0.25">
      <c r="A86" t="s">
        <v>123</v>
      </c>
      <c r="B86" t="s">
        <v>552</v>
      </c>
      <c r="C86" t="s">
        <v>2189</v>
      </c>
      <c r="D86">
        <v>13</v>
      </c>
    </row>
    <row r="87" spans="1:4" x14ac:dyDescent="0.25">
      <c r="A87" t="s">
        <v>123</v>
      </c>
      <c r="B87" t="s">
        <v>1206</v>
      </c>
      <c r="C87" t="s">
        <v>2889</v>
      </c>
      <c r="D87">
        <v>10</v>
      </c>
    </row>
    <row r="88" spans="1:4" x14ac:dyDescent="0.25">
      <c r="A88" t="s">
        <v>123</v>
      </c>
      <c r="B88" t="s">
        <v>422</v>
      </c>
      <c r="C88" t="s">
        <v>413</v>
      </c>
      <c r="D88">
        <v>8</v>
      </c>
    </row>
    <row r="89" spans="1:4" x14ac:dyDescent="0.25">
      <c r="A89" t="s">
        <v>123</v>
      </c>
      <c r="B89" t="s">
        <v>38</v>
      </c>
      <c r="C89" t="s">
        <v>416</v>
      </c>
      <c r="D89">
        <v>10</v>
      </c>
    </row>
    <row r="91" spans="1:4" x14ac:dyDescent="0.25">
      <c r="A91" s="2" t="s">
        <v>157</v>
      </c>
    </row>
    <row r="92" spans="1:4" x14ac:dyDescent="0.25">
      <c r="A92" t="s">
        <v>158</v>
      </c>
      <c r="D92">
        <f>AVERAGE(D2:D89)</f>
        <v>3.1022727272727271</v>
      </c>
    </row>
    <row r="93" spans="1:4" x14ac:dyDescent="0.25">
      <c r="A93" t="s">
        <v>159</v>
      </c>
      <c r="D93">
        <f>MAX(D2:D89)</f>
        <v>16</v>
      </c>
    </row>
    <row r="94" spans="1:4" x14ac:dyDescent="0.25">
      <c r="A94" t="s">
        <v>160</v>
      </c>
      <c r="D94">
        <f>MIN(D2:D89)</f>
        <v>-5</v>
      </c>
    </row>
    <row r="95" spans="1:4" x14ac:dyDescent="0.25">
      <c r="A95" t="s">
        <v>161</v>
      </c>
      <c r="D95">
        <f>COUNTIF(D2:D89,"&gt;0")</f>
        <v>52</v>
      </c>
    </row>
    <row r="96" spans="1:4" x14ac:dyDescent="0.25">
      <c r="A96" t="s">
        <v>162</v>
      </c>
      <c r="D96">
        <f>COUNTIF(D2:D89,"=0")</f>
        <v>7</v>
      </c>
    </row>
    <row r="97" spans="1:4" x14ac:dyDescent="0.25">
      <c r="A97" t="s">
        <v>2890</v>
      </c>
      <c r="D97">
        <f>COUNTIF(D2:D89,"&lt;0")</f>
        <v>29</v>
      </c>
    </row>
    <row r="99" spans="1:4" x14ac:dyDescent="0.25">
      <c r="A99" s="2" t="s">
        <v>164</v>
      </c>
    </row>
    <row r="100" spans="1:4" x14ac:dyDescent="0.25">
      <c r="A100" t="s">
        <v>165</v>
      </c>
      <c r="D100">
        <f>AVERAGE(D2,D3,D4,D5,D6,D7,D8,D9,D10,D11,D12,D13,D14,D15,D16,D17,D18,D19,D20,D21)</f>
        <v>1.9</v>
      </c>
    </row>
    <row r="101" spans="1:4" x14ac:dyDescent="0.25">
      <c r="A101" t="s">
        <v>166</v>
      </c>
      <c r="D101">
        <f>AVERAGE(D22,D23,D24,D25,D26,D27,D28,D29,D30,D31,D32,D33,D34,D35,D36,D37,D38,D39,D40,D41,D42,D43,D44,D45)</f>
        <v>-1.7083333333333333</v>
      </c>
    </row>
    <row r="102" spans="1:4" x14ac:dyDescent="0.25">
      <c r="A102" t="s">
        <v>167</v>
      </c>
      <c r="D102">
        <f>AVERAGE(D46,D47,D48,D49,D50,D51,D52,D53,D54,D55,D56,D57,D58,D59,D60,D61,D62,D63,D64,D65,D66,D67)</f>
        <v>1.7272727272727273</v>
      </c>
    </row>
    <row r="103" spans="1:4" x14ac:dyDescent="0.25">
      <c r="A103" t="s">
        <v>168</v>
      </c>
      <c r="D103">
        <f>AVERAGE(D68,D69,D70,D71,D72,D73,D74,D75,D76,D77,D78,D79,D80,D81,D82,D83,D84,D85,D86,D87,D88,D89)</f>
        <v>10.818181818181818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689</v>
      </c>
      <c r="C2" t="s">
        <v>1008</v>
      </c>
      <c r="D2">
        <v>-3</v>
      </c>
    </row>
    <row r="3" spans="1:4" x14ac:dyDescent="0.25">
      <c r="A3" t="s">
        <v>4</v>
      </c>
      <c r="B3" t="s">
        <v>11</v>
      </c>
      <c r="C3" t="s">
        <v>1191</v>
      </c>
      <c r="D3">
        <v>0</v>
      </c>
    </row>
    <row r="4" spans="1:4" x14ac:dyDescent="0.25">
      <c r="A4" t="s">
        <v>4</v>
      </c>
      <c r="B4" t="s">
        <v>1280</v>
      </c>
      <c r="C4" t="s">
        <v>910</v>
      </c>
      <c r="D4">
        <v>-2</v>
      </c>
    </row>
    <row r="5" spans="1:4" x14ac:dyDescent="0.25">
      <c r="A5" t="s">
        <v>4</v>
      </c>
      <c r="B5" t="s">
        <v>645</v>
      </c>
      <c r="C5" t="s">
        <v>309</v>
      </c>
      <c r="D5">
        <v>-1</v>
      </c>
    </row>
    <row r="6" spans="1:4" x14ac:dyDescent="0.25">
      <c r="A6" t="s">
        <v>4</v>
      </c>
      <c r="B6" t="s">
        <v>645</v>
      </c>
      <c r="C6" t="s">
        <v>2430</v>
      </c>
      <c r="D6">
        <v>0</v>
      </c>
    </row>
    <row r="7" spans="1:4" x14ac:dyDescent="0.25">
      <c r="A7" t="s">
        <v>4</v>
      </c>
      <c r="B7" t="s">
        <v>645</v>
      </c>
      <c r="C7" t="s">
        <v>1193</v>
      </c>
      <c r="D7">
        <v>1</v>
      </c>
    </row>
    <row r="8" spans="1:4" x14ac:dyDescent="0.25">
      <c r="A8" t="s">
        <v>4</v>
      </c>
      <c r="B8" t="s">
        <v>836</v>
      </c>
      <c r="C8" t="s">
        <v>18</v>
      </c>
      <c r="D8">
        <v>-2</v>
      </c>
    </row>
    <row r="9" spans="1:4" x14ac:dyDescent="0.25">
      <c r="A9" t="s">
        <v>4</v>
      </c>
      <c r="B9" t="s">
        <v>961</v>
      </c>
      <c r="C9" t="s">
        <v>1636</v>
      </c>
      <c r="D9">
        <v>-4</v>
      </c>
    </row>
    <row r="10" spans="1:4" x14ac:dyDescent="0.25">
      <c r="A10" t="s">
        <v>4</v>
      </c>
      <c r="B10" t="s">
        <v>261</v>
      </c>
      <c r="C10" t="s">
        <v>438</v>
      </c>
      <c r="D10">
        <v>-1</v>
      </c>
    </row>
    <row r="11" spans="1:4" x14ac:dyDescent="0.25">
      <c r="A11" t="s">
        <v>4</v>
      </c>
      <c r="B11" t="s">
        <v>729</v>
      </c>
      <c r="C11" t="s">
        <v>439</v>
      </c>
      <c r="D11">
        <v>1</v>
      </c>
    </row>
    <row r="12" spans="1:4" x14ac:dyDescent="0.25">
      <c r="A12" t="s">
        <v>4</v>
      </c>
      <c r="B12" t="s">
        <v>729</v>
      </c>
      <c r="C12" t="s">
        <v>917</v>
      </c>
      <c r="D12">
        <v>2</v>
      </c>
    </row>
    <row r="13" spans="1:4" x14ac:dyDescent="0.25">
      <c r="A13" t="s">
        <v>4</v>
      </c>
      <c r="B13" t="s">
        <v>192</v>
      </c>
      <c r="C13" t="s">
        <v>1111</v>
      </c>
      <c r="D13">
        <v>5</v>
      </c>
    </row>
    <row r="14" spans="1:4" x14ac:dyDescent="0.25">
      <c r="A14" t="s">
        <v>4</v>
      </c>
      <c r="B14" t="s">
        <v>631</v>
      </c>
      <c r="C14" t="s">
        <v>1576</v>
      </c>
      <c r="D14">
        <v>7</v>
      </c>
    </row>
    <row r="15" spans="1:4" x14ac:dyDescent="0.25">
      <c r="A15" t="s">
        <v>4</v>
      </c>
      <c r="B15" t="s">
        <v>294</v>
      </c>
      <c r="C15" t="s">
        <v>323</v>
      </c>
      <c r="D15">
        <v>9</v>
      </c>
    </row>
    <row r="16" spans="1:4" x14ac:dyDescent="0.25">
      <c r="A16" t="s">
        <v>4</v>
      </c>
      <c r="B16" t="s">
        <v>1180</v>
      </c>
      <c r="C16" t="s">
        <v>2892</v>
      </c>
      <c r="D16">
        <v>11</v>
      </c>
    </row>
    <row r="17" spans="1:4" x14ac:dyDescent="0.25">
      <c r="A17" t="s">
        <v>40</v>
      </c>
      <c r="B17" t="s">
        <v>1024</v>
      </c>
      <c r="C17" t="s">
        <v>2893</v>
      </c>
      <c r="D17">
        <v>12</v>
      </c>
    </row>
    <row r="18" spans="1:4" x14ac:dyDescent="0.25">
      <c r="A18" t="s">
        <v>40</v>
      </c>
      <c r="B18" t="s">
        <v>1024</v>
      </c>
      <c r="C18" t="s">
        <v>2894</v>
      </c>
      <c r="D18">
        <v>13</v>
      </c>
    </row>
    <row r="19" spans="1:4" x14ac:dyDescent="0.25">
      <c r="A19" t="s">
        <v>40</v>
      </c>
      <c r="B19" t="s">
        <v>487</v>
      </c>
      <c r="C19" t="s">
        <v>2895</v>
      </c>
      <c r="D19">
        <v>16</v>
      </c>
    </row>
    <row r="20" spans="1:4" x14ac:dyDescent="0.25">
      <c r="A20" t="s">
        <v>40</v>
      </c>
      <c r="B20" t="s">
        <v>1431</v>
      </c>
      <c r="C20" t="s">
        <v>2896</v>
      </c>
      <c r="D20">
        <v>14</v>
      </c>
    </row>
    <row r="21" spans="1:4" x14ac:dyDescent="0.25">
      <c r="A21" t="s">
        <v>40</v>
      </c>
      <c r="B21" t="s">
        <v>1735</v>
      </c>
      <c r="C21" t="s">
        <v>2897</v>
      </c>
      <c r="D21">
        <v>15</v>
      </c>
    </row>
    <row r="22" spans="1:4" x14ac:dyDescent="0.25">
      <c r="A22" t="s">
        <v>40</v>
      </c>
      <c r="B22" t="s">
        <v>1735</v>
      </c>
      <c r="C22" t="s">
        <v>2898</v>
      </c>
      <c r="D22">
        <v>16</v>
      </c>
    </row>
    <row r="23" spans="1:4" x14ac:dyDescent="0.25">
      <c r="A23" t="s">
        <v>40</v>
      </c>
      <c r="B23" t="s">
        <v>458</v>
      </c>
      <c r="C23" t="s">
        <v>2521</v>
      </c>
      <c r="D23">
        <v>15</v>
      </c>
    </row>
    <row r="24" spans="1:4" x14ac:dyDescent="0.25">
      <c r="A24" t="s">
        <v>40</v>
      </c>
      <c r="B24" t="s">
        <v>132</v>
      </c>
      <c r="C24" t="s">
        <v>2899</v>
      </c>
      <c r="D24">
        <v>13</v>
      </c>
    </row>
    <row r="25" spans="1:4" x14ac:dyDescent="0.25">
      <c r="A25" t="s">
        <v>40</v>
      </c>
      <c r="B25" t="s">
        <v>280</v>
      </c>
      <c r="C25" t="s">
        <v>2900</v>
      </c>
      <c r="D25">
        <v>16</v>
      </c>
    </row>
    <row r="26" spans="1:4" x14ac:dyDescent="0.25">
      <c r="A26" t="s">
        <v>40</v>
      </c>
      <c r="B26" t="s">
        <v>221</v>
      </c>
      <c r="C26" t="s">
        <v>2901</v>
      </c>
      <c r="D26">
        <v>18</v>
      </c>
    </row>
    <row r="27" spans="1:4" x14ac:dyDescent="0.25">
      <c r="A27" t="s">
        <v>40</v>
      </c>
      <c r="B27" t="s">
        <v>663</v>
      </c>
      <c r="C27" t="s">
        <v>2902</v>
      </c>
      <c r="D27">
        <v>16</v>
      </c>
    </row>
    <row r="28" spans="1:4" x14ac:dyDescent="0.25">
      <c r="A28" t="s">
        <v>40</v>
      </c>
      <c r="B28" t="s">
        <v>1698</v>
      </c>
      <c r="C28" t="s">
        <v>1031</v>
      </c>
      <c r="D28">
        <v>13</v>
      </c>
    </row>
    <row r="29" spans="1:4" x14ac:dyDescent="0.25">
      <c r="A29" t="s">
        <v>40</v>
      </c>
      <c r="B29" t="s">
        <v>544</v>
      </c>
      <c r="C29" t="s">
        <v>2903</v>
      </c>
      <c r="D29">
        <v>16</v>
      </c>
    </row>
    <row r="30" spans="1:4" x14ac:dyDescent="0.25">
      <c r="A30" t="s">
        <v>40</v>
      </c>
      <c r="B30" t="s">
        <v>2048</v>
      </c>
      <c r="C30" t="s">
        <v>1035</v>
      </c>
      <c r="D30">
        <v>14</v>
      </c>
    </row>
    <row r="31" spans="1:4" x14ac:dyDescent="0.25">
      <c r="A31" t="s">
        <v>40</v>
      </c>
      <c r="B31" t="s">
        <v>2048</v>
      </c>
      <c r="C31" t="s">
        <v>2904</v>
      </c>
      <c r="D31">
        <v>13</v>
      </c>
    </row>
    <row r="32" spans="1:4" x14ac:dyDescent="0.25">
      <c r="A32" t="s">
        <v>40</v>
      </c>
      <c r="B32" t="s">
        <v>472</v>
      </c>
      <c r="C32" t="s">
        <v>2905</v>
      </c>
      <c r="D32">
        <v>16</v>
      </c>
    </row>
    <row r="33" spans="1:4" x14ac:dyDescent="0.25">
      <c r="A33" t="s">
        <v>40</v>
      </c>
      <c r="B33" t="s">
        <v>444</v>
      </c>
      <c r="C33" t="s">
        <v>2653</v>
      </c>
      <c r="D33">
        <v>15</v>
      </c>
    </row>
    <row r="34" spans="1:4" x14ac:dyDescent="0.25">
      <c r="A34" t="s">
        <v>40</v>
      </c>
      <c r="B34" t="s">
        <v>444</v>
      </c>
      <c r="C34" t="s">
        <v>2906</v>
      </c>
      <c r="D34">
        <v>14</v>
      </c>
    </row>
    <row r="35" spans="1:4" x14ac:dyDescent="0.25">
      <c r="A35" t="s">
        <v>40</v>
      </c>
      <c r="B35" t="s">
        <v>389</v>
      </c>
      <c r="C35" t="s">
        <v>2907</v>
      </c>
      <c r="D35">
        <v>17</v>
      </c>
    </row>
    <row r="36" spans="1:4" x14ac:dyDescent="0.25">
      <c r="A36" t="s">
        <v>40</v>
      </c>
      <c r="B36" t="s">
        <v>612</v>
      </c>
      <c r="C36" t="s">
        <v>2908</v>
      </c>
      <c r="D36">
        <v>14</v>
      </c>
    </row>
    <row r="37" spans="1:4" x14ac:dyDescent="0.25">
      <c r="A37" t="s">
        <v>40</v>
      </c>
      <c r="B37" t="s">
        <v>554</v>
      </c>
      <c r="C37" t="s">
        <v>2909</v>
      </c>
      <c r="D37">
        <v>12</v>
      </c>
    </row>
    <row r="38" spans="1:4" x14ac:dyDescent="0.25">
      <c r="A38" t="s">
        <v>40</v>
      </c>
      <c r="B38" t="s">
        <v>1990</v>
      </c>
      <c r="C38" t="s">
        <v>2910</v>
      </c>
      <c r="D38">
        <v>10</v>
      </c>
    </row>
    <row r="39" spans="1:4" x14ac:dyDescent="0.25">
      <c r="A39" t="s">
        <v>80</v>
      </c>
      <c r="B39" t="s">
        <v>1009</v>
      </c>
      <c r="C39" t="s">
        <v>1139</v>
      </c>
      <c r="D39">
        <v>8</v>
      </c>
    </row>
    <row r="40" spans="1:4" x14ac:dyDescent="0.25">
      <c r="A40" t="s">
        <v>80</v>
      </c>
      <c r="B40" t="s">
        <v>1009</v>
      </c>
      <c r="C40" t="s">
        <v>1592</v>
      </c>
      <c r="D40">
        <v>7</v>
      </c>
    </row>
    <row r="41" spans="1:4" x14ac:dyDescent="0.25">
      <c r="A41" t="s">
        <v>80</v>
      </c>
      <c r="B41" t="s">
        <v>691</v>
      </c>
      <c r="C41" t="s">
        <v>1671</v>
      </c>
      <c r="D41">
        <v>6</v>
      </c>
    </row>
    <row r="42" spans="1:4" x14ac:dyDescent="0.25">
      <c r="A42" t="s">
        <v>80</v>
      </c>
      <c r="B42" t="s">
        <v>89</v>
      </c>
      <c r="C42" t="s">
        <v>2546</v>
      </c>
      <c r="D42">
        <v>4</v>
      </c>
    </row>
    <row r="43" spans="1:4" x14ac:dyDescent="0.25">
      <c r="A43" t="s">
        <v>80</v>
      </c>
      <c r="B43" t="s">
        <v>333</v>
      </c>
      <c r="C43" t="s">
        <v>734</v>
      </c>
      <c r="D43">
        <v>2</v>
      </c>
    </row>
    <row r="44" spans="1:4" x14ac:dyDescent="0.25">
      <c r="A44" t="s">
        <v>80</v>
      </c>
      <c r="B44" t="s">
        <v>333</v>
      </c>
      <c r="C44" t="s">
        <v>1224</v>
      </c>
      <c r="D44">
        <v>1</v>
      </c>
    </row>
    <row r="45" spans="1:4" x14ac:dyDescent="0.25">
      <c r="A45" t="s">
        <v>80</v>
      </c>
      <c r="B45" t="s">
        <v>517</v>
      </c>
      <c r="C45" t="s">
        <v>2487</v>
      </c>
      <c r="D45">
        <v>3</v>
      </c>
    </row>
    <row r="46" spans="1:4" x14ac:dyDescent="0.25">
      <c r="A46" t="s">
        <v>80</v>
      </c>
      <c r="B46" t="s">
        <v>2266</v>
      </c>
      <c r="C46" t="s">
        <v>1226</v>
      </c>
      <c r="D46">
        <v>1</v>
      </c>
    </row>
    <row r="47" spans="1:4" x14ac:dyDescent="0.25">
      <c r="A47" t="s">
        <v>80</v>
      </c>
      <c r="B47" t="s">
        <v>370</v>
      </c>
      <c r="C47" t="s">
        <v>1522</v>
      </c>
      <c r="D47">
        <v>2</v>
      </c>
    </row>
    <row r="48" spans="1:4" x14ac:dyDescent="0.25">
      <c r="A48" t="s">
        <v>80</v>
      </c>
      <c r="B48" t="s">
        <v>370</v>
      </c>
      <c r="C48" t="s">
        <v>2488</v>
      </c>
      <c r="D48">
        <v>3</v>
      </c>
    </row>
    <row r="49" spans="1:4" x14ac:dyDescent="0.25">
      <c r="A49" t="s">
        <v>80</v>
      </c>
      <c r="B49" t="s">
        <v>519</v>
      </c>
      <c r="C49" t="s">
        <v>2489</v>
      </c>
      <c r="D49">
        <v>1</v>
      </c>
    </row>
    <row r="50" spans="1:4" x14ac:dyDescent="0.25">
      <c r="A50" t="s">
        <v>80</v>
      </c>
      <c r="B50" t="s">
        <v>114</v>
      </c>
      <c r="C50" t="s">
        <v>2610</v>
      </c>
      <c r="D50">
        <v>3</v>
      </c>
    </row>
    <row r="51" spans="1:4" x14ac:dyDescent="0.25">
      <c r="A51" t="s">
        <v>80</v>
      </c>
      <c r="B51" t="s">
        <v>292</v>
      </c>
      <c r="C51" t="s">
        <v>2911</v>
      </c>
      <c r="D51">
        <v>5</v>
      </c>
    </row>
    <row r="52" spans="1:4" x14ac:dyDescent="0.25">
      <c r="A52" t="s">
        <v>80</v>
      </c>
      <c r="B52" t="s">
        <v>2390</v>
      </c>
      <c r="C52" t="s">
        <v>2706</v>
      </c>
      <c r="D52">
        <v>6</v>
      </c>
    </row>
    <row r="53" spans="1:4" x14ac:dyDescent="0.25">
      <c r="A53" t="s">
        <v>80</v>
      </c>
      <c r="B53" t="s">
        <v>534</v>
      </c>
      <c r="C53" t="s">
        <v>2912</v>
      </c>
      <c r="D53">
        <v>7</v>
      </c>
    </row>
    <row r="54" spans="1:4" x14ac:dyDescent="0.25">
      <c r="A54" t="s">
        <v>80</v>
      </c>
      <c r="B54" t="s">
        <v>534</v>
      </c>
      <c r="C54" t="s">
        <v>2913</v>
      </c>
      <c r="D54">
        <v>8</v>
      </c>
    </row>
    <row r="55" spans="1:4" x14ac:dyDescent="0.25">
      <c r="A55" t="s">
        <v>80</v>
      </c>
      <c r="B55" t="s">
        <v>534</v>
      </c>
      <c r="C55" t="s">
        <v>1154</v>
      </c>
      <c r="D55">
        <v>9</v>
      </c>
    </row>
    <row r="56" spans="1:4" x14ac:dyDescent="0.25">
      <c r="A56" t="s">
        <v>80</v>
      </c>
      <c r="B56" t="s">
        <v>76</v>
      </c>
      <c r="C56" t="s">
        <v>1460</v>
      </c>
      <c r="D56">
        <v>10</v>
      </c>
    </row>
    <row r="57" spans="1:4" x14ac:dyDescent="0.25">
      <c r="A57" t="s">
        <v>80</v>
      </c>
      <c r="B57" t="s">
        <v>76</v>
      </c>
      <c r="C57" t="s">
        <v>1952</v>
      </c>
      <c r="D57">
        <v>11</v>
      </c>
    </row>
    <row r="58" spans="1:4" x14ac:dyDescent="0.25">
      <c r="A58" t="s">
        <v>80</v>
      </c>
      <c r="B58" t="s">
        <v>38</v>
      </c>
      <c r="C58" t="s">
        <v>2601</v>
      </c>
      <c r="D58">
        <v>9</v>
      </c>
    </row>
    <row r="59" spans="1:4" x14ac:dyDescent="0.25">
      <c r="A59" t="s">
        <v>123</v>
      </c>
      <c r="B59" t="s">
        <v>795</v>
      </c>
      <c r="C59" t="s">
        <v>1603</v>
      </c>
      <c r="D59">
        <v>7</v>
      </c>
    </row>
    <row r="60" spans="1:4" x14ac:dyDescent="0.25">
      <c r="A60" t="s">
        <v>123</v>
      </c>
      <c r="B60" t="s">
        <v>81</v>
      </c>
      <c r="C60" t="s">
        <v>1837</v>
      </c>
      <c r="D60">
        <v>6</v>
      </c>
    </row>
    <row r="61" spans="1:4" x14ac:dyDescent="0.25">
      <c r="A61" t="s">
        <v>123</v>
      </c>
      <c r="B61" t="s">
        <v>81</v>
      </c>
      <c r="C61" t="s">
        <v>2914</v>
      </c>
      <c r="D61">
        <v>5</v>
      </c>
    </row>
    <row r="62" spans="1:4" x14ac:dyDescent="0.25">
      <c r="A62" t="s">
        <v>123</v>
      </c>
      <c r="B62" t="s">
        <v>81</v>
      </c>
      <c r="C62" t="s">
        <v>1531</v>
      </c>
      <c r="D62">
        <v>4</v>
      </c>
    </row>
    <row r="63" spans="1:4" x14ac:dyDescent="0.25">
      <c r="A63" t="s">
        <v>123</v>
      </c>
      <c r="B63" t="s">
        <v>400</v>
      </c>
      <c r="C63" t="s">
        <v>752</v>
      </c>
      <c r="D63">
        <v>1</v>
      </c>
    </row>
    <row r="64" spans="1:4" x14ac:dyDescent="0.25">
      <c r="A64" t="s">
        <v>123</v>
      </c>
      <c r="B64" t="s">
        <v>1683</v>
      </c>
      <c r="C64" t="s">
        <v>498</v>
      </c>
      <c r="D64">
        <v>3</v>
      </c>
    </row>
    <row r="65" spans="1:4" x14ac:dyDescent="0.25">
      <c r="A65" t="s">
        <v>123</v>
      </c>
      <c r="B65" t="s">
        <v>1693</v>
      </c>
      <c r="C65" t="s">
        <v>1534</v>
      </c>
      <c r="D65">
        <v>1</v>
      </c>
    </row>
    <row r="66" spans="1:4" x14ac:dyDescent="0.25">
      <c r="A66" t="s">
        <v>123</v>
      </c>
      <c r="B66" t="s">
        <v>335</v>
      </c>
      <c r="C66" t="s">
        <v>2496</v>
      </c>
      <c r="D66">
        <v>2</v>
      </c>
    </row>
    <row r="67" spans="1:4" x14ac:dyDescent="0.25">
      <c r="A67" t="s">
        <v>123</v>
      </c>
      <c r="B67" t="s">
        <v>335</v>
      </c>
      <c r="C67" t="s">
        <v>2180</v>
      </c>
      <c r="D67">
        <v>3</v>
      </c>
    </row>
    <row r="68" spans="1:4" x14ac:dyDescent="0.25">
      <c r="A68" t="s">
        <v>123</v>
      </c>
      <c r="B68" t="s">
        <v>1069</v>
      </c>
      <c r="C68" t="s">
        <v>2533</v>
      </c>
      <c r="D68">
        <v>1</v>
      </c>
    </row>
    <row r="69" spans="1:4" x14ac:dyDescent="0.25">
      <c r="A69" t="s">
        <v>123</v>
      </c>
      <c r="B69" t="s">
        <v>140</v>
      </c>
      <c r="C69" t="s">
        <v>842</v>
      </c>
      <c r="D69">
        <v>-1</v>
      </c>
    </row>
    <row r="70" spans="1:4" x14ac:dyDescent="0.25">
      <c r="A70" t="s">
        <v>123</v>
      </c>
      <c r="B70" t="s">
        <v>435</v>
      </c>
      <c r="C70" t="s">
        <v>843</v>
      </c>
      <c r="D70">
        <v>0</v>
      </c>
    </row>
    <row r="71" spans="1:4" x14ac:dyDescent="0.25">
      <c r="A71" t="s">
        <v>123</v>
      </c>
      <c r="B71" t="s">
        <v>805</v>
      </c>
      <c r="C71" t="s">
        <v>1736</v>
      </c>
      <c r="D71">
        <v>2</v>
      </c>
    </row>
    <row r="72" spans="1:4" x14ac:dyDescent="0.25">
      <c r="A72" t="s">
        <v>123</v>
      </c>
      <c r="B72" t="s">
        <v>805</v>
      </c>
      <c r="C72" t="s">
        <v>2915</v>
      </c>
      <c r="D72">
        <v>3</v>
      </c>
    </row>
    <row r="73" spans="1:4" x14ac:dyDescent="0.25">
      <c r="A73" t="s">
        <v>123</v>
      </c>
      <c r="B73" t="s">
        <v>746</v>
      </c>
      <c r="C73" t="s">
        <v>2916</v>
      </c>
      <c r="D73">
        <v>1</v>
      </c>
    </row>
    <row r="74" spans="1:4" x14ac:dyDescent="0.25">
      <c r="A74" t="s">
        <v>123</v>
      </c>
      <c r="B74" t="s">
        <v>546</v>
      </c>
      <c r="C74" t="s">
        <v>760</v>
      </c>
      <c r="D74">
        <v>3</v>
      </c>
    </row>
    <row r="75" spans="1:4" x14ac:dyDescent="0.25">
      <c r="A75" t="s">
        <v>123</v>
      </c>
      <c r="B75" t="s">
        <v>27</v>
      </c>
      <c r="C75" t="s">
        <v>1959</v>
      </c>
      <c r="D75">
        <v>6</v>
      </c>
    </row>
    <row r="76" spans="1:4" x14ac:dyDescent="0.25">
      <c r="A76" t="s">
        <v>123</v>
      </c>
      <c r="B76" t="s">
        <v>2453</v>
      </c>
      <c r="C76" t="s">
        <v>404</v>
      </c>
      <c r="D76">
        <v>7</v>
      </c>
    </row>
    <row r="77" spans="1:4" x14ac:dyDescent="0.25">
      <c r="A77" t="s">
        <v>123</v>
      </c>
      <c r="B77" t="s">
        <v>389</v>
      </c>
      <c r="C77" t="s">
        <v>406</v>
      </c>
      <c r="D77">
        <v>8</v>
      </c>
    </row>
    <row r="78" spans="1:4" x14ac:dyDescent="0.25">
      <c r="A78" t="s">
        <v>123</v>
      </c>
      <c r="B78" t="s">
        <v>389</v>
      </c>
      <c r="C78" t="s">
        <v>407</v>
      </c>
      <c r="D78">
        <v>9</v>
      </c>
    </row>
    <row r="79" spans="1:4" x14ac:dyDescent="0.25">
      <c r="A79" t="s">
        <v>123</v>
      </c>
      <c r="B79" t="s">
        <v>389</v>
      </c>
      <c r="C79" t="s">
        <v>2917</v>
      </c>
      <c r="D79">
        <v>10</v>
      </c>
    </row>
    <row r="80" spans="1:4" x14ac:dyDescent="0.25">
      <c r="A80" t="s">
        <v>123</v>
      </c>
      <c r="B80" t="s">
        <v>389</v>
      </c>
      <c r="C80" t="s">
        <v>2918</v>
      </c>
      <c r="D80">
        <v>11</v>
      </c>
    </row>
    <row r="81" spans="1:4" x14ac:dyDescent="0.25">
      <c r="A81" t="s">
        <v>123</v>
      </c>
      <c r="B81" t="s">
        <v>2147</v>
      </c>
      <c r="C81" t="s">
        <v>1616</v>
      </c>
      <c r="D81">
        <v>9</v>
      </c>
    </row>
    <row r="82" spans="1:4" x14ac:dyDescent="0.25">
      <c r="A82" t="s">
        <v>123</v>
      </c>
      <c r="B82" t="s">
        <v>554</v>
      </c>
      <c r="C82" t="s">
        <v>412</v>
      </c>
      <c r="D82">
        <v>7</v>
      </c>
    </row>
    <row r="83" spans="1:4" x14ac:dyDescent="0.25">
      <c r="A83" t="s">
        <v>123</v>
      </c>
      <c r="B83" t="s">
        <v>1809</v>
      </c>
      <c r="C83" t="s">
        <v>416</v>
      </c>
      <c r="D83">
        <v>10</v>
      </c>
    </row>
    <row r="84" spans="1:4" x14ac:dyDescent="0.25">
      <c r="A84" t="s">
        <v>123</v>
      </c>
      <c r="B84" t="s">
        <v>33</v>
      </c>
      <c r="C84" t="s">
        <v>2919</v>
      </c>
      <c r="D84">
        <v>7</v>
      </c>
    </row>
    <row r="85" spans="1:4" x14ac:dyDescent="0.25">
      <c r="A85" t="s">
        <v>123</v>
      </c>
      <c r="B85" t="s">
        <v>770</v>
      </c>
      <c r="C85" t="s">
        <v>2285</v>
      </c>
      <c r="D85">
        <v>9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6.916666666666667</v>
      </c>
    </row>
    <row r="89" spans="1:4" x14ac:dyDescent="0.25">
      <c r="A89" t="s">
        <v>159</v>
      </c>
      <c r="D89">
        <f>MAX(D2:D85)</f>
        <v>18</v>
      </c>
    </row>
    <row r="90" spans="1:4" x14ac:dyDescent="0.25">
      <c r="A90" t="s">
        <v>160</v>
      </c>
      <c r="D90">
        <f>MIN(D2:D85)</f>
        <v>-4</v>
      </c>
    </row>
    <row r="91" spans="1:4" x14ac:dyDescent="0.25">
      <c r="A91" t="s">
        <v>161</v>
      </c>
      <c r="D91">
        <f>COUNTIF(D2:D85,"&gt;0")</f>
        <v>74</v>
      </c>
    </row>
    <row r="92" spans="1:4" x14ac:dyDescent="0.25">
      <c r="A92" t="s">
        <v>162</v>
      </c>
      <c r="D92">
        <f>COUNTIF(D2:D85,"=0")</f>
        <v>3</v>
      </c>
    </row>
    <row r="93" spans="1:4" x14ac:dyDescent="0.25">
      <c r="A93" t="s">
        <v>2920</v>
      </c>
      <c r="D93">
        <f>COUNTIF(D2:D85,"&lt;0")</f>
        <v>7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AVERAGE(D2,D3,D4,D5,D6,D7,D8,D9,D10,D11,D12,D13,D14,D15,D16)</f>
        <v>1.5333333333333334</v>
      </c>
    </row>
    <row r="97" spans="1:4" x14ac:dyDescent="0.25">
      <c r="A97" t="s">
        <v>166</v>
      </c>
      <c r="D97">
        <f>AVERAGE(D17,D18,D19,D20,D21,D22,D23,D24,D25,D26,D27,D28,D29,D30,D31,D32,D33,D34,D35,D36,D37,D38)</f>
        <v>14.454545454545455</v>
      </c>
    </row>
    <row r="98" spans="1:4" x14ac:dyDescent="0.25">
      <c r="A98" t="s">
        <v>167</v>
      </c>
      <c r="D98">
        <f>AVERAGE(D39,D40,D41,D42,D43,D44,D45,D46,D47,D48,D49,D50,D51,D52,D53,D54,D55,D56,D57,D58)</f>
        <v>5.3</v>
      </c>
    </row>
    <row r="99" spans="1:4" x14ac:dyDescent="0.25">
      <c r="A99" t="s">
        <v>168</v>
      </c>
      <c r="D99">
        <f>AVERAGE(D59,D60,D61,D62,D63,D64,D65,D66,D67,D68,D69,D70,D71,D72,D73,D74,D75,D76,D77,D78,D79,D80,D81,D82,D83,D84,D85)</f>
        <v>4.9629629629629628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0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1346</v>
      </c>
      <c r="C2" t="s">
        <v>171</v>
      </c>
      <c r="D2">
        <v>3</v>
      </c>
    </row>
    <row r="3" spans="1:4" x14ac:dyDescent="0.25">
      <c r="A3" t="s">
        <v>4</v>
      </c>
      <c r="B3" t="s">
        <v>1346</v>
      </c>
      <c r="C3" t="s">
        <v>2353</v>
      </c>
      <c r="D3">
        <v>4</v>
      </c>
    </row>
    <row r="4" spans="1:4" x14ac:dyDescent="0.25">
      <c r="A4" t="s">
        <v>4</v>
      </c>
      <c r="B4" t="s">
        <v>1543</v>
      </c>
      <c r="C4" t="s">
        <v>564</v>
      </c>
      <c r="D4">
        <v>2</v>
      </c>
    </row>
    <row r="5" spans="1:4" x14ac:dyDescent="0.25">
      <c r="A5" t="s">
        <v>4</v>
      </c>
      <c r="B5" t="s">
        <v>47</v>
      </c>
      <c r="C5" t="s">
        <v>12</v>
      </c>
      <c r="D5">
        <v>0</v>
      </c>
    </row>
    <row r="6" spans="1:4" x14ac:dyDescent="0.25">
      <c r="A6" t="s">
        <v>4</v>
      </c>
      <c r="B6" t="s">
        <v>398</v>
      </c>
      <c r="C6" t="s">
        <v>178</v>
      </c>
      <c r="D6">
        <v>2</v>
      </c>
    </row>
    <row r="7" spans="1:4" x14ac:dyDescent="0.25">
      <c r="A7" t="s">
        <v>4</v>
      </c>
      <c r="B7" t="s">
        <v>208</v>
      </c>
      <c r="C7" t="s">
        <v>2046</v>
      </c>
      <c r="D7">
        <v>0</v>
      </c>
    </row>
    <row r="8" spans="1:4" x14ac:dyDescent="0.25">
      <c r="A8" t="s">
        <v>4</v>
      </c>
      <c r="B8" t="s">
        <v>51</v>
      </c>
      <c r="C8" t="s">
        <v>1574</v>
      </c>
      <c r="D8">
        <v>2</v>
      </c>
    </row>
    <row r="9" spans="1:4" x14ac:dyDescent="0.25">
      <c r="A9" t="s">
        <v>4</v>
      </c>
      <c r="B9" t="s">
        <v>566</v>
      </c>
      <c r="C9" t="s">
        <v>20</v>
      </c>
      <c r="D9">
        <v>0</v>
      </c>
    </row>
    <row r="10" spans="1:4" x14ac:dyDescent="0.25">
      <c r="A10" t="s">
        <v>4</v>
      </c>
      <c r="B10" t="s">
        <v>1086</v>
      </c>
      <c r="C10" t="s">
        <v>22</v>
      </c>
      <c r="D10">
        <v>2</v>
      </c>
    </row>
    <row r="11" spans="1:4" x14ac:dyDescent="0.25">
      <c r="A11" t="s">
        <v>4</v>
      </c>
      <c r="B11" t="s">
        <v>1723</v>
      </c>
      <c r="C11" t="s">
        <v>24</v>
      </c>
      <c r="D11">
        <v>4</v>
      </c>
    </row>
    <row r="12" spans="1:4" x14ac:dyDescent="0.25">
      <c r="A12" t="s">
        <v>4</v>
      </c>
      <c r="B12" t="s">
        <v>870</v>
      </c>
      <c r="C12" t="s">
        <v>917</v>
      </c>
      <c r="D12">
        <v>2</v>
      </c>
    </row>
    <row r="13" spans="1:4" x14ac:dyDescent="0.25">
      <c r="A13" t="s">
        <v>4</v>
      </c>
      <c r="B13" t="s">
        <v>596</v>
      </c>
      <c r="C13" t="s">
        <v>1111</v>
      </c>
      <c r="D13">
        <v>5</v>
      </c>
    </row>
    <row r="14" spans="1:4" x14ac:dyDescent="0.25">
      <c r="A14" t="s">
        <v>4</v>
      </c>
      <c r="B14" t="s">
        <v>104</v>
      </c>
      <c r="C14" t="s">
        <v>1576</v>
      </c>
      <c r="D14">
        <v>7</v>
      </c>
    </row>
    <row r="15" spans="1:4" x14ac:dyDescent="0.25">
      <c r="A15" t="s">
        <v>4</v>
      </c>
      <c r="B15" t="s">
        <v>577</v>
      </c>
      <c r="C15" t="s">
        <v>2479</v>
      </c>
      <c r="D15">
        <v>6</v>
      </c>
    </row>
    <row r="16" spans="1:4" x14ac:dyDescent="0.25">
      <c r="A16" t="s">
        <v>4</v>
      </c>
      <c r="B16" t="s">
        <v>524</v>
      </c>
      <c r="C16" t="s">
        <v>2921</v>
      </c>
      <c r="D16">
        <v>8</v>
      </c>
    </row>
    <row r="17" spans="1:4" x14ac:dyDescent="0.25">
      <c r="A17" t="s">
        <v>4</v>
      </c>
      <c r="B17" t="s">
        <v>631</v>
      </c>
      <c r="C17" t="s">
        <v>2922</v>
      </c>
      <c r="D17">
        <v>11</v>
      </c>
    </row>
    <row r="18" spans="1:4" x14ac:dyDescent="0.25">
      <c r="A18" t="s">
        <v>4</v>
      </c>
      <c r="B18" t="s">
        <v>671</v>
      </c>
      <c r="C18" t="s">
        <v>2923</v>
      </c>
      <c r="D18">
        <v>13</v>
      </c>
    </row>
    <row r="19" spans="1:4" x14ac:dyDescent="0.25">
      <c r="A19" t="s">
        <v>4</v>
      </c>
      <c r="B19" t="s">
        <v>1112</v>
      </c>
      <c r="C19" t="s">
        <v>2924</v>
      </c>
      <c r="D19">
        <v>10</v>
      </c>
    </row>
    <row r="20" spans="1:4" x14ac:dyDescent="0.25">
      <c r="A20" t="s">
        <v>4</v>
      </c>
      <c r="B20" t="s">
        <v>74</v>
      </c>
      <c r="C20" t="s">
        <v>1362</v>
      </c>
      <c r="D20">
        <v>12</v>
      </c>
    </row>
    <row r="21" spans="1:4" x14ac:dyDescent="0.25">
      <c r="A21" t="s">
        <v>4</v>
      </c>
      <c r="B21" t="s">
        <v>972</v>
      </c>
      <c r="C21" t="s">
        <v>2925</v>
      </c>
      <c r="D21">
        <v>10</v>
      </c>
    </row>
    <row r="22" spans="1:4" x14ac:dyDescent="0.25">
      <c r="A22" t="s">
        <v>40</v>
      </c>
      <c r="B22" t="s">
        <v>1541</v>
      </c>
      <c r="C22" t="s">
        <v>2926</v>
      </c>
      <c r="D22">
        <v>9</v>
      </c>
    </row>
    <row r="23" spans="1:4" x14ac:dyDescent="0.25">
      <c r="A23" t="s">
        <v>40</v>
      </c>
      <c r="B23" t="s">
        <v>1541</v>
      </c>
      <c r="C23" t="s">
        <v>1025</v>
      </c>
      <c r="D23">
        <v>8</v>
      </c>
    </row>
    <row r="24" spans="1:4" x14ac:dyDescent="0.25">
      <c r="A24" t="s">
        <v>40</v>
      </c>
      <c r="B24" t="s">
        <v>1541</v>
      </c>
      <c r="C24" t="s">
        <v>210</v>
      </c>
      <c r="D24">
        <v>7</v>
      </c>
    </row>
    <row r="25" spans="1:4" x14ac:dyDescent="0.25">
      <c r="A25" t="s">
        <v>40</v>
      </c>
      <c r="B25" t="s">
        <v>2151</v>
      </c>
      <c r="C25" t="s">
        <v>2927</v>
      </c>
      <c r="D25">
        <v>10</v>
      </c>
    </row>
    <row r="26" spans="1:4" x14ac:dyDescent="0.25">
      <c r="A26" t="s">
        <v>40</v>
      </c>
      <c r="B26" t="s">
        <v>797</v>
      </c>
      <c r="C26" t="s">
        <v>2928</v>
      </c>
      <c r="D26">
        <v>12</v>
      </c>
    </row>
    <row r="27" spans="1:4" x14ac:dyDescent="0.25">
      <c r="A27" t="s">
        <v>40</v>
      </c>
      <c r="B27" t="s">
        <v>797</v>
      </c>
      <c r="C27" t="s">
        <v>2929</v>
      </c>
      <c r="D27">
        <v>13</v>
      </c>
    </row>
    <row r="28" spans="1:4" x14ac:dyDescent="0.25">
      <c r="A28" t="s">
        <v>40</v>
      </c>
      <c r="B28" t="s">
        <v>935</v>
      </c>
      <c r="C28" t="s">
        <v>2930</v>
      </c>
      <c r="D28">
        <v>11</v>
      </c>
    </row>
    <row r="29" spans="1:4" x14ac:dyDescent="0.25">
      <c r="A29" t="s">
        <v>40</v>
      </c>
      <c r="B29" t="s">
        <v>935</v>
      </c>
      <c r="C29" t="s">
        <v>2931</v>
      </c>
      <c r="D29">
        <v>10</v>
      </c>
    </row>
    <row r="30" spans="1:4" x14ac:dyDescent="0.25">
      <c r="A30" t="s">
        <v>40</v>
      </c>
      <c r="B30" t="s">
        <v>1613</v>
      </c>
      <c r="C30" t="s">
        <v>2526</v>
      </c>
      <c r="D30">
        <v>11</v>
      </c>
    </row>
    <row r="31" spans="1:4" x14ac:dyDescent="0.25">
      <c r="A31" t="s">
        <v>40</v>
      </c>
      <c r="B31" t="s">
        <v>1613</v>
      </c>
      <c r="C31" t="s">
        <v>2650</v>
      </c>
      <c r="D31">
        <v>12</v>
      </c>
    </row>
    <row r="32" spans="1:4" x14ac:dyDescent="0.25">
      <c r="A32" t="s">
        <v>40</v>
      </c>
      <c r="B32" t="s">
        <v>912</v>
      </c>
      <c r="C32" t="s">
        <v>2932</v>
      </c>
      <c r="D32">
        <v>10</v>
      </c>
    </row>
    <row r="33" spans="1:4" x14ac:dyDescent="0.25">
      <c r="A33" t="s">
        <v>40</v>
      </c>
      <c r="B33" t="s">
        <v>1119</v>
      </c>
      <c r="C33" t="s">
        <v>2933</v>
      </c>
      <c r="D33">
        <v>12</v>
      </c>
    </row>
    <row r="34" spans="1:4" x14ac:dyDescent="0.25">
      <c r="A34" t="s">
        <v>40</v>
      </c>
      <c r="B34" t="s">
        <v>333</v>
      </c>
      <c r="C34" t="s">
        <v>2934</v>
      </c>
      <c r="D34">
        <v>10</v>
      </c>
    </row>
    <row r="35" spans="1:4" x14ac:dyDescent="0.25">
      <c r="A35" t="s">
        <v>40</v>
      </c>
      <c r="B35" t="s">
        <v>1723</v>
      </c>
      <c r="C35" t="s">
        <v>2543</v>
      </c>
      <c r="D35">
        <v>12</v>
      </c>
    </row>
    <row r="36" spans="1:4" x14ac:dyDescent="0.25">
      <c r="A36" t="s">
        <v>40</v>
      </c>
      <c r="B36" t="s">
        <v>99</v>
      </c>
      <c r="C36" t="s">
        <v>2654</v>
      </c>
      <c r="D36">
        <v>14</v>
      </c>
    </row>
    <row r="37" spans="1:4" x14ac:dyDescent="0.25">
      <c r="A37" t="s">
        <v>40</v>
      </c>
      <c r="B37" t="s">
        <v>437</v>
      </c>
      <c r="C37" t="s">
        <v>2545</v>
      </c>
      <c r="D37">
        <v>12</v>
      </c>
    </row>
    <row r="38" spans="1:4" x14ac:dyDescent="0.25">
      <c r="A38" t="s">
        <v>40</v>
      </c>
      <c r="B38" t="s">
        <v>1231</v>
      </c>
      <c r="C38" t="s">
        <v>2908</v>
      </c>
      <c r="D38">
        <v>14</v>
      </c>
    </row>
    <row r="39" spans="1:4" x14ac:dyDescent="0.25">
      <c r="A39" t="s">
        <v>40</v>
      </c>
      <c r="B39" t="s">
        <v>764</v>
      </c>
      <c r="C39" t="s">
        <v>2935</v>
      </c>
      <c r="D39">
        <v>11</v>
      </c>
    </row>
    <row r="40" spans="1:4" x14ac:dyDescent="0.25">
      <c r="A40" t="s">
        <v>40</v>
      </c>
      <c r="B40" t="s">
        <v>378</v>
      </c>
      <c r="C40" t="s">
        <v>1139</v>
      </c>
      <c r="D40">
        <v>8</v>
      </c>
    </row>
    <row r="41" spans="1:4" x14ac:dyDescent="0.25">
      <c r="A41" t="s">
        <v>40</v>
      </c>
      <c r="B41" t="s">
        <v>605</v>
      </c>
      <c r="C41" t="s">
        <v>1671</v>
      </c>
      <c r="D41">
        <v>6</v>
      </c>
    </row>
    <row r="42" spans="1:4" x14ac:dyDescent="0.25">
      <c r="A42" t="s">
        <v>40</v>
      </c>
      <c r="B42" t="s">
        <v>876</v>
      </c>
      <c r="C42" t="s">
        <v>2546</v>
      </c>
      <c r="D42">
        <v>4</v>
      </c>
    </row>
    <row r="43" spans="1:4" x14ac:dyDescent="0.25">
      <c r="A43" t="s">
        <v>40</v>
      </c>
      <c r="B43" t="s">
        <v>292</v>
      </c>
      <c r="C43" t="s">
        <v>1144</v>
      </c>
      <c r="D43">
        <v>6</v>
      </c>
    </row>
    <row r="44" spans="1:4" x14ac:dyDescent="0.25">
      <c r="A44" t="s">
        <v>40</v>
      </c>
      <c r="B44" t="s">
        <v>389</v>
      </c>
      <c r="C44" t="s">
        <v>2487</v>
      </c>
      <c r="D44">
        <v>3</v>
      </c>
    </row>
    <row r="45" spans="1:4" x14ac:dyDescent="0.25">
      <c r="A45" t="s">
        <v>40</v>
      </c>
      <c r="B45" t="s">
        <v>552</v>
      </c>
      <c r="C45" t="s">
        <v>2609</v>
      </c>
      <c r="D45">
        <v>5</v>
      </c>
    </row>
    <row r="46" spans="1:4" x14ac:dyDescent="0.25">
      <c r="A46" t="s">
        <v>40</v>
      </c>
      <c r="B46" t="s">
        <v>2608</v>
      </c>
      <c r="C46" t="s">
        <v>2598</v>
      </c>
      <c r="D46">
        <v>6</v>
      </c>
    </row>
    <row r="47" spans="1:4" x14ac:dyDescent="0.25">
      <c r="A47" t="s">
        <v>40</v>
      </c>
      <c r="B47" t="s">
        <v>1990</v>
      </c>
      <c r="C47" t="s">
        <v>2337</v>
      </c>
      <c r="D47">
        <v>7</v>
      </c>
    </row>
    <row r="48" spans="1:4" x14ac:dyDescent="0.25">
      <c r="A48" t="s">
        <v>40</v>
      </c>
      <c r="B48" t="s">
        <v>1990</v>
      </c>
      <c r="C48" t="s">
        <v>1597</v>
      </c>
      <c r="D48">
        <v>8</v>
      </c>
    </row>
    <row r="49" spans="1:4" x14ac:dyDescent="0.25">
      <c r="A49" t="s">
        <v>40</v>
      </c>
      <c r="B49" t="s">
        <v>78</v>
      </c>
      <c r="C49" t="s">
        <v>1678</v>
      </c>
      <c r="D49">
        <v>10</v>
      </c>
    </row>
    <row r="50" spans="1:4" x14ac:dyDescent="0.25">
      <c r="A50" t="s">
        <v>80</v>
      </c>
      <c r="B50" t="s">
        <v>857</v>
      </c>
      <c r="C50" t="s">
        <v>2365</v>
      </c>
      <c r="D50">
        <v>13</v>
      </c>
    </row>
    <row r="51" spans="1:4" x14ac:dyDescent="0.25">
      <c r="A51" t="s">
        <v>80</v>
      </c>
      <c r="B51" t="s">
        <v>565</v>
      </c>
      <c r="C51" t="s">
        <v>1601</v>
      </c>
      <c r="D51">
        <v>10</v>
      </c>
    </row>
    <row r="52" spans="1:4" x14ac:dyDescent="0.25">
      <c r="A52" t="s">
        <v>80</v>
      </c>
      <c r="B52" t="s">
        <v>2405</v>
      </c>
      <c r="C52" t="s">
        <v>2936</v>
      </c>
      <c r="D52">
        <v>12</v>
      </c>
    </row>
    <row r="53" spans="1:4" x14ac:dyDescent="0.25">
      <c r="A53" t="s">
        <v>80</v>
      </c>
      <c r="B53" t="s">
        <v>778</v>
      </c>
      <c r="C53" t="s">
        <v>1156</v>
      </c>
      <c r="D53">
        <v>10</v>
      </c>
    </row>
    <row r="54" spans="1:4" x14ac:dyDescent="0.25">
      <c r="A54" t="s">
        <v>80</v>
      </c>
      <c r="B54" t="s">
        <v>400</v>
      </c>
      <c r="C54" t="s">
        <v>1157</v>
      </c>
      <c r="D54">
        <v>12</v>
      </c>
    </row>
    <row r="55" spans="1:4" x14ac:dyDescent="0.25">
      <c r="A55" t="s">
        <v>80</v>
      </c>
      <c r="B55" t="s">
        <v>1453</v>
      </c>
      <c r="C55" t="s">
        <v>1158</v>
      </c>
      <c r="D55">
        <v>10</v>
      </c>
    </row>
    <row r="56" spans="1:4" x14ac:dyDescent="0.25">
      <c r="A56" t="s">
        <v>80</v>
      </c>
      <c r="B56" t="s">
        <v>1086</v>
      </c>
      <c r="C56" t="s">
        <v>2276</v>
      </c>
      <c r="D56">
        <v>7</v>
      </c>
    </row>
    <row r="57" spans="1:4" x14ac:dyDescent="0.25">
      <c r="A57" t="s">
        <v>80</v>
      </c>
      <c r="B57" t="s">
        <v>462</v>
      </c>
      <c r="C57" t="s">
        <v>2277</v>
      </c>
      <c r="D57">
        <v>9</v>
      </c>
    </row>
    <row r="58" spans="1:4" x14ac:dyDescent="0.25">
      <c r="A58" t="s">
        <v>80</v>
      </c>
      <c r="B58" t="s">
        <v>181</v>
      </c>
      <c r="C58" t="s">
        <v>2937</v>
      </c>
      <c r="D58">
        <v>12</v>
      </c>
    </row>
    <row r="59" spans="1:4" x14ac:dyDescent="0.25">
      <c r="A59" t="s">
        <v>80</v>
      </c>
      <c r="B59" t="s">
        <v>2266</v>
      </c>
      <c r="C59" t="s">
        <v>2938</v>
      </c>
      <c r="D59">
        <v>14</v>
      </c>
    </row>
    <row r="60" spans="1:4" x14ac:dyDescent="0.25">
      <c r="A60" t="s">
        <v>80</v>
      </c>
      <c r="B60" t="s">
        <v>2266</v>
      </c>
      <c r="C60" t="s">
        <v>2939</v>
      </c>
      <c r="D60">
        <v>15</v>
      </c>
    </row>
    <row r="61" spans="1:4" x14ac:dyDescent="0.25">
      <c r="A61" t="s">
        <v>80</v>
      </c>
      <c r="B61" t="s">
        <v>870</v>
      </c>
      <c r="C61" t="s">
        <v>2940</v>
      </c>
      <c r="D61">
        <v>17</v>
      </c>
    </row>
    <row r="62" spans="1:4" x14ac:dyDescent="0.25">
      <c r="A62" t="s">
        <v>80</v>
      </c>
      <c r="B62" t="s">
        <v>313</v>
      </c>
      <c r="C62" t="s">
        <v>2867</v>
      </c>
      <c r="D62">
        <v>15</v>
      </c>
    </row>
    <row r="63" spans="1:4" x14ac:dyDescent="0.25">
      <c r="A63" t="s">
        <v>80</v>
      </c>
      <c r="B63" t="s">
        <v>21</v>
      </c>
      <c r="C63" t="s">
        <v>2941</v>
      </c>
      <c r="D63">
        <v>16</v>
      </c>
    </row>
    <row r="64" spans="1:4" x14ac:dyDescent="0.25">
      <c r="A64" t="s">
        <v>80</v>
      </c>
      <c r="B64" t="s">
        <v>315</v>
      </c>
      <c r="C64" t="s">
        <v>2942</v>
      </c>
      <c r="D64">
        <v>18</v>
      </c>
    </row>
    <row r="65" spans="1:4" x14ac:dyDescent="0.25">
      <c r="A65" t="s">
        <v>80</v>
      </c>
      <c r="B65" t="s">
        <v>190</v>
      </c>
      <c r="C65" t="s">
        <v>2943</v>
      </c>
      <c r="D65">
        <v>16</v>
      </c>
    </row>
    <row r="66" spans="1:4" x14ac:dyDescent="0.25">
      <c r="A66" t="s">
        <v>80</v>
      </c>
      <c r="B66" t="s">
        <v>1739</v>
      </c>
      <c r="C66" t="s">
        <v>2944</v>
      </c>
      <c r="D66">
        <v>17</v>
      </c>
    </row>
    <row r="67" spans="1:4" x14ac:dyDescent="0.25">
      <c r="A67" t="s">
        <v>80</v>
      </c>
      <c r="B67" t="s">
        <v>1739</v>
      </c>
      <c r="C67" t="s">
        <v>2945</v>
      </c>
      <c r="D67">
        <v>18</v>
      </c>
    </row>
    <row r="68" spans="1:4" x14ac:dyDescent="0.25">
      <c r="A68" t="s">
        <v>80</v>
      </c>
      <c r="B68" t="s">
        <v>118</v>
      </c>
      <c r="C68" t="s">
        <v>2886</v>
      </c>
      <c r="D68">
        <v>16</v>
      </c>
    </row>
    <row r="69" spans="1:4" x14ac:dyDescent="0.25">
      <c r="A69" t="s">
        <v>80</v>
      </c>
      <c r="B69" t="s">
        <v>1050</v>
      </c>
      <c r="C69" t="s">
        <v>1473</v>
      </c>
      <c r="D69">
        <v>13</v>
      </c>
    </row>
    <row r="70" spans="1:4" x14ac:dyDescent="0.25">
      <c r="A70" t="s">
        <v>80</v>
      </c>
      <c r="B70" t="s">
        <v>298</v>
      </c>
      <c r="C70" t="s">
        <v>1474</v>
      </c>
      <c r="D70">
        <v>15</v>
      </c>
    </row>
    <row r="71" spans="1:4" x14ac:dyDescent="0.25">
      <c r="A71" t="s">
        <v>80</v>
      </c>
      <c r="B71" t="s">
        <v>154</v>
      </c>
      <c r="C71" t="s">
        <v>2888</v>
      </c>
      <c r="D71">
        <v>14</v>
      </c>
    </row>
    <row r="72" spans="1:4" x14ac:dyDescent="0.25">
      <c r="A72" t="s">
        <v>80</v>
      </c>
      <c r="B72" t="s">
        <v>78</v>
      </c>
      <c r="C72" t="s">
        <v>1477</v>
      </c>
      <c r="D72">
        <v>16</v>
      </c>
    </row>
    <row r="73" spans="1:4" x14ac:dyDescent="0.25">
      <c r="A73" t="s">
        <v>123</v>
      </c>
      <c r="B73" t="s">
        <v>1704</v>
      </c>
      <c r="C73" t="s">
        <v>2946</v>
      </c>
      <c r="D73">
        <v>14</v>
      </c>
    </row>
    <row r="74" spans="1:4" x14ac:dyDescent="0.25">
      <c r="A74" t="s">
        <v>123</v>
      </c>
      <c r="B74" t="s">
        <v>83</v>
      </c>
      <c r="C74" t="s">
        <v>2947</v>
      </c>
      <c r="D74">
        <v>17</v>
      </c>
    </row>
    <row r="75" spans="1:4" x14ac:dyDescent="0.25">
      <c r="A75" t="s">
        <v>123</v>
      </c>
      <c r="B75" t="s">
        <v>177</v>
      </c>
      <c r="C75" t="s">
        <v>986</v>
      </c>
      <c r="D75">
        <v>19</v>
      </c>
    </row>
    <row r="76" spans="1:4" x14ac:dyDescent="0.25">
      <c r="A76" t="s">
        <v>123</v>
      </c>
      <c r="B76" t="s">
        <v>177</v>
      </c>
      <c r="C76" t="s">
        <v>2948</v>
      </c>
      <c r="D76">
        <v>20</v>
      </c>
    </row>
    <row r="77" spans="1:4" x14ac:dyDescent="0.25">
      <c r="A77" t="s">
        <v>123</v>
      </c>
      <c r="B77" t="s">
        <v>1498</v>
      </c>
      <c r="C77" t="s">
        <v>2949</v>
      </c>
      <c r="D77">
        <v>23</v>
      </c>
    </row>
    <row r="78" spans="1:4" x14ac:dyDescent="0.25">
      <c r="A78" t="s">
        <v>123</v>
      </c>
      <c r="B78" t="s">
        <v>259</v>
      </c>
      <c r="C78" t="s">
        <v>2846</v>
      </c>
      <c r="D78">
        <v>21</v>
      </c>
    </row>
    <row r="79" spans="1:4" x14ac:dyDescent="0.25">
      <c r="A79" t="s">
        <v>123</v>
      </c>
      <c r="B79" t="s">
        <v>700</v>
      </c>
      <c r="C79" t="s">
        <v>2950</v>
      </c>
      <c r="D79">
        <v>20</v>
      </c>
    </row>
    <row r="80" spans="1:4" x14ac:dyDescent="0.25">
      <c r="A80" t="s">
        <v>123</v>
      </c>
      <c r="B80" t="s">
        <v>1151</v>
      </c>
      <c r="C80" t="s">
        <v>2951</v>
      </c>
      <c r="D80">
        <v>22</v>
      </c>
    </row>
    <row r="81" spans="1:4" x14ac:dyDescent="0.25">
      <c r="A81" t="s">
        <v>123</v>
      </c>
      <c r="B81" t="s">
        <v>440</v>
      </c>
      <c r="C81" t="s">
        <v>2952</v>
      </c>
      <c r="D81">
        <v>20</v>
      </c>
    </row>
    <row r="82" spans="1:4" x14ac:dyDescent="0.25">
      <c r="A82" t="s">
        <v>123</v>
      </c>
      <c r="B82" t="s">
        <v>812</v>
      </c>
      <c r="C82" t="s">
        <v>2953</v>
      </c>
      <c r="D82">
        <v>21</v>
      </c>
    </row>
    <row r="83" spans="1:4" x14ac:dyDescent="0.25">
      <c r="A83" t="s">
        <v>123</v>
      </c>
      <c r="B83" t="s">
        <v>812</v>
      </c>
      <c r="C83" t="s">
        <v>2954</v>
      </c>
      <c r="D83">
        <v>22</v>
      </c>
    </row>
    <row r="84" spans="1:4" x14ac:dyDescent="0.25">
      <c r="A84" t="s">
        <v>123</v>
      </c>
      <c r="B84" t="s">
        <v>579</v>
      </c>
      <c r="C84" t="s">
        <v>2955</v>
      </c>
      <c r="D84">
        <v>20</v>
      </c>
    </row>
    <row r="85" spans="1:4" x14ac:dyDescent="0.25">
      <c r="A85" t="s">
        <v>123</v>
      </c>
      <c r="B85" t="s">
        <v>1940</v>
      </c>
      <c r="C85" t="s">
        <v>2956</v>
      </c>
      <c r="D85">
        <v>22</v>
      </c>
    </row>
    <row r="86" spans="1:4" x14ac:dyDescent="0.25">
      <c r="A86" t="s">
        <v>123</v>
      </c>
      <c r="B86" t="s">
        <v>29</v>
      </c>
      <c r="C86" t="s">
        <v>2957</v>
      </c>
      <c r="D86">
        <v>20</v>
      </c>
    </row>
    <row r="87" spans="1:4" x14ac:dyDescent="0.25">
      <c r="A87" t="s">
        <v>123</v>
      </c>
      <c r="B87" t="s">
        <v>294</v>
      </c>
      <c r="C87" t="s">
        <v>1003</v>
      </c>
      <c r="D87">
        <v>18</v>
      </c>
    </row>
    <row r="88" spans="1:4" x14ac:dyDescent="0.25">
      <c r="A88" t="s">
        <v>123</v>
      </c>
      <c r="B88" t="s">
        <v>294</v>
      </c>
      <c r="C88" t="s">
        <v>2290</v>
      </c>
      <c r="D88">
        <v>17</v>
      </c>
    </row>
    <row r="89" spans="1:4" x14ac:dyDescent="0.25">
      <c r="A89" t="s">
        <v>123</v>
      </c>
      <c r="B89" t="s">
        <v>554</v>
      </c>
      <c r="C89" t="s">
        <v>2958</v>
      </c>
      <c r="D89">
        <v>18</v>
      </c>
    </row>
    <row r="90" spans="1:4" x14ac:dyDescent="0.25">
      <c r="A90" t="s">
        <v>123</v>
      </c>
      <c r="B90" t="s">
        <v>554</v>
      </c>
      <c r="C90" t="s">
        <v>2853</v>
      </c>
      <c r="D90">
        <v>19</v>
      </c>
    </row>
    <row r="91" spans="1:4" x14ac:dyDescent="0.25">
      <c r="A91" t="s">
        <v>123</v>
      </c>
      <c r="B91" t="s">
        <v>74</v>
      </c>
      <c r="C91" t="s">
        <v>2293</v>
      </c>
      <c r="D91">
        <v>17</v>
      </c>
    </row>
    <row r="92" spans="1:4" x14ac:dyDescent="0.25">
      <c r="A92" t="s">
        <v>123</v>
      </c>
      <c r="B92" t="s">
        <v>483</v>
      </c>
      <c r="C92" t="s">
        <v>2959</v>
      </c>
      <c r="D92">
        <v>20</v>
      </c>
    </row>
    <row r="93" spans="1:4" x14ac:dyDescent="0.25">
      <c r="A93" t="s">
        <v>123</v>
      </c>
      <c r="B93" t="s">
        <v>537</v>
      </c>
      <c r="C93" t="s">
        <v>2960</v>
      </c>
      <c r="D93">
        <v>22</v>
      </c>
    </row>
    <row r="94" spans="1:4" x14ac:dyDescent="0.25">
      <c r="A94" t="s">
        <v>123</v>
      </c>
      <c r="B94" t="s">
        <v>508</v>
      </c>
      <c r="C94" t="s">
        <v>2961</v>
      </c>
      <c r="D94">
        <v>19</v>
      </c>
    </row>
    <row r="96" spans="1:4" x14ac:dyDescent="0.25">
      <c r="A96" s="2" t="s">
        <v>157</v>
      </c>
    </row>
    <row r="97" spans="1:4" x14ac:dyDescent="0.25">
      <c r="A97" t="s">
        <v>158</v>
      </c>
      <c r="D97">
        <f>AVERAGE(D2:D94)</f>
        <v>11.935483870967742</v>
      </c>
    </row>
    <row r="98" spans="1:4" x14ac:dyDescent="0.25">
      <c r="A98" t="s">
        <v>159</v>
      </c>
      <c r="D98">
        <f>MAX(D2:D94)</f>
        <v>23</v>
      </c>
    </row>
    <row r="99" spans="1:4" x14ac:dyDescent="0.25">
      <c r="A99" t="s">
        <v>160</v>
      </c>
      <c r="D99">
        <f>MIN(D2:D94)</f>
        <v>0</v>
      </c>
    </row>
    <row r="100" spans="1:4" x14ac:dyDescent="0.25">
      <c r="A100" t="s">
        <v>161</v>
      </c>
      <c r="D100">
        <f>COUNTIF(D2:D94,"&gt;0")</f>
        <v>90</v>
      </c>
    </row>
    <row r="101" spans="1:4" x14ac:dyDescent="0.25">
      <c r="A101" t="s">
        <v>162</v>
      </c>
      <c r="D101">
        <f>COUNTIF(D2:D94,"=0")</f>
        <v>3</v>
      </c>
    </row>
    <row r="102" spans="1:4" x14ac:dyDescent="0.25">
      <c r="A102" t="s">
        <v>1689</v>
      </c>
      <c r="D102">
        <f>COUNTIF(D2:D94,"&lt;0")</f>
        <v>0</v>
      </c>
    </row>
    <row r="104" spans="1:4" x14ac:dyDescent="0.25">
      <c r="A104" s="2" t="s">
        <v>164</v>
      </c>
    </row>
    <row r="105" spans="1:4" x14ac:dyDescent="0.25">
      <c r="A105" t="s">
        <v>165</v>
      </c>
      <c r="D105">
        <f>AVERAGE(D2,D3,D4,D5,D6,D7,D8,D9,D10,D11,D12,D13,D14,D15,D16,D17,D18,D19,D20,D21)</f>
        <v>5.15</v>
      </c>
    </row>
    <row r="106" spans="1:4" x14ac:dyDescent="0.25">
      <c r="A106" t="s">
        <v>166</v>
      </c>
      <c r="D106">
        <f>AVERAGE(D22,D23,D24,D25,D26,D27,D28,D29,D30,D31,D32,D33,D34,D35,D36,D37,D38,D39,D40,D41,D42,D43,D44,D45,D46,D47,D48,D49)</f>
        <v>9.3214285714285712</v>
      </c>
    </row>
    <row r="107" spans="1:4" x14ac:dyDescent="0.25">
      <c r="A107" t="s">
        <v>167</v>
      </c>
      <c r="D107">
        <f>AVERAGE(D50,D51,D52,D53,D54,D55,D56,D57,D58,D59,D60,D61,D62,D63,D64,D65,D66,D67,D68,D69,D70,D71,D72)</f>
        <v>13.695652173913043</v>
      </c>
    </row>
    <row r="108" spans="1:4" x14ac:dyDescent="0.25">
      <c r="A108" t="s">
        <v>168</v>
      </c>
      <c r="D108">
        <f>AVERAGE(D73,D74,D75,D76,D77,D78,D79,D80,D81,D82,D83,D84,D85,D86,D87,D88,D89,D90,D91,D92,D93,D94)</f>
        <v>19.59090909090909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1022</v>
      </c>
      <c r="C2" t="s">
        <v>908</v>
      </c>
      <c r="D2">
        <v>-2</v>
      </c>
    </row>
    <row r="3" spans="1:4" x14ac:dyDescent="0.25">
      <c r="A3" t="s">
        <v>4</v>
      </c>
      <c r="B3" t="s">
        <v>721</v>
      </c>
      <c r="C3" t="s">
        <v>174</v>
      </c>
      <c r="D3">
        <v>1</v>
      </c>
    </row>
    <row r="4" spans="1:4" x14ac:dyDescent="0.25">
      <c r="A4" t="s">
        <v>4</v>
      </c>
      <c r="B4" t="s">
        <v>307</v>
      </c>
      <c r="C4" t="s">
        <v>910</v>
      </c>
      <c r="D4">
        <v>-2</v>
      </c>
    </row>
    <row r="5" spans="1:4" x14ac:dyDescent="0.25">
      <c r="A5" t="s">
        <v>4</v>
      </c>
      <c r="B5" t="s">
        <v>2842</v>
      </c>
      <c r="C5" t="s">
        <v>309</v>
      </c>
      <c r="D5">
        <v>-1</v>
      </c>
    </row>
    <row r="6" spans="1:4" x14ac:dyDescent="0.25">
      <c r="A6" t="s">
        <v>4</v>
      </c>
      <c r="B6" t="s">
        <v>2842</v>
      </c>
      <c r="C6" t="s">
        <v>2430</v>
      </c>
      <c r="D6">
        <v>0</v>
      </c>
    </row>
    <row r="7" spans="1:4" x14ac:dyDescent="0.25">
      <c r="A7" t="s">
        <v>4</v>
      </c>
      <c r="B7" t="s">
        <v>215</v>
      </c>
      <c r="C7" t="s">
        <v>432</v>
      </c>
      <c r="D7">
        <v>2</v>
      </c>
    </row>
    <row r="8" spans="1:4" x14ac:dyDescent="0.25">
      <c r="A8" t="s">
        <v>4</v>
      </c>
      <c r="B8" t="s">
        <v>2962</v>
      </c>
      <c r="C8" t="s">
        <v>567</v>
      </c>
      <c r="D8">
        <v>0</v>
      </c>
    </row>
    <row r="9" spans="1:4" x14ac:dyDescent="0.25">
      <c r="A9" t="s">
        <v>4</v>
      </c>
      <c r="B9" t="s">
        <v>762</v>
      </c>
      <c r="C9" t="s">
        <v>696</v>
      </c>
      <c r="D9">
        <v>1</v>
      </c>
    </row>
    <row r="10" spans="1:4" x14ac:dyDescent="0.25">
      <c r="A10" t="s">
        <v>4</v>
      </c>
      <c r="B10" t="s">
        <v>762</v>
      </c>
      <c r="C10" t="s">
        <v>569</v>
      </c>
      <c r="D10">
        <v>2</v>
      </c>
    </row>
    <row r="11" spans="1:4" x14ac:dyDescent="0.25">
      <c r="A11" t="s">
        <v>4</v>
      </c>
      <c r="B11" t="s">
        <v>807</v>
      </c>
      <c r="C11" t="s">
        <v>438</v>
      </c>
      <c r="D11">
        <v>-1</v>
      </c>
    </row>
    <row r="12" spans="1:4" x14ac:dyDescent="0.25">
      <c r="A12" t="s">
        <v>4</v>
      </c>
      <c r="B12" t="s">
        <v>319</v>
      </c>
      <c r="C12" t="s">
        <v>1110</v>
      </c>
      <c r="D12">
        <v>0</v>
      </c>
    </row>
    <row r="13" spans="1:4" x14ac:dyDescent="0.25">
      <c r="A13" t="s">
        <v>4</v>
      </c>
      <c r="B13" t="s">
        <v>290</v>
      </c>
      <c r="C13" t="s">
        <v>439</v>
      </c>
      <c r="D13">
        <v>1</v>
      </c>
    </row>
    <row r="14" spans="1:4" x14ac:dyDescent="0.25">
      <c r="A14" t="s">
        <v>4</v>
      </c>
      <c r="B14" t="s">
        <v>290</v>
      </c>
      <c r="C14" t="s">
        <v>917</v>
      </c>
      <c r="D14">
        <v>2</v>
      </c>
    </row>
    <row r="15" spans="1:4" x14ac:dyDescent="0.25">
      <c r="A15" t="s">
        <v>4</v>
      </c>
      <c r="B15" t="s">
        <v>198</v>
      </c>
      <c r="C15" t="s">
        <v>1575</v>
      </c>
      <c r="D15">
        <v>4</v>
      </c>
    </row>
    <row r="16" spans="1:4" x14ac:dyDescent="0.25">
      <c r="A16" t="s">
        <v>4</v>
      </c>
      <c r="B16" t="s">
        <v>120</v>
      </c>
      <c r="C16" t="s">
        <v>1111</v>
      </c>
      <c r="D16">
        <v>5</v>
      </c>
    </row>
    <row r="17" spans="1:4" x14ac:dyDescent="0.25">
      <c r="A17" t="s">
        <v>4</v>
      </c>
      <c r="B17" t="s">
        <v>120</v>
      </c>
      <c r="C17" t="s">
        <v>321</v>
      </c>
      <c r="D17">
        <v>6</v>
      </c>
    </row>
    <row r="18" spans="1:4" x14ac:dyDescent="0.25">
      <c r="A18" t="s">
        <v>4</v>
      </c>
      <c r="B18" t="s">
        <v>72</v>
      </c>
      <c r="C18" t="s">
        <v>1873</v>
      </c>
      <c r="D18">
        <v>4</v>
      </c>
    </row>
    <row r="19" spans="1:4" x14ac:dyDescent="0.25">
      <c r="A19" t="s">
        <v>4</v>
      </c>
      <c r="B19" t="s">
        <v>505</v>
      </c>
      <c r="C19" t="s">
        <v>1199</v>
      </c>
      <c r="D19">
        <v>6</v>
      </c>
    </row>
    <row r="20" spans="1:4" x14ac:dyDescent="0.25">
      <c r="A20" t="s">
        <v>4</v>
      </c>
      <c r="B20" t="s">
        <v>900</v>
      </c>
      <c r="C20" t="s">
        <v>324</v>
      </c>
      <c r="D20">
        <v>7</v>
      </c>
    </row>
    <row r="21" spans="1:4" x14ac:dyDescent="0.25">
      <c r="A21" t="s">
        <v>4</v>
      </c>
      <c r="B21" t="s">
        <v>582</v>
      </c>
      <c r="C21" t="s">
        <v>1579</v>
      </c>
      <c r="D21">
        <v>6</v>
      </c>
    </row>
    <row r="22" spans="1:4" x14ac:dyDescent="0.25">
      <c r="A22" t="s">
        <v>4</v>
      </c>
      <c r="B22" t="s">
        <v>301</v>
      </c>
      <c r="C22" t="s">
        <v>2047</v>
      </c>
      <c r="D22">
        <v>8</v>
      </c>
    </row>
    <row r="23" spans="1:4" x14ac:dyDescent="0.25">
      <c r="A23" t="s">
        <v>40</v>
      </c>
      <c r="B23" t="s">
        <v>1430</v>
      </c>
      <c r="C23" t="s">
        <v>1203</v>
      </c>
      <c r="D23">
        <v>6</v>
      </c>
    </row>
    <row r="24" spans="1:4" x14ac:dyDescent="0.25">
      <c r="A24" t="s">
        <v>40</v>
      </c>
      <c r="B24" t="s">
        <v>1267</v>
      </c>
      <c r="C24" t="s">
        <v>331</v>
      </c>
      <c r="D24">
        <v>3</v>
      </c>
    </row>
    <row r="25" spans="1:4" x14ac:dyDescent="0.25">
      <c r="A25" t="s">
        <v>40</v>
      </c>
      <c r="B25" t="s">
        <v>1192</v>
      </c>
      <c r="C25" t="s">
        <v>206</v>
      </c>
      <c r="D25">
        <v>6</v>
      </c>
    </row>
    <row r="26" spans="1:4" x14ac:dyDescent="0.25">
      <c r="A26" t="s">
        <v>40</v>
      </c>
      <c r="B26" t="s">
        <v>1119</v>
      </c>
      <c r="C26" t="s">
        <v>334</v>
      </c>
      <c r="D26">
        <v>3</v>
      </c>
    </row>
    <row r="27" spans="1:4" x14ac:dyDescent="0.25">
      <c r="A27" t="s">
        <v>40</v>
      </c>
      <c r="B27" t="s">
        <v>431</v>
      </c>
      <c r="C27" t="s">
        <v>212</v>
      </c>
      <c r="D27">
        <v>5</v>
      </c>
    </row>
    <row r="28" spans="1:4" x14ac:dyDescent="0.25">
      <c r="A28" t="s">
        <v>40</v>
      </c>
      <c r="B28" t="s">
        <v>1773</v>
      </c>
      <c r="C28" t="s">
        <v>214</v>
      </c>
      <c r="D28">
        <v>3</v>
      </c>
    </row>
    <row r="29" spans="1:4" x14ac:dyDescent="0.25">
      <c r="A29" t="s">
        <v>40</v>
      </c>
      <c r="B29" t="s">
        <v>181</v>
      </c>
      <c r="C29" t="s">
        <v>2963</v>
      </c>
      <c r="D29">
        <v>5</v>
      </c>
    </row>
    <row r="30" spans="1:4" x14ac:dyDescent="0.25">
      <c r="A30" t="s">
        <v>40</v>
      </c>
      <c r="B30" t="s">
        <v>376</v>
      </c>
      <c r="C30" t="s">
        <v>340</v>
      </c>
      <c r="D30">
        <v>3</v>
      </c>
    </row>
    <row r="31" spans="1:4" x14ac:dyDescent="0.25">
      <c r="A31" t="s">
        <v>40</v>
      </c>
      <c r="B31" t="s">
        <v>467</v>
      </c>
      <c r="C31" t="s">
        <v>1125</v>
      </c>
      <c r="D31">
        <v>6</v>
      </c>
    </row>
    <row r="32" spans="1:4" x14ac:dyDescent="0.25">
      <c r="A32" t="s">
        <v>40</v>
      </c>
      <c r="B32" t="s">
        <v>749</v>
      </c>
      <c r="C32" t="s">
        <v>934</v>
      </c>
      <c r="D32">
        <v>5</v>
      </c>
    </row>
    <row r="33" spans="1:4" x14ac:dyDescent="0.25">
      <c r="A33" t="s">
        <v>40</v>
      </c>
      <c r="B33" t="s">
        <v>749</v>
      </c>
      <c r="C33" t="s">
        <v>2360</v>
      </c>
      <c r="D33">
        <v>4</v>
      </c>
    </row>
    <row r="34" spans="1:4" x14ac:dyDescent="0.25">
      <c r="A34" t="s">
        <v>40</v>
      </c>
      <c r="B34" t="s">
        <v>228</v>
      </c>
      <c r="C34" t="s">
        <v>936</v>
      </c>
      <c r="D34">
        <v>2</v>
      </c>
    </row>
    <row r="35" spans="1:4" x14ac:dyDescent="0.25">
      <c r="A35" t="s">
        <v>40</v>
      </c>
      <c r="B35" t="s">
        <v>877</v>
      </c>
      <c r="C35" t="s">
        <v>1214</v>
      </c>
      <c r="D35">
        <v>5</v>
      </c>
    </row>
    <row r="36" spans="1:4" x14ac:dyDescent="0.25">
      <c r="A36" t="s">
        <v>40</v>
      </c>
      <c r="B36" t="s">
        <v>1844</v>
      </c>
      <c r="C36" t="s">
        <v>2361</v>
      </c>
      <c r="D36">
        <v>4</v>
      </c>
    </row>
    <row r="37" spans="1:4" x14ac:dyDescent="0.25">
      <c r="A37" t="s">
        <v>40</v>
      </c>
      <c r="B37" t="s">
        <v>554</v>
      </c>
      <c r="C37" t="s">
        <v>468</v>
      </c>
      <c r="D37">
        <v>2</v>
      </c>
    </row>
    <row r="38" spans="1:4" x14ac:dyDescent="0.25">
      <c r="A38" t="s">
        <v>40</v>
      </c>
      <c r="B38" t="s">
        <v>2042</v>
      </c>
      <c r="C38" t="s">
        <v>351</v>
      </c>
      <c r="D38">
        <v>1</v>
      </c>
    </row>
    <row r="39" spans="1:4" x14ac:dyDescent="0.25">
      <c r="A39" t="s">
        <v>40</v>
      </c>
      <c r="B39" t="s">
        <v>2042</v>
      </c>
      <c r="C39" t="s">
        <v>470</v>
      </c>
      <c r="D39">
        <v>0</v>
      </c>
    </row>
    <row r="40" spans="1:4" x14ac:dyDescent="0.25">
      <c r="A40" t="s">
        <v>40</v>
      </c>
      <c r="B40" t="s">
        <v>817</v>
      </c>
      <c r="C40" t="s">
        <v>1828</v>
      </c>
      <c r="D40">
        <v>-2</v>
      </c>
    </row>
    <row r="41" spans="1:4" x14ac:dyDescent="0.25">
      <c r="A41" t="s">
        <v>80</v>
      </c>
      <c r="B41" t="s">
        <v>1680</v>
      </c>
      <c r="C41" t="s">
        <v>1720</v>
      </c>
      <c r="D41">
        <v>-4</v>
      </c>
    </row>
    <row r="42" spans="1:4" x14ac:dyDescent="0.25">
      <c r="A42" t="s">
        <v>80</v>
      </c>
      <c r="B42" t="s">
        <v>43</v>
      </c>
      <c r="C42" t="s">
        <v>1830</v>
      </c>
      <c r="D42">
        <v>-1</v>
      </c>
    </row>
    <row r="43" spans="1:4" x14ac:dyDescent="0.25">
      <c r="A43" t="s">
        <v>80</v>
      </c>
      <c r="B43" t="s">
        <v>511</v>
      </c>
      <c r="C43" t="s">
        <v>2217</v>
      </c>
      <c r="D43">
        <v>-3</v>
      </c>
    </row>
    <row r="44" spans="1:4" x14ac:dyDescent="0.25">
      <c r="A44" t="s">
        <v>80</v>
      </c>
      <c r="B44" t="s">
        <v>2355</v>
      </c>
      <c r="C44" t="s">
        <v>1722</v>
      </c>
      <c r="D44">
        <v>-1</v>
      </c>
    </row>
    <row r="45" spans="1:4" x14ac:dyDescent="0.25">
      <c r="A45" t="s">
        <v>80</v>
      </c>
      <c r="B45" t="s">
        <v>1190</v>
      </c>
      <c r="C45" t="s">
        <v>617</v>
      </c>
      <c r="D45">
        <v>-4</v>
      </c>
    </row>
    <row r="46" spans="1:4" x14ac:dyDescent="0.25">
      <c r="A46" t="s">
        <v>80</v>
      </c>
      <c r="B46" t="s">
        <v>51</v>
      </c>
      <c r="C46" t="s">
        <v>2414</v>
      </c>
      <c r="D46">
        <v>-5</v>
      </c>
    </row>
    <row r="47" spans="1:4" x14ac:dyDescent="0.25">
      <c r="A47" t="s">
        <v>80</v>
      </c>
      <c r="B47" t="s">
        <v>51</v>
      </c>
      <c r="C47" t="s">
        <v>2219</v>
      </c>
      <c r="D47">
        <v>-6</v>
      </c>
    </row>
    <row r="48" spans="1:4" x14ac:dyDescent="0.25">
      <c r="A48" t="s">
        <v>80</v>
      </c>
      <c r="B48" t="s">
        <v>2074</v>
      </c>
      <c r="C48" t="s">
        <v>249</v>
      </c>
      <c r="D48">
        <v>-3</v>
      </c>
    </row>
    <row r="49" spans="1:4" x14ac:dyDescent="0.25">
      <c r="A49" t="s">
        <v>80</v>
      </c>
      <c r="B49" t="s">
        <v>2266</v>
      </c>
      <c r="C49" t="s">
        <v>622</v>
      </c>
      <c r="D49">
        <v>-6</v>
      </c>
    </row>
    <row r="50" spans="1:4" x14ac:dyDescent="0.25">
      <c r="A50" t="s">
        <v>80</v>
      </c>
      <c r="B50" t="s">
        <v>2032</v>
      </c>
      <c r="C50" t="s">
        <v>2135</v>
      </c>
      <c r="D50">
        <v>-7</v>
      </c>
    </row>
    <row r="51" spans="1:4" x14ac:dyDescent="0.25">
      <c r="A51" t="s">
        <v>80</v>
      </c>
      <c r="B51" t="s">
        <v>2032</v>
      </c>
      <c r="C51" t="s">
        <v>98</v>
      </c>
      <c r="D51">
        <v>-8</v>
      </c>
    </row>
    <row r="52" spans="1:4" x14ac:dyDescent="0.25">
      <c r="A52" t="s">
        <v>80</v>
      </c>
      <c r="B52" t="s">
        <v>1776</v>
      </c>
      <c r="C52" t="s">
        <v>2964</v>
      </c>
      <c r="D52">
        <v>-11</v>
      </c>
    </row>
    <row r="53" spans="1:4" x14ac:dyDescent="0.25">
      <c r="A53" t="s">
        <v>80</v>
      </c>
      <c r="B53" t="s">
        <v>961</v>
      </c>
      <c r="C53" t="s">
        <v>2567</v>
      </c>
      <c r="D53">
        <v>-9</v>
      </c>
    </row>
    <row r="54" spans="1:4" x14ac:dyDescent="0.25">
      <c r="A54" t="s">
        <v>80</v>
      </c>
      <c r="B54" t="s">
        <v>600</v>
      </c>
      <c r="C54" t="s">
        <v>828</v>
      </c>
      <c r="D54">
        <v>-7</v>
      </c>
    </row>
    <row r="55" spans="1:4" x14ac:dyDescent="0.25">
      <c r="A55" t="s">
        <v>80</v>
      </c>
      <c r="B55" t="s">
        <v>922</v>
      </c>
      <c r="C55" t="s">
        <v>829</v>
      </c>
      <c r="D55">
        <v>-8</v>
      </c>
    </row>
    <row r="56" spans="1:4" x14ac:dyDescent="0.25">
      <c r="A56" t="s">
        <v>80</v>
      </c>
      <c r="B56" t="s">
        <v>922</v>
      </c>
      <c r="C56" t="s">
        <v>830</v>
      </c>
      <c r="D56">
        <v>-9</v>
      </c>
    </row>
    <row r="57" spans="1:4" x14ac:dyDescent="0.25">
      <c r="A57" t="s">
        <v>80</v>
      </c>
      <c r="B57" t="s">
        <v>106</v>
      </c>
      <c r="C57" t="s">
        <v>265</v>
      </c>
      <c r="D57">
        <v>-6</v>
      </c>
    </row>
    <row r="58" spans="1:4" x14ac:dyDescent="0.25">
      <c r="A58" t="s">
        <v>80</v>
      </c>
      <c r="B58" t="s">
        <v>766</v>
      </c>
      <c r="C58" t="s">
        <v>266</v>
      </c>
      <c r="D58">
        <v>-8</v>
      </c>
    </row>
    <row r="59" spans="1:4" x14ac:dyDescent="0.25">
      <c r="A59" t="s">
        <v>80</v>
      </c>
      <c r="B59" t="s">
        <v>290</v>
      </c>
      <c r="C59" t="s">
        <v>2569</v>
      </c>
      <c r="D59">
        <v>-6</v>
      </c>
    </row>
    <row r="60" spans="1:4" x14ac:dyDescent="0.25">
      <c r="A60" t="s">
        <v>80</v>
      </c>
      <c r="B60" t="s">
        <v>31</v>
      </c>
      <c r="C60" t="s">
        <v>2965</v>
      </c>
      <c r="D60">
        <v>-7</v>
      </c>
    </row>
    <row r="61" spans="1:4" x14ac:dyDescent="0.25">
      <c r="A61" t="s">
        <v>80</v>
      </c>
      <c r="B61" t="s">
        <v>31</v>
      </c>
      <c r="C61" t="s">
        <v>115</v>
      </c>
      <c r="D61">
        <v>-8</v>
      </c>
    </row>
    <row r="62" spans="1:4" x14ac:dyDescent="0.25">
      <c r="A62" t="s">
        <v>80</v>
      </c>
      <c r="B62" t="s">
        <v>559</v>
      </c>
      <c r="C62" t="s">
        <v>1233</v>
      </c>
      <c r="D62">
        <v>-7</v>
      </c>
    </row>
    <row r="63" spans="1:4" x14ac:dyDescent="0.25">
      <c r="A63" t="s">
        <v>80</v>
      </c>
      <c r="B63" t="s">
        <v>559</v>
      </c>
      <c r="C63" t="s">
        <v>117</v>
      </c>
      <c r="D63">
        <v>-6</v>
      </c>
    </row>
    <row r="64" spans="1:4" x14ac:dyDescent="0.25">
      <c r="A64" t="s">
        <v>123</v>
      </c>
      <c r="B64" t="s">
        <v>1208</v>
      </c>
      <c r="C64" t="s">
        <v>839</v>
      </c>
      <c r="D64">
        <v>-4</v>
      </c>
    </row>
    <row r="65" spans="1:4" x14ac:dyDescent="0.25">
      <c r="A65" t="s">
        <v>123</v>
      </c>
      <c r="B65" t="s">
        <v>932</v>
      </c>
      <c r="C65" t="s">
        <v>840</v>
      </c>
      <c r="D65">
        <v>-2</v>
      </c>
    </row>
    <row r="66" spans="1:4" x14ac:dyDescent="0.25">
      <c r="A66" t="s">
        <v>123</v>
      </c>
      <c r="B66" t="s">
        <v>130</v>
      </c>
      <c r="C66" t="s">
        <v>2140</v>
      </c>
      <c r="D66">
        <v>-5</v>
      </c>
    </row>
    <row r="67" spans="1:4" x14ac:dyDescent="0.25">
      <c r="A67" t="s">
        <v>123</v>
      </c>
      <c r="B67" t="s">
        <v>2152</v>
      </c>
      <c r="C67" t="s">
        <v>2141</v>
      </c>
      <c r="D67">
        <v>-7</v>
      </c>
    </row>
    <row r="68" spans="1:4" x14ac:dyDescent="0.25">
      <c r="A68" t="s">
        <v>123</v>
      </c>
      <c r="B68" t="s">
        <v>2152</v>
      </c>
      <c r="C68" t="s">
        <v>2966</v>
      </c>
      <c r="D68">
        <v>-8</v>
      </c>
    </row>
    <row r="69" spans="1:4" x14ac:dyDescent="0.25">
      <c r="A69" t="s">
        <v>123</v>
      </c>
      <c r="B69" t="s">
        <v>332</v>
      </c>
      <c r="C69" t="s">
        <v>2967</v>
      </c>
      <c r="D69">
        <v>-11</v>
      </c>
    </row>
    <row r="70" spans="1:4" x14ac:dyDescent="0.25">
      <c r="A70" t="s">
        <v>123</v>
      </c>
      <c r="B70" t="s">
        <v>1411</v>
      </c>
      <c r="C70" t="s">
        <v>1778</v>
      </c>
      <c r="D70">
        <v>-9</v>
      </c>
    </row>
    <row r="71" spans="1:4" x14ac:dyDescent="0.25">
      <c r="A71" t="s">
        <v>123</v>
      </c>
      <c r="B71" t="s">
        <v>1742</v>
      </c>
      <c r="C71" t="s">
        <v>2968</v>
      </c>
      <c r="D71">
        <v>-10</v>
      </c>
    </row>
    <row r="72" spans="1:4" x14ac:dyDescent="0.25">
      <c r="A72" t="s">
        <v>123</v>
      </c>
      <c r="B72" t="s">
        <v>1227</v>
      </c>
      <c r="C72" t="s">
        <v>283</v>
      </c>
      <c r="D72">
        <v>-8</v>
      </c>
    </row>
    <row r="73" spans="1:4" x14ac:dyDescent="0.25">
      <c r="A73" t="s">
        <v>123</v>
      </c>
      <c r="B73" t="s">
        <v>1533</v>
      </c>
      <c r="C73" t="s">
        <v>2969</v>
      </c>
      <c r="D73">
        <v>-5</v>
      </c>
    </row>
    <row r="74" spans="1:4" x14ac:dyDescent="0.25">
      <c r="A74" t="s">
        <v>123</v>
      </c>
      <c r="B74" t="s">
        <v>315</v>
      </c>
      <c r="C74" t="s">
        <v>2970</v>
      </c>
      <c r="D74">
        <v>-6</v>
      </c>
    </row>
    <row r="75" spans="1:4" x14ac:dyDescent="0.25">
      <c r="A75" t="s">
        <v>123</v>
      </c>
      <c r="B75" t="s">
        <v>192</v>
      </c>
      <c r="C75" t="s">
        <v>137</v>
      </c>
      <c r="D75">
        <v>-8</v>
      </c>
    </row>
    <row r="76" spans="1:4" x14ac:dyDescent="0.25">
      <c r="A76" t="s">
        <v>123</v>
      </c>
      <c r="B76" t="s">
        <v>749</v>
      </c>
      <c r="C76" t="s">
        <v>139</v>
      </c>
      <c r="D76">
        <v>-7</v>
      </c>
    </row>
    <row r="77" spans="1:4" x14ac:dyDescent="0.25">
      <c r="A77" t="s">
        <v>123</v>
      </c>
      <c r="B77" t="s">
        <v>749</v>
      </c>
      <c r="C77" t="s">
        <v>2971</v>
      </c>
      <c r="D77">
        <v>-6</v>
      </c>
    </row>
    <row r="78" spans="1:4" x14ac:dyDescent="0.25">
      <c r="A78" t="s">
        <v>123</v>
      </c>
      <c r="B78" t="s">
        <v>845</v>
      </c>
      <c r="C78" t="s">
        <v>2425</v>
      </c>
      <c r="D78">
        <v>-8</v>
      </c>
    </row>
    <row r="79" spans="1:4" x14ac:dyDescent="0.25">
      <c r="A79" t="s">
        <v>123</v>
      </c>
      <c r="B79" t="s">
        <v>444</v>
      </c>
      <c r="C79" t="s">
        <v>521</v>
      </c>
      <c r="D79">
        <v>-5</v>
      </c>
    </row>
    <row r="80" spans="1:4" x14ac:dyDescent="0.25">
      <c r="A80" t="s">
        <v>123</v>
      </c>
      <c r="B80" t="s">
        <v>477</v>
      </c>
      <c r="C80" t="s">
        <v>2972</v>
      </c>
      <c r="D80">
        <v>-7</v>
      </c>
    </row>
    <row r="81" spans="1:4" x14ac:dyDescent="0.25">
      <c r="A81" t="s">
        <v>123</v>
      </c>
      <c r="B81" t="s">
        <v>1113</v>
      </c>
      <c r="C81" t="s">
        <v>2345</v>
      </c>
      <c r="D81">
        <v>-5</v>
      </c>
    </row>
    <row r="82" spans="1:4" x14ac:dyDescent="0.25">
      <c r="A82" t="s">
        <v>123</v>
      </c>
      <c r="B82" t="s">
        <v>1733</v>
      </c>
      <c r="C82" t="s">
        <v>2973</v>
      </c>
      <c r="D82">
        <v>-8</v>
      </c>
    </row>
    <row r="83" spans="1:4" x14ac:dyDescent="0.25">
      <c r="A83" t="s">
        <v>123</v>
      </c>
      <c r="B83" t="s">
        <v>902</v>
      </c>
      <c r="C83" t="s">
        <v>2974</v>
      </c>
      <c r="D83">
        <v>-9</v>
      </c>
    </row>
    <row r="84" spans="1:4" x14ac:dyDescent="0.25">
      <c r="A84" t="s">
        <v>123</v>
      </c>
      <c r="B84" t="s">
        <v>902</v>
      </c>
      <c r="C84" t="s">
        <v>149</v>
      </c>
      <c r="D84">
        <v>-10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-2.1445783132530121</v>
      </c>
    </row>
    <row r="88" spans="1:4" x14ac:dyDescent="0.25">
      <c r="A88" t="s">
        <v>159</v>
      </c>
      <c r="D88">
        <f>MAX(D2:D84)</f>
        <v>8</v>
      </c>
    </row>
    <row r="89" spans="1:4" x14ac:dyDescent="0.25">
      <c r="A89" t="s">
        <v>160</v>
      </c>
      <c r="D89">
        <f>MIN(D2:D84)</f>
        <v>-11</v>
      </c>
    </row>
    <row r="90" spans="1:4" x14ac:dyDescent="0.25">
      <c r="A90" t="s">
        <v>161</v>
      </c>
      <c r="D90">
        <f>COUNTIF(D2:D84,"&gt;0")</f>
        <v>30</v>
      </c>
    </row>
    <row r="91" spans="1:4" x14ac:dyDescent="0.25">
      <c r="A91" t="s">
        <v>162</v>
      </c>
      <c r="D91">
        <f>COUNTIF(D2:D84,"=0")</f>
        <v>4</v>
      </c>
    </row>
    <row r="92" spans="1:4" x14ac:dyDescent="0.25">
      <c r="A92" t="s">
        <v>561</v>
      </c>
      <c r="D92">
        <f>COUNTIF(D2:D84,"&lt;0")</f>
        <v>49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AVERAGE(D2,D3,D4,D5,D6,D7,D8,D9,D10,D11,D12,D13,D14,D15,D16,D17,D18,D19,D20,D21,D22)</f>
        <v>2.3333333333333335</v>
      </c>
    </row>
    <row r="96" spans="1:4" x14ac:dyDescent="0.25">
      <c r="A96" t="s">
        <v>166</v>
      </c>
      <c r="D96">
        <f>AVERAGE(D23,D24,D25,D26,D27,D28,D29,D30,D31,D32,D33,D34,D35,D36,D37,D38,D39,D40)</f>
        <v>3.3888888888888888</v>
      </c>
    </row>
    <row r="97" spans="1:4" x14ac:dyDescent="0.25">
      <c r="A97" t="s">
        <v>167</v>
      </c>
      <c r="D97">
        <f>AVERAGE(D41,D42,D43,D44,D45,D46,D47,D48,D49,D50,D51,D52,D53,D54,D55,D56,D57,D58,D59,D60,D61,D62,D63)</f>
        <v>-6.0869565217391308</v>
      </c>
    </row>
    <row r="98" spans="1:4" x14ac:dyDescent="0.25">
      <c r="A98" t="s">
        <v>168</v>
      </c>
      <c r="D98">
        <f>AVERAGE(D64,D65,D66,D67,D68,D69,D70,D71,D72,D73,D74,D75,D76,D77,D78,D79,D80,D81,D82,D83,D84)</f>
        <v>-7.0476190476190474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795</v>
      </c>
      <c r="C2" t="s">
        <v>6</v>
      </c>
      <c r="D2">
        <v>2</v>
      </c>
    </row>
    <row r="3" spans="1:4" x14ac:dyDescent="0.25">
      <c r="A3" t="s">
        <v>4</v>
      </c>
      <c r="B3" t="s">
        <v>1083</v>
      </c>
      <c r="C3" t="s">
        <v>1572</v>
      </c>
      <c r="D3">
        <v>5</v>
      </c>
    </row>
    <row r="4" spans="1:4" x14ac:dyDescent="0.25">
      <c r="A4" t="s">
        <v>4</v>
      </c>
      <c r="B4" t="s">
        <v>778</v>
      </c>
      <c r="C4" t="s">
        <v>2643</v>
      </c>
      <c r="D4">
        <v>7</v>
      </c>
    </row>
    <row r="5" spans="1:4" x14ac:dyDescent="0.25">
      <c r="A5" t="s">
        <v>4</v>
      </c>
      <c r="B5" t="s">
        <v>759</v>
      </c>
      <c r="C5" t="s">
        <v>2592</v>
      </c>
      <c r="D5">
        <v>5</v>
      </c>
    </row>
    <row r="6" spans="1:4" x14ac:dyDescent="0.25">
      <c r="A6" t="s">
        <v>4</v>
      </c>
      <c r="B6" t="s">
        <v>572</v>
      </c>
      <c r="C6" t="s">
        <v>2593</v>
      </c>
      <c r="D6">
        <v>7</v>
      </c>
    </row>
    <row r="7" spans="1:4" x14ac:dyDescent="0.25">
      <c r="A7" t="s">
        <v>4</v>
      </c>
      <c r="B7" t="s">
        <v>15</v>
      </c>
      <c r="C7" t="s">
        <v>182</v>
      </c>
      <c r="D7">
        <v>5</v>
      </c>
    </row>
    <row r="8" spans="1:4" x14ac:dyDescent="0.25">
      <c r="A8" t="s">
        <v>4</v>
      </c>
      <c r="B8" t="s">
        <v>2266</v>
      </c>
      <c r="C8" t="s">
        <v>2645</v>
      </c>
      <c r="D8">
        <v>7</v>
      </c>
    </row>
    <row r="9" spans="1:4" x14ac:dyDescent="0.25">
      <c r="A9" t="s">
        <v>4</v>
      </c>
      <c r="B9" t="s">
        <v>1598</v>
      </c>
      <c r="C9" t="s">
        <v>1352</v>
      </c>
      <c r="D9">
        <v>4</v>
      </c>
    </row>
    <row r="10" spans="1:4" x14ac:dyDescent="0.25">
      <c r="A10" t="s">
        <v>4</v>
      </c>
      <c r="B10" t="s">
        <v>1776</v>
      </c>
      <c r="C10" t="s">
        <v>2647</v>
      </c>
      <c r="D10">
        <v>6</v>
      </c>
    </row>
    <row r="11" spans="1:4" x14ac:dyDescent="0.25">
      <c r="A11" t="s">
        <v>4</v>
      </c>
      <c r="B11" t="s">
        <v>188</v>
      </c>
      <c r="C11" t="s">
        <v>1197</v>
      </c>
      <c r="D11">
        <v>9</v>
      </c>
    </row>
    <row r="12" spans="1:4" x14ac:dyDescent="0.25">
      <c r="A12" t="s">
        <v>4</v>
      </c>
      <c r="B12" t="s">
        <v>764</v>
      </c>
      <c r="C12" t="s">
        <v>321</v>
      </c>
      <c r="D12">
        <v>6</v>
      </c>
    </row>
    <row r="13" spans="1:4" x14ac:dyDescent="0.25">
      <c r="A13" t="s">
        <v>4</v>
      </c>
      <c r="B13" t="s">
        <v>110</v>
      </c>
      <c r="C13" t="s">
        <v>1926</v>
      </c>
      <c r="D13">
        <v>3</v>
      </c>
    </row>
    <row r="14" spans="1:4" x14ac:dyDescent="0.25">
      <c r="A14" t="s">
        <v>4</v>
      </c>
      <c r="B14" t="s">
        <v>607</v>
      </c>
      <c r="C14" t="s">
        <v>1579</v>
      </c>
      <c r="D14">
        <v>6</v>
      </c>
    </row>
    <row r="15" spans="1:4" x14ac:dyDescent="0.25">
      <c r="A15" t="s">
        <v>4</v>
      </c>
      <c r="B15" t="s">
        <v>386</v>
      </c>
      <c r="C15" t="s">
        <v>2975</v>
      </c>
      <c r="D15">
        <v>9</v>
      </c>
    </row>
    <row r="16" spans="1:4" x14ac:dyDescent="0.25">
      <c r="A16" t="s">
        <v>4</v>
      </c>
      <c r="B16" t="s">
        <v>1940</v>
      </c>
      <c r="C16" t="s">
        <v>1748</v>
      </c>
      <c r="D16">
        <v>6</v>
      </c>
    </row>
    <row r="17" spans="1:4" x14ac:dyDescent="0.25">
      <c r="A17" t="s">
        <v>4</v>
      </c>
      <c r="B17" t="s">
        <v>1237</v>
      </c>
      <c r="C17" t="s">
        <v>1749</v>
      </c>
      <c r="D17">
        <v>5</v>
      </c>
    </row>
    <row r="18" spans="1:4" x14ac:dyDescent="0.25">
      <c r="A18" t="s">
        <v>4</v>
      </c>
      <c r="B18" t="s">
        <v>1222</v>
      </c>
      <c r="C18" t="s">
        <v>1928</v>
      </c>
      <c r="D18">
        <v>8</v>
      </c>
    </row>
    <row r="19" spans="1:4" x14ac:dyDescent="0.25">
      <c r="A19" t="s">
        <v>4</v>
      </c>
      <c r="B19" t="s">
        <v>880</v>
      </c>
      <c r="C19" t="s">
        <v>209</v>
      </c>
      <c r="D19">
        <v>6</v>
      </c>
    </row>
    <row r="20" spans="1:4" x14ac:dyDescent="0.25">
      <c r="A20" t="s">
        <v>4</v>
      </c>
      <c r="B20" t="s">
        <v>1809</v>
      </c>
      <c r="C20" t="s">
        <v>1930</v>
      </c>
      <c r="D20">
        <v>9</v>
      </c>
    </row>
    <row r="21" spans="1:4" x14ac:dyDescent="0.25">
      <c r="A21" t="s">
        <v>4</v>
      </c>
      <c r="B21" t="s">
        <v>394</v>
      </c>
      <c r="C21" t="s">
        <v>2523</v>
      </c>
      <c r="D21">
        <v>8</v>
      </c>
    </row>
    <row r="22" spans="1:4" x14ac:dyDescent="0.25">
      <c r="A22" t="s">
        <v>4</v>
      </c>
      <c r="B22" t="s">
        <v>394</v>
      </c>
      <c r="C22" t="s">
        <v>1209</v>
      </c>
      <c r="D22">
        <v>7</v>
      </c>
    </row>
    <row r="23" spans="1:4" x14ac:dyDescent="0.25">
      <c r="A23" t="s">
        <v>4</v>
      </c>
      <c r="B23" t="s">
        <v>972</v>
      </c>
      <c r="C23" t="s">
        <v>1932</v>
      </c>
      <c r="D23">
        <v>9</v>
      </c>
    </row>
    <row r="24" spans="1:4" x14ac:dyDescent="0.25">
      <c r="A24" t="s">
        <v>4</v>
      </c>
      <c r="B24" t="s">
        <v>1568</v>
      </c>
      <c r="C24" t="s">
        <v>1211</v>
      </c>
      <c r="D24">
        <v>6</v>
      </c>
    </row>
    <row r="25" spans="1:4" x14ac:dyDescent="0.25">
      <c r="A25" t="s">
        <v>40</v>
      </c>
      <c r="B25" t="s">
        <v>714</v>
      </c>
      <c r="C25" t="s">
        <v>2976</v>
      </c>
      <c r="D25">
        <v>8</v>
      </c>
    </row>
    <row r="26" spans="1:4" x14ac:dyDescent="0.25">
      <c r="A26" t="s">
        <v>40</v>
      </c>
      <c r="B26" t="s">
        <v>777</v>
      </c>
      <c r="C26" t="s">
        <v>220</v>
      </c>
      <c r="D26">
        <v>6</v>
      </c>
    </row>
    <row r="27" spans="1:4" x14ac:dyDescent="0.25">
      <c r="A27" t="s">
        <v>40</v>
      </c>
      <c r="B27" t="s">
        <v>273</v>
      </c>
      <c r="C27" t="s">
        <v>2528</v>
      </c>
      <c r="D27">
        <v>9</v>
      </c>
    </row>
    <row r="28" spans="1:4" x14ac:dyDescent="0.25">
      <c r="A28" t="s">
        <v>40</v>
      </c>
      <c r="B28" t="s">
        <v>693</v>
      </c>
      <c r="C28" t="s">
        <v>2543</v>
      </c>
      <c r="D28">
        <v>12</v>
      </c>
    </row>
    <row r="29" spans="1:4" x14ac:dyDescent="0.25">
      <c r="A29" t="s">
        <v>40</v>
      </c>
      <c r="B29" t="s">
        <v>1771</v>
      </c>
      <c r="C29" t="s">
        <v>2977</v>
      </c>
      <c r="D29">
        <v>11</v>
      </c>
    </row>
    <row r="30" spans="1:4" x14ac:dyDescent="0.25">
      <c r="A30" t="s">
        <v>40</v>
      </c>
      <c r="B30" t="s">
        <v>1771</v>
      </c>
      <c r="C30" t="s">
        <v>2544</v>
      </c>
      <c r="D30">
        <v>10</v>
      </c>
    </row>
    <row r="31" spans="1:4" x14ac:dyDescent="0.25">
      <c r="A31" t="s">
        <v>40</v>
      </c>
      <c r="B31" t="s">
        <v>1086</v>
      </c>
      <c r="C31" t="s">
        <v>2978</v>
      </c>
      <c r="D31">
        <v>13</v>
      </c>
    </row>
    <row r="32" spans="1:4" x14ac:dyDescent="0.25">
      <c r="A32" t="s">
        <v>40</v>
      </c>
      <c r="B32" t="s">
        <v>213</v>
      </c>
      <c r="C32" t="s">
        <v>2979</v>
      </c>
      <c r="D32">
        <v>11</v>
      </c>
    </row>
    <row r="33" spans="1:4" x14ac:dyDescent="0.25">
      <c r="A33" t="s">
        <v>40</v>
      </c>
      <c r="B33" t="s">
        <v>433</v>
      </c>
      <c r="C33" t="s">
        <v>2980</v>
      </c>
      <c r="D33">
        <v>9</v>
      </c>
    </row>
    <row r="34" spans="1:4" x14ac:dyDescent="0.25">
      <c r="A34" t="s">
        <v>40</v>
      </c>
      <c r="B34" t="s">
        <v>437</v>
      </c>
      <c r="C34" t="s">
        <v>1670</v>
      </c>
      <c r="D34">
        <v>7</v>
      </c>
    </row>
    <row r="35" spans="1:4" x14ac:dyDescent="0.25">
      <c r="A35" t="s">
        <v>40</v>
      </c>
      <c r="B35" t="s">
        <v>541</v>
      </c>
      <c r="C35" t="s">
        <v>1141</v>
      </c>
      <c r="D35">
        <v>10</v>
      </c>
    </row>
    <row r="36" spans="1:4" x14ac:dyDescent="0.25">
      <c r="A36" t="s">
        <v>40</v>
      </c>
      <c r="B36" t="s">
        <v>108</v>
      </c>
      <c r="C36" t="s">
        <v>2816</v>
      </c>
      <c r="D36">
        <v>13</v>
      </c>
    </row>
    <row r="37" spans="1:4" x14ac:dyDescent="0.25">
      <c r="A37" t="s">
        <v>40</v>
      </c>
      <c r="B37" t="s">
        <v>317</v>
      </c>
      <c r="C37" t="s">
        <v>1452</v>
      </c>
      <c r="D37">
        <v>14</v>
      </c>
    </row>
    <row r="38" spans="1:4" x14ac:dyDescent="0.25">
      <c r="A38" t="s">
        <v>40</v>
      </c>
      <c r="B38" t="s">
        <v>1619</v>
      </c>
      <c r="C38" t="s">
        <v>2784</v>
      </c>
      <c r="D38">
        <v>12</v>
      </c>
    </row>
    <row r="39" spans="1:4" x14ac:dyDescent="0.25">
      <c r="A39" t="s">
        <v>40</v>
      </c>
      <c r="B39" t="s">
        <v>477</v>
      </c>
      <c r="C39" t="s">
        <v>2981</v>
      </c>
      <c r="D39">
        <v>15</v>
      </c>
    </row>
    <row r="40" spans="1:4" x14ac:dyDescent="0.25">
      <c r="A40" t="s">
        <v>40</v>
      </c>
      <c r="B40" t="s">
        <v>76</v>
      </c>
      <c r="C40" t="s">
        <v>1677</v>
      </c>
      <c r="D40">
        <v>13</v>
      </c>
    </row>
    <row r="41" spans="1:4" x14ac:dyDescent="0.25">
      <c r="A41" t="s">
        <v>40</v>
      </c>
      <c r="B41" t="s">
        <v>584</v>
      </c>
      <c r="C41" t="s">
        <v>1149</v>
      </c>
      <c r="D41">
        <v>11</v>
      </c>
    </row>
    <row r="42" spans="1:4" x14ac:dyDescent="0.25">
      <c r="A42" t="s">
        <v>80</v>
      </c>
      <c r="B42" t="s">
        <v>933</v>
      </c>
      <c r="C42" t="s">
        <v>2982</v>
      </c>
      <c r="D42">
        <v>9</v>
      </c>
    </row>
    <row r="43" spans="1:4" x14ac:dyDescent="0.25">
      <c r="A43" t="s">
        <v>80</v>
      </c>
      <c r="B43" t="s">
        <v>1877</v>
      </c>
      <c r="C43" t="s">
        <v>1458</v>
      </c>
      <c r="D43">
        <v>11</v>
      </c>
    </row>
    <row r="44" spans="1:4" x14ac:dyDescent="0.25">
      <c r="A44" t="s">
        <v>80</v>
      </c>
      <c r="B44" t="s">
        <v>723</v>
      </c>
      <c r="C44" t="s">
        <v>2983</v>
      </c>
      <c r="D44">
        <v>9</v>
      </c>
    </row>
    <row r="45" spans="1:4" x14ac:dyDescent="0.25">
      <c r="A45" t="s">
        <v>80</v>
      </c>
      <c r="B45" t="s">
        <v>1246</v>
      </c>
      <c r="C45" t="s">
        <v>2984</v>
      </c>
      <c r="D45">
        <v>11</v>
      </c>
    </row>
    <row r="46" spans="1:4" x14ac:dyDescent="0.25">
      <c r="A46" t="s">
        <v>80</v>
      </c>
      <c r="B46" t="s">
        <v>1836</v>
      </c>
      <c r="C46" t="s">
        <v>492</v>
      </c>
      <c r="D46">
        <v>9</v>
      </c>
    </row>
    <row r="47" spans="1:4" x14ac:dyDescent="0.25">
      <c r="A47" t="s">
        <v>80</v>
      </c>
      <c r="B47" t="s">
        <v>865</v>
      </c>
      <c r="C47" t="s">
        <v>1462</v>
      </c>
      <c r="D47">
        <v>11</v>
      </c>
    </row>
    <row r="48" spans="1:4" x14ac:dyDescent="0.25">
      <c r="A48" t="s">
        <v>80</v>
      </c>
      <c r="B48" t="s">
        <v>135</v>
      </c>
      <c r="C48" t="s">
        <v>1684</v>
      </c>
      <c r="D48">
        <v>13</v>
      </c>
    </row>
    <row r="49" spans="1:4" x14ac:dyDescent="0.25">
      <c r="A49" t="s">
        <v>80</v>
      </c>
      <c r="B49" t="s">
        <v>698</v>
      </c>
      <c r="C49" t="s">
        <v>2985</v>
      </c>
      <c r="D49">
        <v>16</v>
      </c>
    </row>
    <row r="50" spans="1:4" x14ac:dyDescent="0.25">
      <c r="A50" t="s">
        <v>80</v>
      </c>
      <c r="B50" t="s">
        <v>1228</v>
      </c>
      <c r="C50" t="s">
        <v>2986</v>
      </c>
      <c r="D50">
        <v>14</v>
      </c>
    </row>
    <row r="51" spans="1:4" x14ac:dyDescent="0.25">
      <c r="A51" t="s">
        <v>80</v>
      </c>
      <c r="B51" t="s">
        <v>411</v>
      </c>
      <c r="C51" t="s">
        <v>2865</v>
      </c>
      <c r="D51">
        <v>12</v>
      </c>
    </row>
    <row r="52" spans="1:4" x14ac:dyDescent="0.25">
      <c r="A52" t="s">
        <v>80</v>
      </c>
      <c r="B52" t="s">
        <v>990</v>
      </c>
      <c r="C52" t="s">
        <v>2670</v>
      </c>
      <c r="D52">
        <v>15</v>
      </c>
    </row>
    <row r="53" spans="1:4" x14ac:dyDescent="0.25">
      <c r="A53" t="s">
        <v>80</v>
      </c>
      <c r="B53" t="s">
        <v>1484</v>
      </c>
      <c r="C53" t="s">
        <v>2987</v>
      </c>
      <c r="D53">
        <v>13</v>
      </c>
    </row>
    <row r="54" spans="1:4" x14ac:dyDescent="0.25">
      <c r="A54" t="s">
        <v>80</v>
      </c>
      <c r="B54" t="s">
        <v>1222</v>
      </c>
      <c r="C54" t="s">
        <v>2988</v>
      </c>
      <c r="D54">
        <v>12</v>
      </c>
    </row>
    <row r="55" spans="1:4" x14ac:dyDescent="0.25">
      <c r="A55" t="s">
        <v>80</v>
      </c>
      <c r="B55" t="s">
        <v>1222</v>
      </c>
      <c r="C55" t="s">
        <v>2989</v>
      </c>
      <c r="D55">
        <v>11</v>
      </c>
    </row>
    <row r="56" spans="1:4" x14ac:dyDescent="0.25">
      <c r="A56" t="s">
        <v>80</v>
      </c>
      <c r="B56" t="s">
        <v>481</v>
      </c>
      <c r="C56" t="s">
        <v>2990</v>
      </c>
      <c r="D56">
        <v>12</v>
      </c>
    </row>
    <row r="57" spans="1:4" x14ac:dyDescent="0.25">
      <c r="A57" t="s">
        <v>123</v>
      </c>
      <c r="B57" t="s">
        <v>855</v>
      </c>
      <c r="C57" t="s">
        <v>2673</v>
      </c>
      <c r="D57">
        <v>10</v>
      </c>
    </row>
    <row r="58" spans="1:4" x14ac:dyDescent="0.25">
      <c r="A58" t="s">
        <v>123</v>
      </c>
      <c r="B58" t="s">
        <v>170</v>
      </c>
      <c r="C58" t="s">
        <v>397</v>
      </c>
      <c r="D58">
        <v>8</v>
      </c>
    </row>
    <row r="59" spans="1:4" x14ac:dyDescent="0.25">
      <c r="A59" t="s">
        <v>123</v>
      </c>
      <c r="B59" t="s">
        <v>2405</v>
      </c>
      <c r="C59" t="s">
        <v>399</v>
      </c>
      <c r="D59">
        <v>10</v>
      </c>
    </row>
    <row r="60" spans="1:4" x14ac:dyDescent="0.25">
      <c r="A60" t="s">
        <v>123</v>
      </c>
      <c r="B60" t="s">
        <v>514</v>
      </c>
      <c r="C60" t="s">
        <v>2991</v>
      </c>
      <c r="D60">
        <v>13</v>
      </c>
    </row>
    <row r="61" spans="1:4" x14ac:dyDescent="0.25">
      <c r="A61" t="s">
        <v>123</v>
      </c>
      <c r="B61" t="s">
        <v>570</v>
      </c>
      <c r="C61" t="s">
        <v>2992</v>
      </c>
      <c r="D61">
        <v>10</v>
      </c>
    </row>
    <row r="62" spans="1:4" x14ac:dyDescent="0.25">
      <c r="A62" t="s">
        <v>123</v>
      </c>
      <c r="B62" t="s">
        <v>339</v>
      </c>
      <c r="C62" t="s">
        <v>2993</v>
      </c>
      <c r="D62">
        <v>13</v>
      </c>
    </row>
    <row r="63" spans="1:4" x14ac:dyDescent="0.25">
      <c r="A63" t="s">
        <v>123</v>
      </c>
      <c r="B63" t="s">
        <v>577</v>
      </c>
      <c r="C63" t="s">
        <v>2918</v>
      </c>
      <c r="D63">
        <v>11</v>
      </c>
    </row>
    <row r="64" spans="1:4" x14ac:dyDescent="0.25">
      <c r="A64" t="s">
        <v>123</v>
      </c>
      <c r="B64" t="s">
        <v>1040</v>
      </c>
      <c r="C64" t="s">
        <v>2994</v>
      </c>
      <c r="D64">
        <v>12</v>
      </c>
    </row>
    <row r="65" spans="1:4" x14ac:dyDescent="0.25">
      <c r="A65" t="s">
        <v>123</v>
      </c>
      <c r="B65" t="s">
        <v>1517</v>
      </c>
      <c r="C65" t="s">
        <v>2995</v>
      </c>
      <c r="D65">
        <v>13</v>
      </c>
    </row>
    <row r="66" spans="1:4" x14ac:dyDescent="0.25">
      <c r="A66" t="s">
        <v>123</v>
      </c>
      <c r="B66" t="s">
        <v>1200</v>
      </c>
      <c r="C66" t="s">
        <v>2996</v>
      </c>
      <c r="D66">
        <v>10</v>
      </c>
    </row>
    <row r="67" spans="1:4" x14ac:dyDescent="0.25">
      <c r="A67" t="s">
        <v>123</v>
      </c>
      <c r="B67" t="s">
        <v>1043</v>
      </c>
      <c r="C67" t="s">
        <v>2997</v>
      </c>
      <c r="D67">
        <v>12</v>
      </c>
    </row>
    <row r="68" spans="1:4" x14ac:dyDescent="0.25">
      <c r="A68" t="s">
        <v>123</v>
      </c>
      <c r="B68" t="s">
        <v>475</v>
      </c>
      <c r="C68" t="s">
        <v>2678</v>
      </c>
      <c r="D68">
        <v>10</v>
      </c>
    </row>
    <row r="69" spans="1:4" x14ac:dyDescent="0.25">
      <c r="A69" t="s">
        <v>123</v>
      </c>
      <c r="B69" t="s">
        <v>31</v>
      </c>
      <c r="C69" t="s">
        <v>1620</v>
      </c>
      <c r="D69">
        <v>8</v>
      </c>
    </row>
    <row r="70" spans="1:4" x14ac:dyDescent="0.25">
      <c r="A70" t="s">
        <v>123</v>
      </c>
      <c r="B70" t="s">
        <v>31</v>
      </c>
      <c r="C70" t="s">
        <v>1184</v>
      </c>
      <c r="D70">
        <v>7</v>
      </c>
    </row>
    <row r="71" spans="1:4" x14ac:dyDescent="0.25">
      <c r="A71" t="s">
        <v>123</v>
      </c>
      <c r="B71" t="s">
        <v>344</v>
      </c>
      <c r="C71" t="s">
        <v>2460</v>
      </c>
      <c r="D71">
        <v>10</v>
      </c>
    </row>
    <row r="72" spans="1:4" x14ac:dyDescent="0.25">
      <c r="A72" t="s">
        <v>123</v>
      </c>
      <c r="B72" t="s">
        <v>681</v>
      </c>
      <c r="C72" t="s">
        <v>2998</v>
      </c>
      <c r="D72">
        <v>8</v>
      </c>
    </row>
    <row r="73" spans="1:4" x14ac:dyDescent="0.25">
      <c r="A73" t="s">
        <v>123</v>
      </c>
      <c r="B73" t="s">
        <v>1162</v>
      </c>
      <c r="C73" t="s">
        <v>774</v>
      </c>
      <c r="D73">
        <v>6</v>
      </c>
    </row>
    <row r="74" spans="1:4" x14ac:dyDescent="0.25">
      <c r="A74" t="s">
        <v>123</v>
      </c>
      <c r="B74" t="s">
        <v>817</v>
      </c>
      <c r="C74" t="s">
        <v>1624</v>
      </c>
      <c r="D74">
        <v>8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9.3972602739726021</v>
      </c>
    </row>
    <row r="78" spans="1:4" x14ac:dyDescent="0.25">
      <c r="A78" t="s">
        <v>159</v>
      </c>
      <c r="D78">
        <f>MAX(D2:D74)</f>
        <v>16</v>
      </c>
    </row>
    <row r="79" spans="1:4" x14ac:dyDescent="0.25">
      <c r="A79" t="s">
        <v>160</v>
      </c>
      <c r="D79">
        <f>MIN(D2:D74)</f>
        <v>2</v>
      </c>
    </row>
    <row r="80" spans="1:4" x14ac:dyDescent="0.25">
      <c r="A80" t="s">
        <v>161</v>
      </c>
      <c r="D80">
        <f>COUNTIF(D2:D74,"&gt;0")</f>
        <v>73</v>
      </c>
    </row>
    <row r="81" spans="1:4" x14ac:dyDescent="0.25">
      <c r="A81" t="s">
        <v>162</v>
      </c>
      <c r="D81">
        <f>COUNTIF(D2:D74,"=0")</f>
        <v>0</v>
      </c>
    </row>
    <row r="82" spans="1:4" x14ac:dyDescent="0.25">
      <c r="A82" t="s">
        <v>1570</v>
      </c>
      <c r="D82">
        <f>COUNTIF(D2:D74,"&lt;0")</f>
        <v>0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AVERAGE(D2,D3,D4,D5,D6,D7,D8,D9,D10,D11,D12,D13,D14,D15,D16,D17,D18,D19,D20,D21,D22,D23,D24)</f>
        <v>6.3043478260869561</v>
      </c>
    </row>
    <row r="86" spans="1:4" x14ac:dyDescent="0.25">
      <c r="A86" t="s">
        <v>166</v>
      </c>
      <c r="D86">
        <f>AVERAGE(D25,D26,D27,D28,D29,D30,D31,D32,D33,D34,D35,D36,D37,D38,D39,D40,D41)</f>
        <v>10.823529411764707</v>
      </c>
    </row>
    <row r="87" spans="1:4" x14ac:dyDescent="0.25">
      <c r="A87" t="s">
        <v>167</v>
      </c>
      <c r="D87">
        <f>AVERAGE(D42,D43,D44,D45,D46,D47,D48,D49,D50,D51,D52,D53,D54,D55,D56)</f>
        <v>11.866666666666667</v>
      </c>
    </row>
    <row r="88" spans="1:4" x14ac:dyDescent="0.25">
      <c r="A88" t="s">
        <v>168</v>
      </c>
      <c r="D88">
        <f>AVERAGE(D57,D58,D59,D60,D61,D62,D63,D64,D65,D66,D67,D68,D69,D70,D71,D72,D73,D74)</f>
        <v>9.9444444444444446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124</v>
      </c>
      <c r="C2" t="s">
        <v>6</v>
      </c>
      <c r="D2">
        <v>2</v>
      </c>
    </row>
    <row r="3" spans="1:4" x14ac:dyDescent="0.25">
      <c r="A3" t="s">
        <v>4</v>
      </c>
      <c r="B3" t="s">
        <v>1083</v>
      </c>
      <c r="C3" t="s">
        <v>8</v>
      </c>
      <c r="D3">
        <v>0</v>
      </c>
    </row>
    <row r="4" spans="1:4" x14ac:dyDescent="0.25">
      <c r="A4" t="s">
        <v>4</v>
      </c>
      <c r="B4" t="s">
        <v>777</v>
      </c>
      <c r="C4" t="s">
        <v>306</v>
      </c>
      <c r="D4">
        <v>-1</v>
      </c>
    </row>
    <row r="5" spans="1:4" x14ac:dyDescent="0.25">
      <c r="A5" t="s">
        <v>4</v>
      </c>
      <c r="B5" t="s">
        <v>1065</v>
      </c>
      <c r="C5" t="s">
        <v>429</v>
      </c>
      <c r="D5">
        <v>2</v>
      </c>
    </row>
    <row r="6" spans="1:4" x14ac:dyDescent="0.25">
      <c r="A6" t="s">
        <v>4</v>
      </c>
      <c r="B6" t="s">
        <v>1441</v>
      </c>
      <c r="C6" t="s">
        <v>430</v>
      </c>
      <c r="D6">
        <v>4</v>
      </c>
    </row>
    <row r="7" spans="1:4" x14ac:dyDescent="0.25">
      <c r="A7" t="s">
        <v>4</v>
      </c>
      <c r="B7" t="s">
        <v>2311</v>
      </c>
      <c r="C7" t="s">
        <v>780</v>
      </c>
      <c r="D7">
        <v>6</v>
      </c>
    </row>
    <row r="8" spans="1:4" x14ac:dyDescent="0.25">
      <c r="A8" t="s">
        <v>4</v>
      </c>
      <c r="B8" t="s">
        <v>541</v>
      </c>
      <c r="C8" t="s">
        <v>2999</v>
      </c>
      <c r="D8">
        <v>8</v>
      </c>
    </row>
    <row r="9" spans="1:4" x14ac:dyDescent="0.25">
      <c r="A9" t="s">
        <v>4</v>
      </c>
      <c r="B9" t="s">
        <v>1198</v>
      </c>
      <c r="C9" t="s">
        <v>2560</v>
      </c>
      <c r="D9">
        <v>5</v>
      </c>
    </row>
    <row r="10" spans="1:4" x14ac:dyDescent="0.25">
      <c r="A10" t="s">
        <v>4</v>
      </c>
      <c r="B10" t="s">
        <v>469</v>
      </c>
      <c r="C10" t="s">
        <v>187</v>
      </c>
      <c r="D10">
        <v>7</v>
      </c>
    </row>
    <row r="11" spans="1:4" x14ac:dyDescent="0.25">
      <c r="A11" t="s">
        <v>4</v>
      </c>
      <c r="B11" t="s">
        <v>386</v>
      </c>
      <c r="C11" t="s">
        <v>316</v>
      </c>
      <c r="D11">
        <v>8</v>
      </c>
    </row>
    <row r="12" spans="1:4" x14ac:dyDescent="0.25">
      <c r="A12" t="s">
        <v>4</v>
      </c>
      <c r="B12" t="s">
        <v>386</v>
      </c>
      <c r="C12" t="s">
        <v>2511</v>
      </c>
      <c r="D12">
        <v>9</v>
      </c>
    </row>
    <row r="13" spans="1:4" x14ac:dyDescent="0.25">
      <c r="A13" t="s">
        <v>4</v>
      </c>
      <c r="B13" t="s">
        <v>148</v>
      </c>
      <c r="C13" t="s">
        <v>189</v>
      </c>
      <c r="D13">
        <v>10</v>
      </c>
    </row>
    <row r="14" spans="1:4" x14ac:dyDescent="0.25">
      <c r="A14" t="s">
        <v>4</v>
      </c>
      <c r="B14" t="s">
        <v>148</v>
      </c>
      <c r="C14" t="s">
        <v>2512</v>
      </c>
      <c r="D14">
        <v>11</v>
      </c>
    </row>
    <row r="15" spans="1:4" x14ac:dyDescent="0.25">
      <c r="A15" t="s">
        <v>4</v>
      </c>
      <c r="B15" t="s">
        <v>448</v>
      </c>
      <c r="C15" t="s">
        <v>2514</v>
      </c>
      <c r="D15">
        <v>13</v>
      </c>
    </row>
    <row r="16" spans="1:4" x14ac:dyDescent="0.25">
      <c r="A16" t="s">
        <v>4</v>
      </c>
      <c r="B16" t="s">
        <v>320</v>
      </c>
      <c r="C16" t="s">
        <v>2515</v>
      </c>
      <c r="D16">
        <v>12</v>
      </c>
    </row>
    <row r="17" spans="1:4" x14ac:dyDescent="0.25">
      <c r="A17" t="s">
        <v>4</v>
      </c>
      <c r="B17" t="s">
        <v>294</v>
      </c>
      <c r="C17" t="s">
        <v>1275</v>
      </c>
      <c r="D17">
        <v>10</v>
      </c>
    </row>
    <row r="18" spans="1:4" x14ac:dyDescent="0.25">
      <c r="A18" t="s">
        <v>4</v>
      </c>
      <c r="B18" t="s">
        <v>481</v>
      </c>
      <c r="C18" t="s">
        <v>3000</v>
      </c>
      <c r="D18">
        <v>13</v>
      </c>
    </row>
    <row r="19" spans="1:4" x14ac:dyDescent="0.25">
      <c r="A19" t="s">
        <v>4</v>
      </c>
      <c r="B19" t="s">
        <v>78</v>
      </c>
      <c r="C19" t="s">
        <v>1278</v>
      </c>
      <c r="D19">
        <v>15</v>
      </c>
    </row>
    <row r="20" spans="1:4" x14ac:dyDescent="0.25">
      <c r="A20" t="s">
        <v>40</v>
      </c>
      <c r="B20" t="s">
        <v>933</v>
      </c>
      <c r="C20" t="s">
        <v>1279</v>
      </c>
      <c r="D20">
        <v>17</v>
      </c>
    </row>
    <row r="21" spans="1:4" x14ac:dyDescent="0.25">
      <c r="A21" t="s">
        <v>40</v>
      </c>
      <c r="B21" t="s">
        <v>1545</v>
      </c>
      <c r="C21" t="s">
        <v>1281</v>
      </c>
      <c r="D21">
        <v>15</v>
      </c>
    </row>
    <row r="22" spans="1:4" x14ac:dyDescent="0.25">
      <c r="A22" t="s">
        <v>40</v>
      </c>
      <c r="B22" t="s">
        <v>1613</v>
      </c>
      <c r="C22" t="s">
        <v>1282</v>
      </c>
      <c r="D22">
        <v>17</v>
      </c>
    </row>
    <row r="23" spans="1:4" x14ac:dyDescent="0.25">
      <c r="A23" t="s">
        <v>40</v>
      </c>
      <c r="B23" t="s">
        <v>1280</v>
      </c>
      <c r="C23" t="s">
        <v>3001</v>
      </c>
      <c r="D23">
        <v>20</v>
      </c>
    </row>
    <row r="24" spans="1:4" x14ac:dyDescent="0.25">
      <c r="A24" t="s">
        <v>40</v>
      </c>
      <c r="B24" t="s">
        <v>361</v>
      </c>
      <c r="C24" t="s">
        <v>3002</v>
      </c>
      <c r="D24">
        <v>19</v>
      </c>
    </row>
    <row r="25" spans="1:4" x14ac:dyDescent="0.25">
      <c r="A25" t="s">
        <v>40</v>
      </c>
      <c r="B25" t="s">
        <v>361</v>
      </c>
      <c r="C25" t="s">
        <v>3003</v>
      </c>
      <c r="D25">
        <v>18</v>
      </c>
    </row>
    <row r="26" spans="1:4" x14ac:dyDescent="0.25">
      <c r="A26" t="s">
        <v>40</v>
      </c>
      <c r="B26" t="s">
        <v>431</v>
      </c>
      <c r="C26" t="s">
        <v>2900</v>
      </c>
      <c r="D26">
        <v>16</v>
      </c>
    </row>
    <row r="27" spans="1:4" x14ac:dyDescent="0.25">
      <c r="A27" t="s">
        <v>40</v>
      </c>
      <c r="B27" t="s">
        <v>307</v>
      </c>
      <c r="C27" t="s">
        <v>3004</v>
      </c>
      <c r="D27">
        <v>14</v>
      </c>
    </row>
    <row r="28" spans="1:4" x14ac:dyDescent="0.25">
      <c r="A28" t="s">
        <v>40</v>
      </c>
      <c r="B28" t="s">
        <v>95</v>
      </c>
      <c r="C28" t="s">
        <v>2902</v>
      </c>
      <c r="D28">
        <v>16</v>
      </c>
    </row>
    <row r="29" spans="1:4" x14ac:dyDescent="0.25">
      <c r="A29" t="s">
        <v>40</v>
      </c>
      <c r="B29" t="s">
        <v>740</v>
      </c>
      <c r="C29" t="s">
        <v>3005</v>
      </c>
      <c r="D29">
        <v>14</v>
      </c>
    </row>
    <row r="30" spans="1:4" x14ac:dyDescent="0.25">
      <c r="A30" t="s">
        <v>40</v>
      </c>
      <c r="B30" t="s">
        <v>437</v>
      </c>
      <c r="C30" t="s">
        <v>1933</v>
      </c>
      <c r="D30">
        <v>12</v>
      </c>
    </row>
    <row r="31" spans="1:4" x14ac:dyDescent="0.25">
      <c r="A31" t="s">
        <v>40</v>
      </c>
      <c r="B31" t="s">
        <v>337</v>
      </c>
      <c r="C31" t="s">
        <v>3006</v>
      </c>
      <c r="D31">
        <v>14</v>
      </c>
    </row>
    <row r="32" spans="1:4" x14ac:dyDescent="0.25">
      <c r="A32" t="s">
        <v>40</v>
      </c>
      <c r="B32" t="s">
        <v>984</v>
      </c>
      <c r="C32" t="s">
        <v>3007</v>
      </c>
      <c r="D32">
        <v>12</v>
      </c>
    </row>
    <row r="33" spans="1:4" x14ac:dyDescent="0.25">
      <c r="A33" t="s">
        <v>40</v>
      </c>
      <c r="B33" t="s">
        <v>1700</v>
      </c>
      <c r="C33" t="s">
        <v>3008</v>
      </c>
      <c r="D33">
        <v>11</v>
      </c>
    </row>
    <row r="34" spans="1:4" x14ac:dyDescent="0.25">
      <c r="A34" t="s">
        <v>40</v>
      </c>
      <c r="B34" t="s">
        <v>1700</v>
      </c>
      <c r="C34" t="s">
        <v>1936</v>
      </c>
      <c r="D34">
        <v>10</v>
      </c>
    </row>
    <row r="35" spans="1:4" x14ac:dyDescent="0.25">
      <c r="A35" t="s">
        <v>40</v>
      </c>
      <c r="B35" t="s">
        <v>546</v>
      </c>
      <c r="C35" t="s">
        <v>2528</v>
      </c>
      <c r="D35">
        <v>9</v>
      </c>
    </row>
    <row r="36" spans="1:4" x14ac:dyDescent="0.25">
      <c r="A36" t="s">
        <v>40</v>
      </c>
      <c r="B36" t="s">
        <v>546</v>
      </c>
      <c r="C36" t="s">
        <v>2529</v>
      </c>
      <c r="D36">
        <v>8</v>
      </c>
    </row>
    <row r="37" spans="1:4" x14ac:dyDescent="0.25">
      <c r="A37" t="s">
        <v>40</v>
      </c>
      <c r="B37" t="s">
        <v>990</v>
      </c>
      <c r="C37" t="s">
        <v>3009</v>
      </c>
      <c r="D37">
        <v>10</v>
      </c>
    </row>
    <row r="38" spans="1:4" x14ac:dyDescent="0.25">
      <c r="A38" t="s">
        <v>40</v>
      </c>
      <c r="B38" t="s">
        <v>896</v>
      </c>
      <c r="C38" t="s">
        <v>2977</v>
      </c>
      <c r="D38">
        <v>11</v>
      </c>
    </row>
    <row r="39" spans="1:4" x14ac:dyDescent="0.25">
      <c r="A39" t="s">
        <v>40</v>
      </c>
      <c r="B39" t="s">
        <v>896</v>
      </c>
      <c r="C39" t="s">
        <v>3010</v>
      </c>
      <c r="D39">
        <v>12</v>
      </c>
    </row>
    <row r="40" spans="1:4" x14ac:dyDescent="0.25">
      <c r="A40" t="s">
        <v>40</v>
      </c>
      <c r="B40" t="s">
        <v>612</v>
      </c>
      <c r="C40" t="s">
        <v>3011</v>
      </c>
      <c r="D40">
        <v>15</v>
      </c>
    </row>
    <row r="41" spans="1:4" x14ac:dyDescent="0.25">
      <c r="A41" t="s">
        <v>40</v>
      </c>
      <c r="B41" t="s">
        <v>152</v>
      </c>
      <c r="C41" t="s">
        <v>2061</v>
      </c>
      <c r="D41">
        <v>16</v>
      </c>
    </row>
    <row r="42" spans="1:4" x14ac:dyDescent="0.25">
      <c r="A42" t="s">
        <v>40</v>
      </c>
      <c r="B42" t="s">
        <v>346</v>
      </c>
      <c r="C42" t="s">
        <v>2164</v>
      </c>
      <c r="D42">
        <v>14</v>
      </c>
    </row>
    <row r="43" spans="1:4" x14ac:dyDescent="0.25">
      <c r="A43" t="s">
        <v>40</v>
      </c>
      <c r="B43" t="s">
        <v>537</v>
      </c>
      <c r="C43" t="s">
        <v>1447</v>
      </c>
      <c r="D43">
        <v>13</v>
      </c>
    </row>
    <row r="44" spans="1:4" x14ac:dyDescent="0.25">
      <c r="A44" t="s">
        <v>80</v>
      </c>
      <c r="B44" t="s">
        <v>1787</v>
      </c>
      <c r="C44" t="s">
        <v>3012</v>
      </c>
      <c r="D44">
        <v>15</v>
      </c>
    </row>
    <row r="45" spans="1:4" x14ac:dyDescent="0.25">
      <c r="A45" t="s">
        <v>80</v>
      </c>
      <c r="B45" t="s">
        <v>2421</v>
      </c>
      <c r="C45" t="s">
        <v>3013</v>
      </c>
      <c r="D45">
        <v>14</v>
      </c>
    </row>
    <row r="46" spans="1:4" x14ac:dyDescent="0.25">
      <c r="A46" t="s">
        <v>80</v>
      </c>
      <c r="B46" t="s">
        <v>2421</v>
      </c>
      <c r="C46" t="s">
        <v>3014</v>
      </c>
      <c r="D46">
        <v>13</v>
      </c>
    </row>
    <row r="47" spans="1:4" x14ac:dyDescent="0.25">
      <c r="A47" t="s">
        <v>80</v>
      </c>
      <c r="B47" t="s">
        <v>932</v>
      </c>
      <c r="C47" t="s">
        <v>3015</v>
      </c>
      <c r="D47">
        <v>16</v>
      </c>
    </row>
    <row r="48" spans="1:4" x14ac:dyDescent="0.25">
      <c r="A48" t="s">
        <v>80</v>
      </c>
      <c r="B48" t="s">
        <v>305</v>
      </c>
      <c r="C48" t="s">
        <v>950</v>
      </c>
      <c r="D48">
        <v>13</v>
      </c>
    </row>
    <row r="49" spans="1:4" x14ac:dyDescent="0.25">
      <c r="A49" t="s">
        <v>80</v>
      </c>
      <c r="B49" t="s">
        <v>332</v>
      </c>
      <c r="C49" t="s">
        <v>1454</v>
      </c>
      <c r="D49">
        <v>11</v>
      </c>
    </row>
    <row r="50" spans="1:4" x14ac:dyDescent="0.25">
      <c r="A50" t="s">
        <v>80</v>
      </c>
      <c r="B50" t="s">
        <v>1411</v>
      </c>
      <c r="C50" t="s">
        <v>2785</v>
      </c>
      <c r="D50">
        <v>12</v>
      </c>
    </row>
    <row r="51" spans="1:4" x14ac:dyDescent="0.25">
      <c r="A51" t="s">
        <v>80</v>
      </c>
      <c r="B51" t="s">
        <v>1411</v>
      </c>
      <c r="C51" t="s">
        <v>1455</v>
      </c>
      <c r="D51">
        <v>13</v>
      </c>
    </row>
    <row r="52" spans="1:4" x14ac:dyDescent="0.25">
      <c r="A52" t="s">
        <v>80</v>
      </c>
      <c r="B52" t="s">
        <v>645</v>
      </c>
      <c r="C52" t="s">
        <v>3016</v>
      </c>
      <c r="D52">
        <v>12</v>
      </c>
    </row>
    <row r="53" spans="1:4" x14ac:dyDescent="0.25">
      <c r="A53" t="s">
        <v>80</v>
      </c>
      <c r="B53" t="s">
        <v>645</v>
      </c>
      <c r="C53" t="s">
        <v>2786</v>
      </c>
      <c r="D53">
        <v>11</v>
      </c>
    </row>
    <row r="54" spans="1:4" x14ac:dyDescent="0.25">
      <c r="A54" t="s">
        <v>80</v>
      </c>
      <c r="B54" t="s">
        <v>91</v>
      </c>
      <c r="C54" t="s">
        <v>2338</v>
      </c>
      <c r="D54">
        <v>9</v>
      </c>
    </row>
    <row r="55" spans="1:4" x14ac:dyDescent="0.25">
      <c r="A55" t="s">
        <v>80</v>
      </c>
      <c r="B55" t="s">
        <v>2431</v>
      </c>
      <c r="C55" t="s">
        <v>1679</v>
      </c>
      <c r="D55">
        <v>12</v>
      </c>
    </row>
    <row r="56" spans="1:4" x14ac:dyDescent="0.25">
      <c r="A56" t="s">
        <v>80</v>
      </c>
      <c r="B56" t="s">
        <v>19</v>
      </c>
      <c r="C56" t="s">
        <v>1681</v>
      </c>
      <c r="D56">
        <v>14</v>
      </c>
    </row>
    <row r="57" spans="1:4" x14ac:dyDescent="0.25">
      <c r="A57" t="s">
        <v>80</v>
      </c>
      <c r="B57" t="s">
        <v>941</v>
      </c>
      <c r="C57" t="s">
        <v>1682</v>
      </c>
      <c r="D57">
        <v>12</v>
      </c>
    </row>
    <row r="58" spans="1:4" x14ac:dyDescent="0.25">
      <c r="A58" t="s">
        <v>80</v>
      </c>
      <c r="B58" t="s">
        <v>1436</v>
      </c>
      <c r="C58" t="s">
        <v>3017</v>
      </c>
      <c r="D58">
        <v>15</v>
      </c>
    </row>
    <row r="59" spans="1:4" x14ac:dyDescent="0.25">
      <c r="A59" t="s">
        <v>80</v>
      </c>
      <c r="B59" t="s">
        <v>1153</v>
      </c>
      <c r="C59" t="s">
        <v>1953</v>
      </c>
      <c r="D59">
        <v>13</v>
      </c>
    </row>
    <row r="60" spans="1:4" x14ac:dyDescent="0.25">
      <c r="A60" t="s">
        <v>80</v>
      </c>
      <c r="B60" t="s">
        <v>629</v>
      </c>
      <c r="C60" t="s">
        <v>3018</v>
      </c>
      <c r="D60">
        <v>11</v>
      </c>
    </row>
    <row r="61" spans="1:4" x14ac:dyDescent="0.25">
      <c r="A61" t="s">
        <v>80</v>
      </c>
      <c r="B61" t="s">
        <v>1204</v>
      </c>
      <c r="C61" t="s">
        <v>1158</v>
      </c>
      <c r="D61">
        <v>10</v>
      </c>
    </row>
    <row r="62" spans="1:4" x14ac:dyDescent="0.25">
      <c r="A62" t="s">
        <v>80</v>
      </c>
      <c r="B62" t="s">
        <v>1204</v>
      </c>
      <c r="C62" t="s">
        <v>2881</v>
      </c>
      <c r="D62">
        <v>9</v>
      </c>
    </row>
    <row r="63" spans="1:4" x14ac:dyDescent="0.25">
      <c r="A63" t="s">
        <v>80</v>
      </c>
      <c r="B63" t="s">
        <v>301</v>
      </c>
      <c r="C63" t="s">
        <v>2276</v>
      </c>
      <c r="D63">
        <v>7</v>
      </c>
    </row>
    <row r="64" spans="1:4" x14ac:dyDescent="0.25">
      <c r="A64" t="s">
        <v>80</v>
      </c>
      <c r="B64" t="s">
        <v>38</v>
      </c>
      <c r="C64" t="s">
        <v>2277</v>
      </c>
      <c r="D64">
        <v>9</v>
      </c>
    </row>
    <row r="65" spans="1:4" x14ac:dyDescent="0.25">
      <c r="A65" t="s">
        <v>123</v>
      </c>
      <c r="B65" t="s">
        <v>237</v>
      </c>
      <c r="C65" t="s">
        <v>1164</v>
      </c>
      <c r="D65">
        <v>6</v>
      </c>
    </row>
    <row r="66" spans="1:4" x14ac:dyDescent="0.25">
      <c r="A66" t="s">
        <v>123</v>
      </c>
      <c r="B66" t="s">
        <v>126</v>
      </c>
      <c r="C66" t="s">
        <v>1165</v>
      </c>
      <c r="D66">
        <v>8</v>
      </c>
    </row>
    <row r="67" spans="1:4" x14ac:dyDescent="0.25">
      <c r="A67" t="s">
        <v>123</v>
      </c>
      <c r="B67" t="s">
        <v>1057</v>
      </c>
      <c r="C67" t="s">
        <v>1955</v>
      </c>
      <c r="D67">
        <v>9</v>
      </c>
    </row>
    <row r="68" spans="1:4" x14ac:dyDescent="0.25">
      <c r="A68" t="s">
        <v>123</v>
      </c>
      <c r="B68" t="s">
        <v>1057</v>
      </c>
      <c r="C68" t="s">
        <v>2884</v>
      </c>
      <c r="D68">
        <v>10</v>
      </c>
    </row>
    <row r="69" spans="1:4" x14ac:dyDescent="0.25">
      <c r="A69" t="s">
        <v>123</v>
      </c>
      <c r="B69" t="s">
        <v>1029</v>
      </c>
      <c r="C69" t="s">
        <v>1609</v>
      </c>
      <c r="D69">
        <v>8</v>
      </c>
    </row>
    <row r="70" spans="1:4" x14ac:dyDescent="0.25">
      <c r="A70" t="s">
        <v>123</v>
      </c>
      <c r="B70" t="s">
        <v>621</v>
      </c>
      <c r="C70" t="s">
        <v>3019</v>
      </c>
      <c r="D70">
        <v>6</v>
      </c>
    </row>
    <row r="71" spans="1:4" x14ac:dyDescent="0.25">
      <c r="A71" t="s">
        <v>123</v>
      </c>
      <c r="B71" t="s">
        <v>54</v>
      </c>
      <c r="C71" t="s">
        <v>397</v>
      </c>
      <c r="D71">
        <v>8</v>
      </c>
    </row>
    <row r="72" spans="1:4" x14ac:dyDescent="0.25">
      <c r="A72" t="s">
        <v>123</v>
      </c>
      <c r="B72" t="s">
        <v>368</v>
      </c>
      <c r="C72" t="s">
        <v>2869</v>
      </c>
      <c r="D72">
        <v>11</v>
      </c>
    </row>
    <row r="73" spans="1:4" x14ac:dyDescent="0.25">
      <c r="A73" t="s">
        <v>123</v>
      </c>
      <c r="B73" t="s">
        <v>60</v>
      </c>
      <c r="C73" t="s">
        <v>3020</v>
      </c>
      <c r="D73">
        <v>9</v>
      </c>
    </row>
    <row r="74" spans="1:4" x14ac:dyDescent="0.25">
      <c r="A74" t="s">
        <v>123</v>
      </c>
      <c r="B74" t="s">
        <v>598</v>
      </c>
      <c r="C74" t="s">
        <v>2871</v>
      </c>
      <c r="D74">
        <v>12</v>
      </c>
    </row>
    <row r="75" spans="1:4" x14ac:dyDescent="0.25">
      <c r="A75" t="s">
        <v>123</v>
      </c>
      <c r="B75" t="s">
        <v>1092</v>
      </c>
      <c r="C75" t="s">
        <v>1473</v>
      </c>
      <c r="D75">
        <v>13</v>
      </c>
    </row>
    <row r="76" spans="1:4" x14ac:dyDescent="0.25">
      <c r="A76" t="s">
        <v>123</v>
      </c>
      <c r="B76" t="s">
        <v>1092</v>
      </c>
      <c r="C76" t="s">
        <v>2675</v>
      </c>
      <c r="D76">
        <v>14</v>
      </c>
    </row>
    <row r="77" spans="1:4" x14ac:dyDescent="0.25">
      <c r="A77" t="s">
        <v>123</v>
      </c>
      <c r="B77" t="s">
        <v>380</v>
      </c>
      <c r="C77" t="s">
        <v>1476</v>
      </c>
      <c r="D77">
        <v>17</v>
      </c>
    </row>
    <row r="78" spans="1:4" x14ac:dyDescent="0.25">
      <c r="A78" t="s">
        <v>123</v>
      </c>
      <c r="B78" t="s">
        <v>25</v>
      </c>
      <c r="C78" t="s">
        <v>1478</v>
      </c>
      <c r="D78">
        <v>15</v>
      </c>
    </row>
    <row r="79" spans="1:4" x14ac:dyDescent="0.25">
      <c r="A79" t="s">
        <v>123</v>
      </c>
      <c r="B79" t="s">
        <v>1882</v>
      </c>
      <c r="C79" t="s">
        <v>3021</v>
      </c>
      <c r="D79">
        <v>12</v>
      </c>
    </row>
    <row r="80" spans="1:4" x14ac:dyDescent="0.25">
      <c r="A80" t="s">
        <v>123</v>
      </c>
      <c r="B80" t="s">
        <v>671</v>
      </c>
      <c r="C80" t="s">
        <v>1480</v>
      </c>
      <c r="D80">
        <v>15</v>
      </c>
    </row>
    <row r="81" spans="1:4" x14ac:dyDescent="0.25">
      <c r="A81" t="s">
        <v>123</v>
      </c>
      <c r="B81" t="s">
        <v>1675</v>
      </c>
      <c r="C81" t="s">
        <v>988</v>
      </c>
      <c r="D81">
        <v>17</v>
      </c>
    </row>
    <row r="82" spans="1:4" x14ac:dyDescent="0.25">
      <c r="A82" t="s">
        <v>123</v>
      </c>
      <c r="B82" t="s">
        <v>296</v>
      </c>
      <c r="C82" t="s">
        <v>1483</v>
      </c>
      <c r="D82">
        <v>15</v>
      </c>
    </row>
    <row r="83" spans="1:4" x14ac:dyDescent="0.25">
      <c r="A83" t="s">
        <v>123</v>
      </c>
      <c r="B83" t="s">
        <v>1845</v>
      </c>
      <c r="C83" t="s">
        <v>3022</v>
      </c>
      <c r="D83">
        <v>16</v>
      </c>
    </row>
    <row r="84" spans="1:4" x14ac:dyDescent="0.25">
      <c r="A84" t="s">
        <v>123</v>
      </c>
      <c r="B84" t="s">
        <v>298</v>
      </c>
      <c r="C84" t="s">
        <v>3023</v>
      </c>
      <c r="D84">
        <v>14</v>
      </c>
    </row>
    <row r="85" spans="1:4" x14ac:dyDescent="0.25">
      <c r="A85" t="s">
        <v>123</v>
      </c>
      <c r="B85" t="s">
        <v>1489</v>
      </c>
      <c r="C85" t="s">
        <v>2286</v>
      </c>
      <c r="D85">
        <v>12</v>
      </c>
    </row>
    <row r="86" spans="1:4" x14ac:dyDescent="0.25">
      <c r="A86" t="s">
        <v>123</v>
      </c>
      <c r="B86" t="s">
        <v>584</v>
      </c>
      <c r="C86" t="s">
        <v>3024</v>
      </c>
      <c r="D86">
        <v>15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11.529411764705882</v>
      </c>
    </row>
    <row r="90" spans="1:4" x14ac:dyDescent="0.25">
      <c r="A90" t="s">
        <v>159</v>
      </c>
      <c r="D90">
        <f>MAX(D2:D86)</f>
        <v>20</v>
      </c>
    </row>
    <row r="91" spans="1:4" x14ac:dyDescent="0.25">
      <c r="A91" t="s">
        <v>160</v>
      </c>
      <c r="D91">
        <f>MIN(D2:D86)</f>
        <v>-1</v>
      </c>
    </row>
    <row r="92" spans="1:4" x14ac:dyDescent="0.25">
      <c r="A92" t="s">
        <v>161</v>
      </c>
      <c r="D92">
        <f>COUNTIF(D2:D86,"&gt;0")</f>
        <v>83</v>
      </c>
    </row>
    <row r="93" spans="1:4" x14ac:dyDescent="0.25">
      <c r="A93" t="s">
        <v>162</v>
      </c>
      <c r="D93">
        <f>COUNTIF(D2:D86,"=0")</f>
        <v>1</v>
      </c>
    </row>
    <row r="94" spans="1:4" x14ac:dyDescent="0.25">
      <c r="A94" t="s">
        <v>1264</v>
      </c>
      <c r="D94">
        <f>COUNTIF(D2:D86,"&lt;0")</f>
        <v>1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AVERAGE(D2,D3,D4,D5,D6,D7,D8,D9,D10,D11,D12,D13,D14,D15,D16,D17,D18,D19)</f>
        <v>7.4444444444444446</v>
      </c>
    </row>
    <row r="98" spans="1:4" x14ac:dyDescent="0.25">
      <c r="A98" t="s">
        <v>166</v>
      </c>
      <c r="D98">
        <f>AVERAGE(D20,D21,D22,D23,D24,D25,D26,D27,D28,D29,D30,D31,D32,D33,D34,D35,D36,D37,D38,D39,D40,D41,D42,D43)</f>
        <v>13.875</v>
      </c>
    </row>
    <row r="99" spans="1:4" x14ac:dyDescent="0.25">
      <c r="A99" t="s">
        <v>167</v>
      </c>
      <c r="D99">
        <f>AVERAGE(D44,D45,D46,D47,D48,D49,D50,D51,D52,D53,D54,D55,D56,D57,D58,D59,D60,D61,D62,D63,D64)</f>
        <v>11.952380952380953</v>
      </c>
    </row>
    <row r="100" spans="1:4" x14ac:dyDescent="0.25">
      <c r="A100" t="s">
        <v>168</v>
      </c>
      <c r="D100">
        <f>AVERAGE(D65,D66,D67,D68,D69,D70,D71,D72,D73,D74,D75,D76,D77,D78,D79,D80,D81,D82,D83,D84,D85,D86)</f>
        <v>11.909090909090908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43</v>
      </c>
      <c r="C2" t="s">
        <v>2536</v>
      </c>
      <c r="D2">
        <v>-1</v>
      </c>
    </row>
    <row r="3" spans="1:4" x14ac:dyDescent="0.25">
      <c r="A3" t="s">
        <v>4</v>
      </c>
      <c r="B3" t="s">
        <v>43</v>
      </c>
      <c r="C3" t="s">
        <v>908</v>
      </c>
      <c r="D3">
        <v>-2</v>
      </c>
    </row>
    <row r="4" spans="1:4" x14ac:dyDescent="0.25">
      <c r="A4" t="s">
        <v>4</v>
      </c>
      <c r="B4" t="s">
        <v>1431</v>
      </c>
      <c r="C4" t="s">
        <v>174</v>
      </c>
      <c r="D4">
        <v>1</v>
      </c>
    </row>
    <row r="5" spans="1:4" x14ac:dyDescent="0.25">
      <c r="A5" t="s">
        <v>4</v>
      </c>
      <c r="B5" t="s">
        <v>859</v>
      </c>
      <c r="C5" t="s">
        <v>2045</v>
      </c>
      <c r="D5">
        <v>-1</v>
      </c>
    </row>
    <row r="6" spans="1:4" x14ac:dyDescent="0.25">
      <c r="A6" t="s">
        <v>4</v>
      </c>
      <c r="B6" t="s">
        <v>2405</v>
      </c>
      <c r="C6" t="s">
        <v>178</v>
      </c>
      <c r="D6">
        <v>2</v>
      </c>
    </row>
    <row r="7" spans="1:4" x14ac:dyDescent="0.25">
      <c r="A7" t="s">
        <v>4</v>
      </c>
      <c r="B7" t="s">
        <v>13</v>
      </c>
      <c r="C7" t="s">
        <v>16</v>
      </c>
      <c r="D7">
        <v>-1</v>
      </c>
    </row>
    <row r="8" spans="1:4" x14ac:dyDescent="0.25">
      <c r="A8" t="s">
        <v>4</v>
      </c>
      <c r="B8" t="s">
        <v>1683</v>
      </c>
      <c r="C8" t="s">
        <v>696</v>
      </c>
      <c r="D8">
        <v>1</v>
      </c>
    </row>
    <row r="9" spans="1:4" x14ac:dyDescent="0.25">
      <c r="A9" t="s">
        <v>4</v>
      </c>
      <c r="B9" t="s">
        <v>363</v>
      </c>
      <c r="C9" t="s">
        <v>697</v>
      </c>
      <c r="D9">
        <v>-1</v>
      </c>
    </row>
    <row r="10" spans="1:4" x14ac:dyDescent="0.25">
      <c r="A10" t="s">
        <v>4</v>
      </c>
      <c r="B10" t="s">
        <v>135</v>
      </c>
      <c r="C10" t="s">
        <v>1743</v>
      </c>
      <c r="D10">
        <v>-3</v>
      </c>
    </row>
    <row r="11" spans="1:4" x14ac:dyDescent="0.25">
      <c r="A11" t="s">
        <v>4</v>
      </c>
      <c r="B11" t="s">
        <v>17</v>
      </c>
      <c r="C11" t="s">
        <v>2202</v>
      </c>
      <c r="D11">
        <v>-1</v>
      </c>
    </row>
    <row r="12" spans="1:4" x14ac:dyDescent="0.25">
      <c r="A12" t="s">
        <v>4</v>
      </c>
      <c r="B12" t="s">
        <v>1288</v>
      </c>
      <c r="C12" t="s">
        <v>574</v>
      </c>
      <c r="D12">
        <v>0</v>
      </c>
    </row>
    <row r="13" spans="1:4" x14ac:dyDescent="0.25">
      <c r="A13" t="s">
        <v>4</v>
      </c>
      <c r="B13" t="s">
        <v>1288</v>
      </c>
      <c r="C13" t="s">
        <v>28</v>
      </c>
      <c r="D13">
        <v>1</v>
      </c>
    </row>
    <row r="14" spans="1:4" x14ac:dyDescent="0.25">
      <c r="A14" t="s">
        <v>4</v>
      </c>
      <c r="B14" t="s">
        <v>922</v>
      </c>
      <c r="C14" t="s">
        <v>3025</v>
      </c>
      <c r="D14">
        <v>3</v>
      </c>
    </row>
    <row r="15" spans="1:4" x14ac:dyDescent="0.25">
      <c r="A15" t="s">
        <v>4</v>
      </c>
      <c r="B15" t="s">
        <v>341</v>
      </c>
      <c r="C15" t="s">
        <v>3026</v>
      </c>
      <c r="D15">
        <v>5</v>
      </c>
    </row>
    <row r="16" spans="1:4" x14ac:dyDescent="0.25">
      <c r="A16" t="s">
        <v>4</v>
      </c>
      <c r="B16" t="s">
        <v>317</v>
      </c>
      <c r="C16" t="s">
        <v>1926</v>
      </c>
      <c r="D16">
        <v>3</v>
      </c>
    </row>
    <row r="17" spans="1:4" x14ac:dyDescent="0.25">
      <c r="A17" t="s">
        <v>4</v>
      </c>
      <c r="B17" t="s">
        <v>629</v>
      </c>
      <c r="C17" t="s">
        <v>197</v>
      </c>
      <c r="D17">
        <v>5</v>
      </c>
    </row>
    <row r="18" spans="1:4" x14ac:dyDescent="0.25">
      <c r="A18" t="s">
        <v>4</v>
      </c>
      <c r="B18" t="s">
        <v>1437</v>
      </c>
      <c r="C18" t="s">
        <v>1876</v>
      </c>
      <c r="D18">
        <v>3</v>
      </c>
    </row>
    <row r="19" spans="1:4" x14ac:dyDescent="0.25">
      <c r="A19" t="s">
        <v>4</v>
      </c>
      <c r="B19" t="s">
        <v>1988</v>
      </c>
      <c r="C19" t="s">
        <v>1203</v>
      </c>
      <c r="D19">
        <v>6</v>
      </c>
    </row>
    <row r="20" spans="1:4" x14ac:dyDescent="0.25">
      <c r="A20" t="s">
        <v>4</v>
      </c>
      <c r="B20" t="s">
        <v>793</v>
      </c>
      <c r="C20" t="s">
        <v>201</v>
      </c>
      <c r="D20">
        <v>7</v>
      </c>
    </row>
    <row r="21" spans="1:4" x14ac:dyDescent="0.25">
      <c r="A21" t="s">
        <v>4</v>
      </c>
      <c r="B21" t="s">
        <v>793</v>
      </c>
      <c r="C21" t="s">
        <v>1205</v>
      </c>
      <c r="D21">
        <v>8</v>
      </c>
    </row>
    <row r="22" spans="1:4" x14ac:dyDescent="0.25">
      <c r="A22" t="s">
        <v>40</v>
      </c>
      <c r="B22" t="s">
        <v>41</v>
      </c>
      <c r="C22" t="s">
        <v>1207</v>
      </c>
      <c r="D22">
        <v>5</v>
      </c>
    </row>
    <row r="23" spans="1:4" x14ac:dyDescent="0.25">
      <c r="A23" t="s">
        <v>40</v>
      </c>
      <c r="B23" t="s">
        <v>1545</v>
      </c>
      <c r="C23" t="s">
        <v>925</v>
      </c>
      <c r="D23">
        <v>4</v>
      </c>
    </row>
    <row r="24" spans="1:4" x14ac:dyDescent="0.25">
      <c r="A24" t="s">
        <v>40</v>
      </c>
      <c r="B24" t="s">
        <v>47</v>
      </c>
      <c r="C24" t="s">
        <v>210</v>
      </c>
      <c r="D24">
        <v>7</v>
      </c>
    </row>
    <row r="25" spans="1:4" x14ac:dyDescent="0.25">
      <c r="A25" t="s">
        <v>40</v>
      </c>
      <c r="B25" t="s">
        <v>9</v>
      </c>
      <c r="C25" t="s">
        <v>212</v>
      </c>
      <c r="D25">
        <v>5</v>
      </c>
    </row>
    <row r="26" spans="1:4" x14ac:dyDescent="0.25">
      <c r="A26" t="s">
        <v>40</v>
      </c>
      <c r="B26" t="s">
        <v>827</v>
      </c>
      <c r="C26" t="s">
        <v>214</v>
      </c>
      <c r="D26">
        <v>3</v>
      </c>
    </row>
    <row r="27" spans="1:4" x14ac:dyDescent="0.25">
      <c r="A27" t="s">
        <v>40</v>
      </c>
      <c r="B27" t="s">
        <v>56</v>
      </c>
      <c r="C27" t="s">
        <v>2963</v>
      </c>
      <c r="D27">
        <v>5</v>
      </c>
    </row>
    <row r="28" spans="1:4" x14ac:dyDescent="0.25">
      <c r="A28" t="s">
        <v>40</v>
      </c>
      <c r="B28" t="s">
        <v>259</v>
      </c>
      <c r="C28" t="s">
        <v>340</v>
      </c>
      <c r="D28">
        <v>3</v>
      </c>
    </row>
    <row r="29" spans="1:4" x14ac:dyDescent="0.25">
      <c r="A29" t="s">
        <v>40</v>
      </c>
      <c r="B29" t="s">
        <v>804</v>
      </c>
      <c r="C29" t="s">
        <v>1584</v>
      </c>
      <c r="D29">
        <v>5</v>
      </c>
    </row>
    <row r="30" spans="1:4" x14ac:dyDescent="0.25">
      <c r="A30" t="s">
        <v>40</v>
      </c>
      <c r="B30" t="s">
        <v>2962</v>
      </c>
      <c r="C30" t="s">
        <v>1935</v>
      </c>
      <c r="D30">
        <v>8</v>
      </c>
    </row>
    <row r="31" spans="1:4" x14ac:dyDescent="0.25">
      <c r="A31" t="s">
        <v>40</v>
      </c>
      <c r="B31" t="s">
        <v>661</v>
      </c>
      <c r="C31" t="s">
        <v>2563</v>
      </c>
      <c r="D31">
        <v>5</v>
      </c>
    </row>
    <row r="32" spans="1:4" x14ac:dyDescent="0.25">
      <c r="A32" t="s">
        <v>40</v>
      </c>
      <c r="B32" t="s">
        <v>729</v>
      </c>
      <c r="C32" t="s">
        <v>224</v>
      </c>
      <c r="D32">
        <v>6</v>
      </c>
    </row>
    <row r="33" spans="1:4" x14ac:dyDescent="0.25">
      <c r="A33" t="s">
        <v>40</v>
      </c>
      <c r="B33" t="s">
        <v>729</v>
      </c>
      <c r="C33" t="s">
        <v>1443</v>
      </c>
      <c r="D33">
        <v>7</v>
      </c>
    </row>
    <row r="34" spans="1:4" x14ac:dyDescent="0.25">
      <c r="A34" t="s">
        <v>40</v>
      </c>
      <c r="B34" t="s">
        <v>376</v>
      </c>
      <c r="C34" t="s">
        <v>1588</v>
      </c>
      <c r="D34">
        <v>9</v>
      </c>
    </row>
    <row r="35" spans="1:4" x14ac:dyDescent="0.25">
      <c r="A35" t="s">
        <v>40</v>
      </c>
      <c r="B35" t="s">
        <v>577</v>
      </c>
      <c r="C35" t="s">
        <v>1445</v>
      </c>
      <c r="D35">
        <v>7</v>
      </c>
    </row>
    <row r="36" spans="1:4" x14ac:dyDescent="0.25">
      <c r="A36" t="s">
        <v>40</v>
      </c>
      <c r="B36" t="s">
        <v>225</v>
      </c>
      <c r="C36" t="s">
        <v>1937</v>
      </c>
      <c r="D36">
        <v>8</v>
      </c>
    </row>
    <row r="37" spans="1:4" x14ac:dyDescent="0.25">
      <c r="A37" t="s">
        <v>40</v>
      </c>
      <c r="B37" t="s">
        <v>225</v>
      </c>
      <c r="C37" t="s">
        <v>3027</v>
      </c>
      <c r="D37">
        <v>9</v>
      </c>
    </row>
    <row r="38" spans="1:4" x14ac:dyDescent="0.25">
      <c r="A38" t="s">
        <v>40</v>
      </c>
      <c r="B38" t="s">
        <v>225</v>
      </c>
      <c r="C38" t="s">
        <v>1446</v>
      </c>
      <c r="D38">
        <v>10</v>
      </c>
    </row>
    <row r="39" spans="1:4" x14ac:dyDescent="0.25">
      <c r="A39" t="s">
        <v>40</v>
      </c>
      <c r="B39" t="s">
        <v>1396</v>
      </c>
      <c r="C39" t="s">
        <v>1590</v>
      </c>
      <c r="D39">
        <v>7</v>
      </c>
    </row>
    <row r="40" spans="1:4" x14ac:dyDescent="0.25">
      <c r="A40" t="s">
        <v>40</v>
      </c>
      <c r="B40" t="s">
        <v>1045</v>
      </c>
      <c r="C40" t="s">
        <v>946</v>
      </c>
      <c r="D40">
        <v>9</v>
      </c>
    </row>
    <row r="41" spans="1:4" x14ac:dyDescent="0.25">
      <c r="A41" t="s">
        <v>40</v>
      </c>
      <c r="B41" t="s">
        <v>788</v>
      </c>
      <c r="C41" t="s">
        <v>1592</v>
      </c>
      <c r="D41">
        <v>7</v>
      </c>
    </row>
    <row r="42" spans="1:4" x14ac:dyDescent="0.25">
      <c r="A42" t="s">
        <v>40</v>
      </c>
      <c r="B42" t="s">
        <v>481</v>
      </c>
      <c r="C42" t="s">
        <v>2165</v>
      </c>
      <c r="D42">
        <v>8</v>
      </c>
    </row>
    <row r="43" spans="1:4" x14ac:dyDescent="0.25">
      <c r="A43" t="s">
        <v>40</v>
      </c>
      <c r="B43" t="s">
        <v>394</v>
      </c>
      <c r="C43" t="s">
        <v>2166</v>
      </c>
      <c r="D43">
        <v>6</v>
      </c>
    </row>
    <row r="44" spans="1:4" x14ac:dyDescent="0.25">
      <c r="A44" t="s">
        <v>80</v>
      </c>
      <c r="B44" t="s">
        <v>487</v>
      </c>
      <c r="C44" t="s">
        <v>1673</v>
      </c>
      <c r="D44">
        <v>7</v>
      </c>
    </row>
    <row r="45" spans="1:4" x14ac:dyDescent="0.25">
      <c r="A45" t="s">
        <v>80</v>
      </c>
      <c r="B45" t="s">
        <v>1192</v>
      </c>
      <c r="C45" t="s">
        <v>2547</v>
      </c>
      <c r="D45">
        <v>4</v>
      </c>
    </row>
    <row r="46" spans="1:4" x14ac:dyDescent="0.25">
      <c r="A46" t="s">
        <v>80</v>
      </c>
      <c r="B46" t="s">
        <v>274</v>
      </c>
      <c r="C46" t="s">
        <v>2169</v>
      </c>
      <c r="D46">
        <v>6</v>
      </c>
    </row>
    <row r="47" spans="1:4" x14ac:dyDescent="0.25">
      <c r="A47" t="s">
        <v>80</v>
      </c>
      <c r="B47" t="s">
        <v>568</v>
      </c>
      <c r="C47" t="s">
        <v>2609</v>
      </c>
      <c r="D47">
        <v>5</v>
      </c>
    </row>
    <row r="48" spans="1:4" x14ac:dyDescent="0.25">
      <c r="A48" t="s">
        <v>80</v>
      </c>
      <c r="B48" t="s">
        <v>568</v>
      </c>
      <c r="C48" t="s">
        <v>2548</v>
      </c>
      <c r="D48">
        <v>4</v>
      </c>
    </row>
    <row r="49" spans="1:4" x14ac:dyDescent="0.25">
      <c r="A49" t="s">
        <v>80</v>
      </c>
      <c r="B49" t="s">
        <v>779</v>
      </c>
      <c r="C49" t="s">
        <v>2309</v>
      </c>
      <c r="D49">
        <v>2</v>
      </c>
    </row>
    <row r="50" spans="1:4" x14ac:dyDescent="0.25">
      <c r="A50" t="s">
        <v>80</v>
      </c>
      <c r="B50" t="s">
        <v>698</v>
      </c>
      <c r="C50" t="s">
        <v>2310</v>
      </c>
      <c r="D50">
        <v>0</v>
      </c>
    </row>
    <row r="51" spans="1:4" x14ac:dyDescent="0.25">
      <c r="A51" t="s">
        <v>80</v>
      </c>
      <c r="B51" t="s">
        <v>370</v>
      </c>
      <c r="C51" t="s">
        <v>373</v>
      </c>
      <c r="D51">
        <v>3</v>
      </c>
    </row>
    <row r="52" spans="1:4" x14ac:dyDescent="0.25">
      <c r="A52" t="s">
        <v>80</v>
      </c>
      <c r="B52" t="s">
        <v>628</v>
      </c>
      <c r="C52" t="s">
        <v>3028</v>
      </c>
      <c r="D52">
        <v>2</v>
      </c>
    </row>
    <row r="53" spans="1:4" x14ac:dyDescent="0.25">
      <c r="A53" t="s">
        <v>80</v>
      </c>
      <c r="B53" t="s">
        <v>628</v>
      </c>
      <c r="C53" t="s">
        <v>375</v>
      </c>
      <c r="D53">
        <v>1</v>
      </c>
    </row>
    <row r="54" spans="1:4" x14ac:dyDescent="0.25">
      <c r="A54" t="s">
        <v>80</v>
      </c>
      <c r="B54" t="s">
        <v>943</v>
      </c>
      <c r="C54" t="s">
        <v>1525</v>
      </c>
      <c r="D54">
        <v>3</v>
      </c>
    </row>
    <row r="55" spans="1:4" x14ac:dyDescent="0.25">
      <c r="A55" t="s">
        <v>80</v>
      </c>
      <c r="B55" t="s">
        <v>887</v>
      </c>
      <c r="C55" t="s">
        <v>2173</v>
      </c>
      <c r="D55">
        <v>2</v>
      </c>
    </row>
    <row r="56" spans="1:4" x14ac:dyDescent="0.25">
      <c r="A56" t="s">
        <v>80</v>
      </c>
      <c r="B56" t="s">
        <v>1200</v>
      </c>
      <c r="C56" t="s">
        <v>3029</v>
      </c>
      <c r="D56">
        <v>1</v>
      </c>
    </row>
    <row r="57" spans="1:4" x14ac:dyDescent="0.25">
      <c r="A57" t="s">
        <v>80</v>
      </c>
      <c r="B57" t="s">
        <v>1200</v>
      </c>
      <c r="C57" t="s">
        <v>2446</v>
      </c>
      <c r="D57">
        <v>0</v>
      </c>
    </row>
    <row r="58" spans="1:4" x14ac:dyDescent="0.25">
      <c r="A58" t="s">
        <v>80</v>
      </c>
      <c r="B58" t="s">
        <v>196</v>
      </c>
      <c r="C58" t="s">
        <v>379</v>
      </c>
      <c r="D58">
        <v>1</v>
      </c>
    </row>
    <row r="59" spans="1:4" x14ac:dyDescent="0.25">
      <c r="A59" t="s">
        <v>80</v>
      </c>
      <c r="B59" t="s">
        <v>196</v>
      </c>
      <c r="C59" t="s">
        <v>2447</v>
      </c>
      <c r="D59">
        <v>2</v>
      </c>
    </row>
    <row r="60" spans="1:4" x14ac:dyDescent="0.25">
      <c r="A60" t="s">
        <v>80</v>
      </c>
      <c r="B60" t="s">
        <v>709</v>
      </c>
      <c r="C60" t="s">
        <v>3030</v>
      </c>
      <c r="D60">
        <v>3</v>
      </c>
    </row>
    <row r="61" spans="1:4" x14ac:dyDescent="0.25">
      <c r="A61" t="s">
        <v>80</v>
      </c>
      <c r="B61" t="s">
        <v>709</v>
      </c>
      <c r="C61" t="s">
        <v>496</v>
      </c>
      <c r="D61">
        <v>4</v>
      </c>
    </row>
    <row r="62" spans="1:4" x14ac:dyDescent="0.25">
      <c r="A62" t="s">
        <v>80</v>
      </c>
      <c r="B62" t="s">
        <v>1844</v>
      </c>
      <c r="C62" t="s">
        <v>2492</v>
      </c>
      <c r="D62">
        <v>3</v>
      </c>
    </row>
    <row r="63" spans="1:4" x14ac:dyDescent="0.25">
      <c r="A63" t="s">
        <v>80</v>
      </c>
      <c r="B63" t="s">
        <v>710</v>
      </c>
      <c r="C63" t="s">
        <v>2493</v>
      </c>
      <c r="D63">
        <v>1</v>
      </c>
    </row>
    <row r="64" spans="1:4" x14ac:dyDescent="0.25">
      <c r="A64" t="s">
        <v>80</v>
      </c>
      <c r="B64" t="s">
        <v>298</v>
      </c>
      <c r="C64" t="s">
        <v>2494</v>
      </c>
      <c r="D64">
        <v>-2</v>
      </c>
    </row>
    <row r="65" spans="1:4" x14ac:dyDescent="0.25">
      <c r="A65" t="s">
        <v>123</v>
      </c>
      <c r="B65" t="s">
        <v>716</v>
      </c>
      <c r="C65" t="s">
        <v>1534</v>
      </c>
      <c r="D65">
        <v>1</v>
      </c>
    </row>
    <row r="66" spans="1:4" x14ac:dyDescent="0.25">
      <c r="A66" t="s">
        <v>123</v>
      </c>
      <c r="B66" t="s">
        <v>130</v>
      </c>
      <c r="C66" t="s">
        <v>502</v>
      </c>
      <c r="D66">
        <v>4</v>
      </c>
    </row>
    <row r="67" spans="1:4" x14ac:dyDescent="0.25">
      <c r="A67" t="s">
        <v>123</v>
      </c>
      <c r="B67" t="s">
        <v>1117</v>
      </c>
      <c r="C67" t="s">
        <v>393</v>
      </c>
      <c r="D67">
        <v>3</v>
      </c>
    </row>
    <row r="68" spans="1:4" x14ac:dyDescent="0.25">
      <c r="A68" t="s">
        <v>123</v>
      </c>
      <c r="B68" t="s">
        <v>1117</v>
      </c>
      <c r="C68" t="s">
        <v>1840</v>
      </c>
      <c r="D68">
        <v>2</v>
      </c>
    </row>
    <row r="69" spans="1:4" x14ac:dyDescent="0.25">
      <c r="A69" t="s">
        <v>123</v>
      </c>
      <c r="B69" t="s">
        <v>778</v>
      </c>
      <c r="C69" t="s">
        <v>2497</v>
      </c>
      <c r="D69">
        <v>-1</v>
      </c>
    </row>
    <row r="70" spans="1:4" x14ac:dyDescent="0.25">
      <c r="A70" t="s">
        <v>123</v>
      </c>
      <c r="B70" t="s">
        <v>431</v>
      </c>
      <c r="C70" t="s">
        <v>1537</v>
      </c>
      <c r="D70">
        <v>-4</v>
      </c>
    </row>
    <row r="71" spans="1:4" x14ac:dyDescent="0.25">
      <c r="A71" t="s">
        <v>123</v>
      </c>
      <c r="B71" t="s">
        <v>333</v>
      </c>
      <c r="C71" t="s">
        <v>2499</v>
      </c>
      <c r="D71">
        <v>-1</v>
      </c>
    </row>
    <row r="72" spans="1:4" x14ac:dyDescent="0.25">
      <c r="A72" t="s">
        <v>123</v>
      </c>
      <c r="B72" t="s">
        <v>779</v>
      </c>
      <c r="C72" t="s">
        <v>2422</v>
      </c>
      <c r="D72">
        <v>-3</v>
      </c>
    </row>
    <row r="73" spans="1:4" x14ac:dyDescent="0.25">
      <c r="A73" t="s">
        <v>123</v>
      </c>
      <c r="B73" t="s">
        <v>497</v>
      </c>
      <c r="C73" t="s">
        <v>2534</v>
      </c>
      <c r="D73">
        <v>-2</v>
      </c>
    </row>
    <row r="74" spans="1:4" x14ac:dyDescent="0.25">
      <c r="A74" t="s">
        <v>123</v>
      </c>
      <c r="B74" t="s">
        <v>2962</v>
      </c>
      <c r="C74" t="s">
        <v>3031</v>
      </c>
      <c r="D74">
        <v>0</v>
      </c>
    </row>
    <row r="75" spans="1:4" x14ac:dyDescent="0.25">
      <c r="A75" t="s">
        <v>123</v>
      </c>
      <c r="B75" t="s">
        <v>190</v>
      </c>
      <c r="C75" t="s">
        <v>3032</v>
      </c>
      <c r="D75">
        <v>-2</v>
      </c>
    </row>
    <row r="76" spans="1:4" x14ac:dyDescent="0.25">
      <c r="A76" t="s">
        <v>123</v>
      </c>
      <c r="B76" t="s">
        <v>110</v>
      </c>
      <c r="C76" t="s">
        <v>3033</v>
      </c>
      <c r="D76">
        <v>0</v>
      </c>
    </row>
    <row r="77" spans="1:4" x14ac:dyDescent="0.25">
      <c r="A77" t="s">
        <v>123</v>
      </c>
      <c r="B77" t="s">
        <v>704</v>
      </c>
      <c r="C77" t="s">
        <v>3034</v>
      </c>
      <c r="D77">
        <v>-2</v>
      </c>
    </row>
    <row r="78" spans="1:4" x14ac:dyDescent="0.25">
      <c r="A78" t="s">
        <v>123</v>
      </c>
      <c r="B78" t="s">
        <v>704</v>
      </c>
      <c r="C78" t="s">
        <v>518</v>
      </c>
      <c r="D78">
        <v>-3</v>
      </c>
    </row>
    <row r="79" spans="1:4" x14ac:dyDescent="0.25">
      <c r="A79" t="s">
        <v>123</v>
      </c>
      <c r="B79" t="s">
        <v>442</v>
      </c>
      <c r="C79" t="s">
        <v>2243</v>
      </c>
      <c r="D79">
        <v>0</v>
      </c>
    </row>
    <row r="80" spans="1:4" x14ac:dyDescent="0.25">
      <c r="A80" t="s">
        <v>123</v>
      </c>
      <c r="B80" t="s">
        <v>1739</v>
      </c>
      <c r="C80" t="s">
        <v>523</v>
      </c>
      <c r="D80">
        <v>-3</v>
      </c>
    </row>
    <row r="81" spans="1:4" x14ac:dyDescent="0.25">
      <c r="A81" t="s">
        <v>123</v>
      </c>
      <c r="B81" t="s">
        <v>813</v>
      </c>
      <c r="C81" t="s">
        <v>526</v>
      </c>
      <c r="D81">
        <v>-1</v>
      </c>
    </row>
    <row r="82" spans="1:4" x14ac:dyDescent="0.25">
      <c r="A82" t="s">
        <v>123</v>
      </c>
      <c r="B82" t="s">
        <v>813</v>
      </c>
      <c r="C82" t="s">
        <v>3035</v>
      </c>
      <c r="D82">
        <v>0</v>
      </c>
    </row>
    <row r="83" spans="1:4" x14ac:dyDescent="0.25">
      <c r="A83" t="s">
        <v>123</v>
      </c>
      <c r="B83" t="s">
        <v>2453</v>
      </c>
      <c r="C83" t="s">
        <v>3036</v>
      </c>
      <c r="D83">
        <v>-2</v>
      </c>
    </row>
    <row r="84" spans="1:4" x14ac:dyDescent="0.25">
      <c r="A84" t="s">
        <v>123</v>
      </c>
      <c r="B84" t="s">
        <v>1076</v>
      </c>
      <c r="C84" t="s">
        <v>1966</v>
      </c>
      <c r="D84">
        <v>1</v>
      </c>
    </row>
    <row r="85" spans="1:4" x14ac:dyDescent="0.25">
      <c r="A85" t="s">
        <v>123</v>
      </c>
      <c r="B85" t="s">
        <v>898</v>
      </c>
      <c r="C85" t="s">
        <v>535</v>
      </c>
      <c r="D85">
        <v>-1</v>
      </c>
    </row>
    <row r="86" spans="1:4" x14ac:dyDescent="0.25">
      <c r="A86" t="s">
        <v>123</v>
      </c>
      <c r="B86" t="s">
        <v>996</v>
      </c>
      <c r="C86" t="s">
        <v>3037</v>
      </c>
      <c r="D86">
        <v>2</v>
      </c>
    </row>
    <row r="87" spans="1:4" x14ac:dyDescent="0.25">
      <c r="A87" t="s">
        <v>123</v>
      </c>
      <c r="B87" t="s">
        <v>531</v>
      </c>
      <c r="C87" t="s">
        <v>2505</v>
      </c>
      <c r="D87">
        <v>1</v>
      </c>
    </row>
    <row r="88" spans="1:4" x14ac:dyDescent="0.25">
      <c r="A88" t="s">
        <v>123</v>
      </c>
      <c r="B88" t="s">
        <v>481</v>
      </c>
      <c r="C88" t="s">
        <v>3038</v>
      </c>
      <c r="D88">
        <v>2</v>
      </c>
    </row>
    <row r="89" spans="1:4" x14ac:dyDescent="0.25">
      <c r="A89" t="s">
        <v>123</v>
      </c>
      <c r="B89" t="s">
        <v>481</v>
      </c>
      <c r="C89" t="s">
        <v>2506</v>
      </c>
      <c r="D89">
        <v>3</v>
      </c>
    </row>
    <row r="90" spans="1:4" x14ac:dyDescent="0.25">
      <c r="A90" t="s">
        <v>123</v>
      </c>
      <c r="B90" t="s">
        <v>1135</v>
      </c>
      <c r="C90" t="s">
        <v>2507</v>
      </c>
      <c r="D90">
        <v>1</v>
      </c>
    </row>
    <row r="91" spans="1:4" x14ac:dyDescent="0.25">
      <c r="A91" t="s">
        <v>123</v>
      </c>
      <c r="B91" t="s">
        <v>396</v>
      </c>
      <c r="C91" t="s">
        <v>2509</v>
      </c>
      <c r="D91">
        <v>3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2.5333333333333332</v>
      </c>
    </row>
    <row r="95" spans="1:4" x14ac:dyDescent="0.25">
      <c r="A95" t="s">
        <v>159</v>
      </c>
      <c r="D95">
        <f>MAX(D2:D91)</f>
        <v>10</v>
      </c>
    </row>
    <row r="96" spans="1:4" x14ac:dyDescent="0.25">
      <c r="A96" t="s">
        <v>160</v>
      </c>
      <c r="D96">
        <f>MIN(D2:D91)</f>
        <v>-4</v>
      </c>
    </row>
    <row r="97" spans="1:4" x14ac:dyDescent="0.25">
      <c r="A97" t="s">
        <v>161</v>
      </c>
      <c r="D97">
        <f>COUNTIF(D2:D91,"&gt;0")</f>
        <v>63</v>
      </c>
    </row>
    <row r="98" spans="1:4" x14ac:dyDescent="0.25">
      <c r="A98" t="s">
        <v>162</v>
      </c>
      <c r="D98">
        <f>COUNTIF(D2:D91,"=0")</f>
        <v>7</v>
      </c>
    </row>
    <row r="99" spans="1:4" x14ac:dyDescent="0.25">
      <c r="A99" t="s">
        <v>1633</v>
      </c>
      <c r="D99">
        <f>COUNTIF(D2:D91,"&lt;0")</f>
        <v>20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AVERAGE(D2,D3,D4,D5,D6,D7,D8,D9,D10,D11,D12,D13,D14,D15,D16,D17,D18,D19,D20,D21)</f>
        <v>1.75</v>
      </c>
    </row>
    <row r="103" spans="1:4" x14ac:dyDescent="0.25">
      <c r="A103" t="s">
        <v>166</v>
      </c>
      <c r="D103">
        <f>AVERAGE(D22,D23,D24,D25,D26,D27,D28,D29,D30,D31,D32,D33,D34,D35,D36,D37,D38,D39,D40,D41,D42,D43)</f>
        <v>6.5</v>
      </c>
    </row>
    <row r="104" spans="1:4" x14ac:dyDescent="0.25">
      <c r="A104" t="s">
        <v>167</v>
      </c>
      <c r="D104">
        <f>AVERAGE(D44,D45,D46,D47,D48,D49,D50,D51,D52,D53,D54,D55,D56,D57,D58,D59,D60,D61,D62,D63,D64)</f>
        <v>2.4761904761904763</v>
      </c>
    </row>
    <row r="105" spans="1:4" x14ac:dyDescent="0.25">
      <c r="A105" t="s">
        <v>168</v>
      </c>
      <c r="D105">
        <f>AVERAGE(D65,D66,D67,D68,D69,D70,D71,D72,D73,D74,D75,D76,D77,D78,D79,D80,D81,D82,D83,D84,D85,D86,D87,D88,D89,D90,D91)</f>
        <v>-7.407407407407407E-2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239</v>
      </c>
      <c r="C2" t="s">
        <v>908</v>
      </c>
      <c r="D2">
        <v>-2</v>
      </c>
    </row>
    <row r="3" spans="1:4" x14ac:dyDescent="0.25">
      <c r="A3" t="s">
        <v>4</v>
      </c>
      <c r="B3" t="s">
        <v>689</v>
      </c>
      <c r="C3" t="s">
        <v>8</v>
      </c>
      <c r="D3">
        <v>0</v>
      </c>
    </row>
    <row r="4" spans="1:4" x14ac:dyDescent="0.25">
      <c r="A4" t="s">
        <v>4</v>
      </c>
      <c r="B4" t="s">
        <v>2570</v>
      </c>
      <c r="C4" t="s">
        <v>564</v>
      </c>
      <c r="D4">
        <v>2</v>
      </c>
    </row>
    <row r="5" spans="1:4" x14ac:dyDescent="0.25">
      <c r="A5" t="s">
        <v>4</v>
      </c>
      <c r="B5" t="s">
        <v>305</v>
      </c>
      <c r="C5" t="s">
        <v>1347</v>
      </c>
      <c r="D5">
        <v>3</v>
      </c>
    </row>
    <row r="6" spans="1:4" x14ac:dyDescent="0.25">
      <c r="A6" t="s">
        <v>4</v>
      </c>
      <c r="B6" t="s">
        <v>2074</v>
      </c>
      <c r="C6" t="s">
        <v>2592</v>
      </c>
      <c r="D6">
        <v>5</v>
      </c>
    </row>
    <row r="7" spans="1:4" x14ac:dyDescent="0.25">
      <c r="A7" t="s">
        <v>4</v>
      </c>
      <c r="B7" t="s">
        <v>937</v>
      </c>
      <c r="C7" t="s">
        <v>2593</v>
      </c>
      <c r="D7">
        <v>7</v>
      </c>
    </row>
    <row r="8" spans="1:4" x14ac:dyDescent="0.25">
      <c r="A8" t="s">
        <v>4</v>
      </c>
      <c r="B8" t="s">
        <v>1598</v>
      </c>
      <c r="C8" t="s">
        <v>3039</v>
      </c>
      <c r="D8">
        <v>10</v>
      </c>
    </row>
    <row r="9" spans="1:4" x14ac:dyDescent="0.25">
      <c r="A9" t="s">
        <v>4</v>
      </c>
      <c r="B9" t="s">
        <v>805</v>
      </c>
      <c r="C9" t="s">
        <v>3040</v>
      </c>
      <c r="D9">
        <v>12</v>
      </c>
    </row>
    <row r="10" spans="1:4" x14ac:dyDescent="0.25">
      <c r="A10" t="s">
        <v>4</v>
      </c>
      <c r="B10" t="s">
        <v>1092</v>
      </c>
      <c r="C10" t="s">
        <v>1195</v>
      </c>
      <c r="D10">
        <v>9</v>
      </c>
    </row>
    <row r="11" spans="1:4" x14ac:dyDescent="0.25">
      <c r="A11" t="s">
        <v>4</v>
      </c>
      <c r="B11" t="s">
        <v>1602</v>
      </c>
      <c r="C11" t="s">
        <v>3041</v>
      </c>
      <c r="D11">
        <v>12</v>
      </c>
    </row>
    <row r="12" spans="1:4" x14ac:dyDescent="0.25">
      <c r="A12" t="s">
        <v>4</v>
      </c>
      <c r="B12" t="s">
        <v>25</v>
      </c>
      <c r="C12" t="s">
        <v>3042</v>
      </c>
      <c r="D12">
        <v>15</v>
      </c>
    </row>
    <row r="13" spans="1:4" x14ac:dyDescent="0.25">
      <c r="A13" t="s">
        <v>4</v>
      </c>
      <c r="B13" t="s">
        <v>2453</v>
      </c>
      <c r="C13" t="s">
        <v>3043</v>
      </c>
      <c r="D13">
        <v>13</v>
      </c>
    </row>
    <row r="14" spans="1:4" x14ac:dyDescent="0.25">
      <c r="A14" t="s">
        <v>4</v>
      </c>
      <c r="B14" t="s">
        <v>877</v>
      </c>
      <c r="C14" t="s">
        <v>3044</v>
      </c>
      <c r="D14">
        <v>14</v>
      </c>
    </row>
    <row r="15" spans="1:4" x14ac:dyDescent="0.25">
      <c r="A15" t="s">
        <v>4</v>
      </c>
      <c r="B15" t="s">
        <v>877</v>
      </c>
      <c r="C15" t="s">
        <v>3045</v>
      </c>
      <c r="D15">
        <v>15</v>
      </c>
    </row>
    <row r="16" spans="1:4" x14ac:dyDescent="0.25">
      <c r="A16" t="s">
        <v>4</v>
      </c>
      <c r="B16" t="s">
        <v>118</v>
      </c>
      <c r="C16" t="s">
        <v>3000</v>
      </c>
      <c r="D16">
        <v>13</v>
      </c>
    </row>
    <row r="17" spans="1:4" x14ac:dyDescent="0.25">
      <c r="A17" t="s">
        <v>4</v>
      </c>
      <c r="B17" t="s">
        <v>681</v>
      </c>
      <c r="C17" t="s">
        <v>3046</v>
      </c>
      <c r="D17">
        <v>14</v>
      </c>
    </row>
    <row r="18" spans="1:4" x14ac:dyDescent="0.25">
      <c r="A18" t="s">
        <v>4</v>
      </c>
      <c r="B18" t="s">
        <v>584</v>
      </c>
      <c r="C18" t="s">
        <v>3047</v>
      </c>
      <c r="D18">
        <v>16</v>
      </c>
    </row>
    <row r="19" spans="1:4" x14ac:dyDescent="0.25">
      <c r="A19" t="s">
        <v>40</v>
      </c>
      <c r="B19" t="s">
        <v>453</v>
      </c>
      <c r="C19" t="s">
        <v>3048</v>
      </c>
      <c r="D19">
        <v>18</v>
      </c>
    </row>
    <row r="20" spans="1:4" x14ac:dyDescent="0.25">
      <c r="A20" t="s">
        <v>40</v>
      </c>
      <c r="B20" t="s">
        <v>271</v>
      </c>
      <c r="C20" t="s">
        <v>3049</v>
      </c>
      <c r="D20">
        <v>16</v>
      </c>
    </row>
    <row r="21" spans="1:4" x14ac:dyDescent="0.25">
      <c r="A21" t="s">
        <v>40</v>
      </c>
      <c r="B21" t="s">
        <v>1666</v>
      </c>
      <c r="C21" t="s">
        <v>3050</v>
      </c>
      <c r="D21">
        <v>14</v>
      </c>
    </row>
    <row r="22" spans="1:4" x14ac:dyDescent="0.25">
      <c r="A22" t="s">
        <v>40</v>
      </c>
      <c r="B22" t="s">
        <v>641</v>
      </c>
      <c r="C22" t="s">
        <v>3051</v>
      </c>
      <c r="D22">
        <v>16</v>
      </c>
    </row>
    <row r="23" spans="1:4" x14ac:dyDescent="0.25">
      <c r="A23" t="s">
        <v>40</v>
      </c>
      <c r="B23" t="s">
        <v>621</v>
      </c>
      <c r="C23" t="s">
        <v>3052</v>
      </c>
      <c r="D23">
        <v>14</v>
      </c>
    </row>
    <row r="24" spans="1:4" x14ac:dyDescent="0.25">
      <c r="A24" t="s">
        <v>40</v>
      </c>
      <c r="B24" t="s">
        <v>462</v>
      </c>
      <c r="C24" t="s">
        <v>2900</v>
      </c>
      <c r="D24">
        <v>16</v>
      </c>
    </row>
    <row r="25" spans="1:4" x14ac:dyDescent="0.25">
      <c r="A25" t="s">
        <v>40</v>
      </c>
      <c r="B25" t="s">
        <v>335</v>
      </c>
      <c r="C25" t="s">
        <v>2051</v>
      </c>
      <c r="D25">
        <v>17</v>
      </c>
    </row>
    <row r="26" spans="1:4" x14ac:dyDescent="0.25">
      <c r="A26" t="s">
        <v>40</v>
      </c>
      <c r="B26" t="s">
        <v>335</v>
      </c>
      <c r="C26" t="s">
        <v>2901</v>
      </c>
      <c r="D26">
        <v>18</v>
      </c>
    </row>
    <row r="27" spans="1:4" x14ac:dyDescent="0.25">
      <c r="A27" t="s">
        <v>40</v>
      </c>
      <c r="B27" t="s">
        <v>740</v>
      </c>
      <c r="C27" t="s">
        <v>3053</v>
      </c>
      <c r="D27">
        <v>21</v>
      </c>
    </row>
    <row r="28" spans="1:4" x14ac:dyDescent="0.25">
      <c r="A28" t="s">
        <v>40</v>
      </c>
      <c r="B28" t="s">
        <v>628</v>
      </c>
      <c r="C28" t="s">
        <v>3054</v>
      </c>
      <c r="D28">
        <v>19</v>
      </c>
    </row>
    <row r="29" spans="1:4" x14ac:dyDescent="0.25">
      <c r="A29" t="s">
        <v>40</v>
      </c>
      <c r="B29" t="s">
        <v>663</v>
      </c>
      <c r="C29" t="s">
        <v>2903</v>
      </c>
      <c r="D29">
        <v>16</v>
      </c>
    </row>
    <row r="30" spans="1:4" x14ac:dyDescent="0.25">
      <c r="A30" t="s">
        <v>40</v>
      </c>
      <c r="B30" t="s">
        <v>2048</v>
      </c>
      <c r="C30" t="s">
        <v>2904</v>
      </c>
      <c r="D30">
        <v>13</v>
      </c>
    </row>
    <row r="31" spans="1:4" x14ac:dyDescent="0.25">
      <c r="A31" t="s">
        <v>40</v>
      </c>
      <c r="B31" t="s">
        <v>671</v>
      </c>
      <c r="C31" t="s">
        <v>2057</v>
      </c>
      <c r="D31">
        <v>15</v>
      </c>
    </row>
    <row r="32" spans="1:4" x14ac:dyDescent="0.25">
      <c r="A32" t="s">
        <v>40</v>
      </c>
      <c r="B32" t="s">
        <v>231</v>
      </c>
      <c r="C32" t="s">
        <v>2058</v>
      </c>
      <c r="D32">
        <v>17</v>
      </c>
    </row>
    <row r="33" spans="1:4" x14ac:dyDescent="0.25">
      <c r="A33" t="s">
        <v>40</v>
      </c>
      <c r="B33" t="s">
        <v>1356</v>
      </c>
      <c r="C33" t="s">
        <v>1298</v>
      </c>
      <c r="D33">
        <v>16</v>
      </c>
    </row>
    <row r="34" spans="1:4" x14ac:dyDescent="0.25">
      <c r="A34" t="s">
        <v>40</v>
      </c>
      <c r="B34" t="s">
        <v>673</v>
      </c>
      <c r="C34" t="s">
        <v>1299</v>
      </c>
      <c r="D34">
        <v>18</v>
      </c>
    </row>
    <row r="35" spans="1:4" x14ac:dyDescent="0.25">
      <c r="A35" t="s">
        <v>40</v>
      </c>
      <c r="B35" t="s">
        <v>76</v>
      </c>
      <c r="C35" t="s">
        <v>2655</v>
      </c>
      <c r="D35">
        <v>16</v>
      </c>
    </row>
    <row r="36" spans="1:4" x14ac:dyDescent="0.25">
      <c r="A36" t="s">
        <v>40</v>
      </c>
      <c r="B36" t="s">
        <v>817</v>
      </c>
      <c r="C36" t="s">
        <v>3055</v>
      </c>
      <c r="D36">
        <v>18</v>
      </c>
    </row>
    <row r="37" spans="1:4" x14ac:dyDescent="0.25">
      <c r="A37" t="s">
        <v>80</v>
      </c>
      <c r="B37" t="s">
        <v>3056</v>
      </c>
      <c r="C37" t="s">
        <v>3057</v>
      </c>
      <c r="D37">
        <v>21</v>
      </c>
    </row>
    <row r="38" spans="1:4" x14ac:dyDescent="0.25">
      <c r="A38" t="s">
        <v>80</v>
      </c>
      <c r="B38" t="s">
        <v>819</v>
      </c>
      <c r="C38" t="s">
        <v>1049</v>
      </c>
      <c r="D38">
        <v>24</v>
      </c>
    </row>
    <row r="39" spans="1:4" x14ac:dyDescent="0.25">
      <c r="A39" t="s">
        <v>80</v>
      </c>
      <c r="B39" t="s">
        <v>1765</v>
      </c>
      <c r="C39" t="s">
        <v>3058</v>
      </c>
      <c r="D39">
        <v>22</v>
      </c>
    </row>
    <row r="40" spans="1:4" x14ac:dyDescent="0.25">
      <c r="A40" t="s">
        <v>80</v>
      </c>
      <c r="B40" t="s">
        <v>1246</v>
      </c>
      <c r="C40" t="s">
        <v>3059</v>
      </c>
      <c r="D40">
        <v>20</v>
      </c>
    </row>
    <row r="41" spans="1:4" x14ac:dyDescent="0.25">
      <c r="A41" t="s">
        <v>80</v>
      </c>
      <c r="B41" t="s">
        <v>759</v>
      </c>
      <c r="C41" t="s">
        <v>2661</v>
      </c>
      <c r="D41">
        <v>18</v>
      </c>
    </row>
    <row r="42" spans="1:4" x14ac:dyDescent="0.25">
      <c r="A42" t="s">
        <v>80</v>
      </c>
      <c r="B42" t="s">
        <v>2842</v>
      </c>
      <c r="C42" t="s">
        <v>2064</v>
      </c>
      <c r="D42">
        <v>20</v>
      </c>
    </row>
    <row r="43" spans="1:4" x14ac:dyDescent="0.25">
      <c r="A43" t="s">
        <v>80</v>
      </c>
      <c r="B43" t="s">
        <v>804</v>
      </c>
      <c r="C43" t="s">
        <v>2065</v>
      </c>
      <c r="D43">
        <v>18</v>
      </c>
    </row>
    <row r="44" spans="1:4" x14ac:dyDescent="0.25">
      <c r="A44" t="s">
        <v>80</v>
      </c>
      <c r="B44" t="s">
        <v>804</v>
      </c>
      <c r="C44" t="s">
        <v>953</v>
      </c>
      <c r="D44">
        <v>17</v>
      </c>
    </row>
    <row r="45" spans="1:4" x14ac:dyDescent="0.25">
      <c r="A45" t="s">
        <v>80</v>
      </c>
      <c r="B45" t="s">
        <v>740</v>
      </c>
      <c r="C45" t="s">
        <v>2819</v>
      </c>
      <c r="D45">
        <v>15</v>
      </c>
    </row>
    <row r="46" spans="1:4" x14ac:dyDescent="0.25">
      <c r="A46" t="s">
        <v>80</v>
      </c>
      <c r="B46" t="s">
        <v>961</v>
      </c>
      <c r="C46" t="s">
        <v>2820</v>
      </c>
      <c r="D46">
        <v>17</v>
      </c>
    </row>
    <row r="47" spans="1:4" x14ac:dyDescent="0.25">
      <c r="A47" t="s">
        <v>80</v>
      </c>
      <c r="B47" t="s">
        <v>101</v>
      </c>
      <c r="C47" t="s">
        <v>3060</v>
      </c>
      <c r="D47">
        <v>20</v>
      </c>
    </row>
    <row r="48" spans="1:4" x14ac:dyDescent="0.25">
      <c r="A48" t="s">
        <v>80</v>
      </c>
      <c r="B48" t="s">
        <v>746</v>
      </c>
      <c r="C48" t="s">
        <v>3061</v>
      </c>
      <c r="D48">
        <v>19</v>
      </c>
    </row>
    <row r="49" spans="1:4" x14ac:dyDescent="0.25">
      <c r="A49" t="s">
        <v>80</v>
      </c>
      <c r="B49" t="s">
        <v>746</v>
      </c>
      <c r="C49" t="s">
        <v>3062</v>
      </c>
      <c r="D49">
        <v>18</v>
      </c>
    </row>
    <row r="50" spans="1:4" x14ac:dyDescent="0.25">
      <c r="A50" t="s">
        <v>80</v>
      </c>
      <c r="B50" t="s">
        <v>108</v>
      </c>
      <c r="C50" t="s">
        <v>3063</v>
      </c>
      <c r="D50">
        <v>20</v>
      </c>
    </row>
    <row r="51" spans="1:4" x14ac:dyDescent="0.25">
      <c r="A51" t="s">
        <v>80</v>
      </c>
      <c r="B51" t="s">
        <v>469</v>
      </c>
      <c r="C51" t="s">
        <v>3064</v>
      </c>
      <c r="D51">
        <v>18</v>
      </c>
    </row>
    <row r="52" spans="1:4" x14ac:dyDescent="0.25">
      <c r="A52" t="s">
        <v>80</v>
      </c>
      <c r="B52" t="s">
        <v>667</v>
      </c>
      <c r="C52" t="s">
        <v>3065</v>
      </c>
      <c r="D52">
        <v>16</v>
      </c>
    </row>
    <row r="53" spans="1:4" x14ac:dyDescent="0.25">
      <c r="A53" t="s">
        <v>80</v>
      </c>
      <c r="B53" t="s">
        <v>228</v>
      </c>
      <c r="C53" t="s">
        <v>1684</v>
      </c>
      <c r="D53">
        <v>13</v>
      </c>
    </row>
    <row r="54" spans="1:4" x14ac:dyDescent="0.25">
      <c r="A54" t="s">
        <v>80</v>
      </c>
      <c r="B54" t="s">
        <v>552</v>
      </c>
      <c r="C54" t="s">
        <v>1954</v>
      </c>
      <c r="D54">
        <v>11</v>
      </c>
    </row>
    <row r="55" spans="1:4" x14ac:dyDescent="0.25">
      <c r="A55" t="s">
        <v>80</v>
      </c>
      <c r="B55" t="s">
        <v>2608</v>
      </c>
      <c r="C55" t="s">
        <v>1686</v>
      </c>
      <c r="D55">
        <v>13</v>
      </c>
    </row>
    <row r="56" spans="1:4" x14ac:dyDescent="0.25">
      <c r="A56" t="s">
        <v>80</v>
      </c>
      <c r="B56" t="s">
        <v>2042</v>
      </c>
      <c r="C56" t="s">
        <v>3066</v>
      </c>
      <c r="D56">
        <v>12</v>
      </c>
    </row>
    <row r="57" spans="1:4" x14ac:dyDescent="0.25">
      <c r="A57" t="s">
        <v>80</v>
      </c>
      <c r="B57" t="s">
        <v>508</v>
      </c>
      <c r="C57" t="s">
        <v>2792</v>
      </c>
      <c r="D57">
        <v>11</v>
      </c>
    </row>
    <row r="58" spans="1:4" x14ac:dyDescent="0.25">
      <c r="A58" t="s">
        <v>80</v>
      </c>
      <c r="B58" t="s">
        <v>78</v>
      </c>
      <c r="C58" t="s">
        <v>1687</v>
      </c>
      <c r="D58">
        <v>10</v>
      </c>
    </row>
    <row r="59" spans="1:4" x14ac:dyDescent="0.25">
      <c r="A59" t="s">
        <v>80</v>
      </c>
      <c r="B59" t="s">
        <v>78</v>
      </c>
      <c r="C59" t="s">
        <v>3067</v>
      </c>
      <c r="D59">
        <v>9</v>
      </c>
    </row>
    <row r="60" spans="1:4" x14ac:dyDescent="0.25">
      <c r="A60" t="s">
        <v>123</v>
      </c>
      <c r="B60" t="s">
        <v>1680</v>
      </c>
      <c r="C60" t="s">
        <v>1606</v>
      </c>
      <c r="D60">
        <v>7</v>
      </c>
    </row>
    <row r="61" spans="1:4" x14ac:dyDescent="0.25">
      <c r="A61" t="s">
        <v>123</v>
      </c>
      <c r="B61" t="s">
        <v>1244</v>
      </c>
      <c r="C61" t="s">
        <v>2884</v>
      </c>
      <c r="D61">
        <v>10</v>
      </c>
    </row>
    <row r="62" spans="1:4" x14ac:dyDescent="0.25">
      <c r="A62" t="s">
        <v>123</v>
      </c>
      <c r="B62" t="s">
        <v>721</v>
      </c>
      <c r="C62" t="s">
        <v>1609</v>
      </c>
      <c r="D62">
        <v>8</v>
      </c>
    </row>
    <row r="63" spans="1:4" x14ac:dyDescent="0.25">
      <c r="A63" t="s">
        <v>123</v>
      </c>
      <c r="B63" t="s">
        <v>721</v>
      </c>
      <c r="C63" t="s">
        <v>1168</v>
      </c>
      <c r="D63">
        <v>7</v>
      </c>
    </row>
    <row r="64" spans="1:4" x14ac:dyDescent="0.25">
      <c r="A64" t="s">
        <v>123</v>
      </c>
      <c r="B64" t="s">
        <v>1119</v>
      </c>
      <c r="C64" t="s">
        <v>1610</v>
      </c>
      <c r="D64">
        <v>5</v>
      </c>
    </row>
    <row r="65" spans="1:4" x14ac:dyDescent="0.25">
      <c r="A65" t="s">
        <v>123</v>
      </c>
      <c r="B65" t="s">
        <v>13</v>
      </c>
      <c r="C65" t="s">
        <v>1611</v>
      </c>
      <c r="D65">
        <v>7</v>
      </c>
    </row>
    <row r="66" spans="1:4" x14ac:dyDescent="0.25">
      <c r="A66" t="s">
        <v>123</v>
      </c>
      <c r="B66" t="s">
        <v>832</v>
      </c>
      <c r="C66" t="s">
        <v>1842</v>
      </c>
      <c r="D66">
        <v>5</v>
      </c>
    </row>
    <row r="67" spans="1:4" x14ac:dyDescent="0.25">
      <c r="A67" t="s">
        <v>123</v>
      </c>
      <c r="B67" t="s">
        <v>363</v>
      </c>
      <c r="C67" t="s">
        <v>2457</v>
      </c>
      <c r="D67">
        <v>6</v>
      </c>
    </row>
    <row r="68" spans="1:4" x14ac:dyDescent="0.25">
      <c r="A68" t="s">
        <v>123</v>
      </c>
      <c r="B68" t="s">
        <v>517</v>
      </c>
      <c r="C68" t="s">
        <v>1738</v>
      </c>
      <c r="D68">
        <v>4</v>
      </c>
    </row>
    <row r="69" spans="1:4" x14ac:dyDescent="0.25">
      <c r="A69" t="s">
        <v>123</v>
      </c>
      <c r="B69" t="s">
        <v>1284</v>
      </c>
      <c r="C69" t="s">
        <v>404</v>
      </c>
      <c r="D69">
        <v>7</v>
      </c>
    </row>
    <row r="70" spans="1:4" x14ac:dyDescent="0.25">
      <c r="A70" t="s">
        <v>123</v>
      </c>
      <c r="B70" t="s">
        <v>184</v>
      </c>
      <c r="C70" t="s">
        <v>2556</v>
      </c>
      <c r="D70">
        <v>5</v>
      </c>
    </row>
    <row r="71" spans="1:4" x14ac:dyDescent="0.25">
      <c r="A71" t="s">
        <v>123</v>
      </c>
      <c r="B71" t="s">
        <v>1434</v>
      </c>
      <c r="C71" t="s">
        <v>656</v>
      </c>
      <c r="D71">
        <v>2</v>
      </c>
    </row>
    <row r="72" spans="1:4" x14ac:dyDescent="0.25">
      <c r="A72" t="s">
        <v>123</v>
      </c>
      <c r="B72" t="s">
        <v>1695</v>
      </c>
      <c r="C72" t="s">
        <v>3068</v>
      </c>
      <c r="D72">
        <v>4</v>
      </c>
    </row>
    <row r="73" spans="1:4" x14ac:dyDescent="0.25">
      <c r="A73" t="s">
        <v>123</v>
      </c>
      <c r="B73" t="s">
        <v>104</v>
      </c>
      <c r="C73" t="s">
        <v>3069</v>
      </c>
      <c r="D73">
        <v>2</v>
      </c>
    </row>
    <row r="74" spans="1:4" x14ac:dyDescent="0.25">
      <c r="A74" t="s">
        <v>123</v>
      </c>
      <c r="B74" t="s">
        <v>1016</v>
      </c>
      <c r="C74" t="s">
        <v>3070</v>
      </c>
      <c r="D74">
        <v>5</v>
      </c>
    </row>
    <row r="75" spans="1:4" x14ac:dyDescent="0.25">
      <c r="A75" t="s">
        <v>123</v>
      </c>
      <c r="B75" t="s">
        <v>341</v>
      </c>
      <c r="C75" t="s">
        <v>769</v>
      </c>
      <c r="D75">
        <v>3</v>
      </c>
    </row>
    <row r="76" spans="1:4" x14ac:dyDescent="0.25">
      <c r="A76" t="s">
        <v>123</v>
      </c>
      <c r="B76" t="s">
        <v>384</v>
      </c>
      <c r="C76" t="s">
        <v>3035</v>
      </c>
      <c r="D76">
        <v>0</v>
      </c>
    </row>
    <row r="77" spans="1:4" x14ac:dyDescent="0.25">
      <c r="A77" t="s">
        <v>123</v>
      </c>
      <c r="B77" t="s">
        <v>1043</v>
      </c>
      <c r="C77" t="s">
        <v>3071</v>
      </c>
      <c r="D77">
        <v>2</v>
      </c>
    </row>
    <row r="78" spans="1:4" x14ac:dyDescent="0.25">
      <c r="A78" t="s">
        <v>123</v>
      </c>
      <c r="B78" t="s">
        <v>473</v>
      </c>
      <c r="C78" t="s">
        <v>3072</v>
      </c>
      <c r="D78">
        <v>0</v>
      </c>
    </row>
    <row r="79" spans="1:4" x14ac:dyDescent="0.25">
      <c r="A79" t="s">
        <v>123</v>
      </c>
      <c r="B79" t="s">
        <v>29</v>
      </c>
      <c r="C79" t="s">
        <v>2149</v>
      </c>
      <c r="D79">
        <v>-2</v>
      </c>
    </row>
    <row r="80" spans="1:4" x14ac:dyDescent="0.25">
      <c r="A80" t="s">
        <v>123</v>
      </c>
      <c r="B80" t="s">
        <v>1484</v>
      </c>
      <c r="C80" t="s">
        <v>3073</v>
      </c>
      <c r="D80">
        <v>1</v>
      </c>
    </row>
    <row r="81" spans="1:4" x14ac:dyDescent="0.25">
      <c r="A81" t="s">
        <v>123</v>
      </c>
      <c r="B81" t="s">
        <v>392</v>
      </c>
      <c r="C81" t="s">
        <v>2737</v>
      </c>
      <c r="D81">
        <v>-2</v>
      </c>
    </row>
    <row r="82" spans="1:4" x14ac:dyDescent="0.25">
      <c r="A82" t="s">
        <v>123</v>
      </c>
      <c r="B82" t="s">
        <v>1990</v>
      </c>
      <c r="C82" t="s">
        <v>3074</v>
      </c>
      <c r="D82">
        <v>0</v>
      </c>
    </row>
    <row r="83" spans="1:4" x14ac:dyDescent="0.25">
      <c r="A83" t="s">
        <v>4</v>
      </c>
      <c r="B83" t="s">
        <v>313</v>
      </c>
      <c r="C83" t="s">
        <v>2508</v>
      </c>
      <c r="D83">
        <v>2</v>
      </c>
    </row>
    <row r="84" spans="1:4" x14ac:dyDescent="0.25">
      <c r="A84" t="s">
        <v>4</v>
      </c>
      <c r="B84" t="s">
        <v>376</v>
      </c>
      <c r="C84" t="s">
        <v>2509</v>
      </c>
      <c r="D84">
        <v>3</v>
      </c>
    </row>
    <row r="85" spans="1:4" x14ac:dyDescent="0.25">
      <c r="A85" t="s">
        <v>4</v>
      </c>
      <c r="B85" t="s">
        <v>376</v>
      </c>
      <c r="C85" t="s">
        <v>3075</v>
      </c>
      <c r="D85">
        <v>4</v>
      </c>
    </row>
    <row r="86" spans="1:4" x14ac:dyDescent="0.25">
      <c r="A86" t="s">
        <v>4</v>
      </c>
      <c r="B86" t="s">
        <v>341</v>
      </c>
      <c r="C86" t="s">
        <v>2742</v>
      </c>
      <c r="D86">
        <v>1</v>
      </c>
    </row>
    <row r="87" spans="1:4" x14ac:dyDescent="0.25">
      <c r="A87" t="s">
        <v>4</v>
      </c>
      <c r="B87" t="s">
        <v>440</v>
      </c>
      <c r="C87" t="s">
        <v>1630</v>
      </c>
      <c r="D87">
        <v>3</v>
      </c>
    </row>
    <row r="88" spans="1:4" x14ac:dyDescent="0.25">
      <c r="A88" t="s">
        <v>4</v>
      </c>
      <c r="B88" t="s">
        <v>1206</v>
      </c>
      <c r="C88" t="s">
        <v>2471</v>
      </c>
      <c r="D88">
        <v>6</v>
      </c>
    </row>
    <row r="89" spans="1:4" x14ac:dyDescent="0.25">
      <c r="A89" t="s">
        <v>4</v>
      </c>
      <c r="B89" t="s">
        <v>1874</v>
      </c>
      <c r="C89" t="s">
        <v>3076</v>
      </c>
      <c r="D89">
        <v>5</v>
      </c>
    </row>
    <row r="90" spans="1:4" x14ac:dyDescent="0.25">
      <c r="A90" t="s">
        <v>4</v>
      </c>
      <c r="B90" t="s">
        <v>1874</v>
      </c>
      <c r="C90" t="s">
        <v>3077</v>
      </c>
      <c r="D90">
        <v>4</v>
      </c>
    </row>
    <row r="91" spans="1:4" x14ac:dyDescent="0.25">
      <c r="A91" t="s">
        <v>4</v>
      </c>
      <c r="B91" t="s">
        <v>1874</v>
      </c>
      <c r="C91" t="s">
        <v>3078</v>
      </c>
      <c r="D91">
        <v>3</v>
      </c>
    </row>
    <row r="92" spans="1:4" x14ac:dyDescent="0.25">
      <c r="A92" t="s">
        <v>4</v>
      </c>
      <c r="B92" t="s">
        <v>537</v>
      </c>
      <c r="C92" t="s">
        <v>3079</v>
      </c>
      <c r="D92">
        <v>4</v>
      </c>
    </row>
    <row r="93" spans="1:4" x14ac:dyDescent="0.25">
      <c r="A93" t="s">
        <v>4</v>
      </c>
      <c r="B93" t="s">
        <v>817</v>
      </c>
      <c r="C93" t="s">
        <v>3080</v>
      </c>
      <c r="D93">
        <v>5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10.478260869565217</v>
      </c>
    </row>
    <row r="97" spans="1:4" x14ac:dyDescent="0.25">
      <c r="A97" t="s">
        <v>159</v>
      </c>
      <c r="D97">
        <f>MAX(D2:D93)</f>
        <v>24</v>
      </c>
    </row>
    <row r="98" spans="1:4" x14ac:dyDescent="0.25">
      <c r="A98" t="s">
        <v>160</v>
      </c>
      <c r="D98">
        <f>MIN(D2:D93)</f>
        <v>-2</v>
      </c>
    </row>
    <row r="99" spans="1:4" x14ac:dyDescent="0.25">
      <c r="A99" t="s">
        <v>161</v>
      </c>
      <c r="D99">
        <f>COUNTIF(D2:D93,"&gt;0")</f>
        <v>85</v>
      </c>
    </row>
    <row r="100" spans="1:4" x14ac:dyDescent="0.25">
      <c r="A100" t="s">
        <v>162</v>
      </c>
      <c r="D100">
        <f>COUNTIF(D2:D93,"=0")</f>
        <v>4</v>
      </c>
    </row>
    <row r="101" spans="1:4" x14ac:dyDescent="0.25">
      <c r="A101" t="s">
        <v>1186</v>
      </c>
      <c r="D101">
        <f>COUNTIF(D2:D93,"&lt;0")</f>
        <v>3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AVERAGE(D2,D3,D4,D5,D6,D7,D8,D9,D10,D11,D12,D13,D14,D15,D16,D17,D18,D83,D84,D85,D86,D87,D88,D89,D90,D91,D92,D93)</f>
        <v>7.0714285714285712</v>
      </c>
    </row>
    <row r="105" spans="1:4" x14ac:dyDescent="0.25">
      <c r="A105" t="s">
        <v>166</v>
      </c>
      <c r="D105">
        <f>AVERAGE(D19,D20,D21,D22,D23,D24,D25,D26,D27,D28,D29,D30,D31,D32,D33,D34,D35,D36)</f>
        <v>16.555555555555557</v>
      </c>
    </row>
    <row r="106" spans="1:4" x14ac:dyDescent="0.25">
      <c r="A106" t="s">
        <v>167</v>
      </c>
      <c r="D106">
        <f>AVERAGE(D37,D38,D39,D40,D41,D42,D43,D44,D45,D46,D47,D48,D49,D50,D51,D52,D53,D54,D55,D56,D57,D58,D59)</f>
        <v>16.608695652173914</v>
      </c>
    </row>
    <row r="107" spans="1:4" x14ac:dyDescent="0.25">
      <c r="A107" t="s">
        <v>168</v>
      </c>
      <c r="D107">
        <f>AVERAGE(D60,D61,D62,D63,D64,D65,D66,D67,D68,D69,D70,D71,D72,D73,D74,D75,D76,D77,D78,D79,D80,D81,D82)</f>
        <v>3.7391304347826089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8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776</v>
      </c>
    </row>
    <row r="2" spans="1:4" x14ac:dyDescent="0.25">
      <c r="A2" t="s">
        <v>4</v>
      </c>
      <c r="B2" t="s">
        <v>857</v>
      </c>
      <c r="C2" t="s">
        <v>6</v>
      </c>
      <c r="D2">
        <v>2</v>
      </c>
    </row>
    <row r="3" spans="1:4" x14ac:dyDescent="0.25">
      <c r="A3" t="s">
        <v>4</v>
      </c>
      <c r="B3" t="s">
        <v>128</v>
      </c>
      <c r="C3" t="s">
        <v>306</v>
      </c>
      <c r="D3">
        <v>-1</v>
      </c>
    </row>
    <row r="4" spans="1:4" x14ac:dyDescent="0.25">
      <c r="A4" t="s">
        <v>4</v>
      </c>
      <c r="B4" t="s">
        <v>1789</v>
      </c>
      <c r="C4" t="s">
        <v>1869</v>
      </c>
      <c r="D4">
        <v>-3</v>
      </c>
    </row>
    <row r="5" spans="1:4" x14ac:dyDescent="0.25">
      <c r="A5" t="s">
        <v>4</v>
      </c>
      <c r="B5" t="s">
        <v>1192</v>
      </c>
      <c r="C5" t="s">
        <v>2430</v>
      </c>
      <c r="D5">
        <v>0</v>
      </c>
    </row>
    <row r="6" spans="1:4" x14ac:dyDescent="0.25">
      <c r="A6" t="s">
        <v>4</v>
      </c>
      <c r="B6" t="s">
        <v>590</v>
      </c>
      <c r="C6" t="s">
        <v>432</v>
      </c>
      <c r="D6">
        <v>2</v>
      </c>
    </row>
    <row r="7" spans="1:4" x14ac:dyDescent="0.25">
      <c r="A7" t="s">
        <v>4</v>
      </c>
      <c r="B7" t="s">
        <v>1773</v>
      </c>
      <c r="C7" t="s">
        <v>1012</v>
      </c>
      <c r="D7">
        <v>4</v>
      </c>
    </row>
    <row r="8" spans="1:4" x14ac:dyDescent="0.25">
      <c r="A8" t="s">
        <v>4</v>
      </c>
      <c r="B8" t="s">
        <v>2510</v>
      </c>
      <c r="C8" t="s">
        <v>569</v>
      </c>
      <c r="D8">
        <v>2</v>
      </c>
    </row>
    <row r="9" spans="1:4" x14ac:dyDescent="0.25">
      <c r="A9" t="s">
        <v>4</v>
      </c>
      <c r="B9" t="s">
        <v>1723</v>
      </c>
      <c r="C9" t="s">
        <v>1352</v>
      </c>
      <c r="D9">
        <v>4</v>
      </c>
    </row>
    <row r="10" spans="1:4" x14ac:dyDescent="0.25">
      <c r="A10" t="s">
        <v>4</v>
      </c>
      <c r="B10" t="s">
        <v>804</v>
      </c>
      <c r="C10" t="s">
        <v>1196</v>
      </c>
      <c r="D10">
        <v>7</v>
      </c>
    </row>
    <row r="11" spans="1:4" x14ac:dyDescent="0.25">
      <c r="A11" t="s">
        <v>4</v>
      </c>
      <c r="B11" t="s">
        <v>499</v>
      </c>
      <c r="C11" t="s">
        <v>1871</v>
      </c>
      <c r="D11">
        <v>5</v>
      </c>
    </row>
    <row r="12" spans="1:4" x14ac:dyDescent="0.25">
      <c r="A12" t="s">
        <v>4</v>
      </c>
      <c r="B12" t="s">
        <v>499</v>
      </c>
      <c r="C12" t="s">
        <v>1575</v>
      </c>
      <c r="D12">
        <v>4</v>
      </c>
    </row>
    <row r="13" spans="1:4" x14ac:dyDescent="0.25">
      <c r="A13" t="s">
        <v>4</v>
      </c>
      <c r="B13" t="s">
        <v>872</v>
      </c>
      <c r="C13" t="s">
        <v>321</v>
      </c>
      <c r="D13">
        <v>6</v>
      </c>
    </row>
    <row r="14" spans="1:4" x14ac:dyDescent="0.25">
      <c r="A14" t="s">
        <v>4</v>
      </c>
      <c r="B14" t="s">
        <v>1288</v>
      </c>
      <c r="C14" t="s">
        <v>1576</v>
      </c>
      <c r="D14">
        <v>7</v>
      </c>
    </row>
    <row r="15" spans="1:4" x14ac:dyDescent="0.25">
      <c r="A15" t="s">
        <v>4</v>
      </c>
      <c r="B15" t="s">
        <v>541</v>
      </c>
      <c r="C15" t="s">
        <v>323</v>
      </c>
      <c r="D15">
        <v>9</v>
      </c>
    </row>
    <row r="16" spans="1:4" x14ac:dyDescent="0.25">
      <c r="A16" t="s">
        <v>4</v>
      </c>
      <c r="B16" t="s">
        <v>106</v>
      </c>
      <c r="C16" t="s">
        <v>1579</v>
      </c>
      <c r="D16">
        <v>6</v>
      </c>
    </row>
    <row r="17" spans="1:4" x14ac:dyDescent="0.25">
      <c r="A17" t="s">
        <v>4</v>
      </c>
      <c r="B17" t="s">
        <v>1127</v>
      </c>
      <c r="C17" t="s">
        <v>1201</v>
      </c>
      <c r="D17">
        <v>4</v>
      </c>
    </row>
    <row r="18" spans="1:4" x14ac:dyDescent="0.25">
      <c r="A18" t="s">
        <v>4</v>
      </c>
      <c r="B18" t="s">
        <v>444</v>
      </c>
      <c r="C18" t="s">
        <v>1203</v>
      </c>
      <c r="D18">
        <v>6</v>
      </c>
    </row>
    <row r="19" spans="1:4" x14ac:dyDescent="0.25">
      <c r="A19" t="s">
        <v>4</v>
      </c>
      <c r="B19" t="s">
        <v>612</v>
      </c>
      <c r="C19" t="s">
        <v>2480</v>
      </c>
      <c r="D19">
        <v>4</v>
      </c>
    </row>
    <row r="20" spans="1:4" x14ac:dyDescent="0.25">
      <c r="A20" t="s">
        <v>4</v>
      </c>
      <c r="B20" t="s">
        <v>612</v>
      </c>
      <c r="C20" t="s">
        <v>331</v>
      </c>
      <c r="D20">
        <v>3</v>
      </c>
    </row>
    <row r="21" spans="1:4" x14ac:dyDescent="0.25">
      <c r="A21" t="s">
        <v>4</v>
      </c>
      <c r="B21" t="s">
        <v>344</v>
      </c>
      <c r="C21" t="s">
        <v>1207</v>
      </c>
      <c r="D21">
        <v>5</v>
      </c>
    </row>
    <row r="22" spans="1:4" x14ac:dyDescent="0.25">
      <c r="A22" t="s">
        <v>4</v>
      </c>
      <c r="B22" t="s">
        <v>235</v>
      </c>
      <c r="C22" t="s">
        <v>712</v>
      </c>
      <c r="D22">
        <v>3</v>
      </c>
    </row>
    <row r="23" spans="1:4" x14ac:dyDescent="0.25">
      <c r="A23" t="s">
        <v>40</v>
      </c>
      <c r="B23" t="s">
        <v>325</v>
      </c>
      <c r="C23" t="s">
        <v>713</v>
      </c>
      <c r="D23">
        <v>5</v>
      </c>
    </row>
    <row r="24" spans="1:4" x14ac:dyDescent="0.25">
      <c r="A24" t="s">
        <v>40</v>
      </c>
      <c r="B24" t="s">
        <v>269</v>
      </c>
      <c r="C24" t="s">
        <v>1440</v>
      </c>
      <c r="D24">
        <v>2</v>
      </c>
    </row>
    <row r="25" spans="1:4" x14ac:dyDescent="0.25">
      <c r="A25" t="s">
        <v>40</v>
      </c>
      <c r="B25" t="s">
        <v>1849</v>
      </c>
      <c r="C25" t="s">
        <v>593</v>
      </c>
      <c r="D25">
        <v>-1</v>
      </c>
    </row>
    <row r="26" spans="1:4" x14ac:dyDescent="0.25">
      <c r="A26" t="s">
        <v>40</v>
      </c>
      <c r="B26" t="s">
        <v>1010</v>
      </c>
      <c r="C26" t="s">
        <v>459</v>
      </c>
      <c r="D26">
        <v>-3</v>
      </c>
    </row>
    <row r="27" spans="1:4" x14ac:dyDescent="0.25">
      <c r="A27" t="s">
        <v>40</v>
      </c>
      <c r="B27" t="s">
        <v>1169</v>
      </c>
      <c r="C27" t="s">
        <v>461</v>
      </c>
      <c r="D27">
        <v>-5</v>
      </c>
    </row>
    <row r="28" spans="1:4" x14ac:dyDescent="0.25">
      <c r="A28" t="s">
        <v>40</v>
      </c>
      <c r="B28" t="s">
        <v>1248</v>
      </c>
      <c r="C28" t="s">
        <v>599</v>
      </c>
      <c r="D28">
        <v>-4</v>
      </c>
    </row>
    <row r="29" spans="1:4" x14ac:dyDescent="0.25">
      <c r="A29" t="s">
        <v>40</v>
      </c>
      <c r="B29" t="s">
        <v>462</v>
      </c>
      <c r="C29" t="s">
        <v>3081</v>
      </c>
      <c r="D29">
        <v>-3</v>
      </c>
    </row>
    <row r="30" spans="1:4" x14ac:dyDescent="0.25">
      <c r="A30" t="s">
        <v>40</v>
      </c>
      <c r="B30" t="s">
        <v>462</v>
      </c>
      <c r="C30" t="s">
        <v>463</v>
      </c>
      <c r="D30">
        <v>-2</v>
      </c>
    </row>
    <row r="31" spans="1:4" x14ac:dyDescent="0.25">
      <c r="A31" t="s">
        <v>40</v>
      </c>
      <c r="B31" t="s">
        <v>93</v>
      </c>
      <c r="C31" t="s">
        <v>2126</v>
      </c>
      <c r="D31">
        <v>-4</v>
      </c>
    </row>
    <row r="32" spans="1:4" x14ac:dyDescent="0.25">
      <c r="A32" t="s">
        <v>40</v>
      </c>
      <c r="B32" t="s">
        <v>726</v>
      </c>
      <c r="C32" t="s">
        <v>603</v>
      </c>
      <c r="D32">
        <v>-6</v>
      </c>
    </row>
    <row r="33" spans="1:4" x14ac:dyDescent="0.25">
      <c r="A33" t="s">
        <v>40</v>
      </c>
      <c r="B33" t="s">
        <v>2158</v>
      </c>
      <c r="C33" t="s">
        <v>1515</v>
      </c>
      <c r="D33">
        <v>-3</v>
      </c>
    </row>
    <row r="34" spans="1:4" x14ac:dyDescent="0.25">
      <c r="A34" t="s">
        <v>40</v>
      </c>
      <c r="B34" t="s">
        <v>2962</v>
      </c>
      <c r="C34" t="s">
        <v>2333</v>
      </c>
      <c r="D34">
        <v>-4</v>
      </c>
    </row>
    <row r="35" spans="1:4" x14ac:dyDescent="0.25">
      <c r="A35" t="s">
        <v>40</v>
      </c>
      <c r="B35" t="s">
        <v>2962</v>
      </c>
      <c r="C35" t="s">
        <v>2128</v>
      </c>
      <c r="D35">
        <v>-5</v>
      </c>
    </row>
    <row r="36" spans="1:4" x14ac:dyDescent="0.25">
      <c r="A36" t="s">
        <v>40</v>
      </c>
      <c r="B36" t="s">
        <v>890</v>
      </c>
      <c r="C36" t="s">
        <v>2213</v>
      </c>
      <c r="D36">
        <v>-7</v>
      </c>
    </row>
    <row r="37" spans="1:4" x14ac:dyDescent="0.25">
      <c r="A37" t="s">
        <v>40</v>
      </c>
      <c r="B37" t="s">
        <v>471</v>
      </c>
      <c r="C37" t="s">
        <v>2214</v>
      </c>
      <c r="D37">
        <v>-9</v>
      </c>
    </row>
    <row r="38" spans="1:4" x14ac:dyDescent="0.25">
      <c r="A38" t="s">
        <v>40</v>
      </c>
      <c r="B38" t="s">
        <v>2390</v>
      </c>
      <c r="C38" t="s">
        <v>1721</v>
      </c>
      <c r="D38">
        <v>-6</v>
      </c>
    </row>
    <row r="39" spans="1:4" x14ac:dyDescent="0.25">
      <c r="A39" t="s">
        <v>40</v>
      </c>
      <c r="B39" t="s">
        <v>673</v>
      </c>
      <c r="C39" t="s">
        <v>614</v>
      </c>
      <c r="D39">
        <v>-9</v>
      </c>
    </row>
    <row r="40" spans="1:4" x14ac:dyDescent="0.25">
      <c r="A40" t="s">
        <v>40</v>
      </c>
      <c r="B40" t="s">
        <v>556</v>
      </c>
      <c r="C40" t="s">
        <v>615</v>
      </c>
      <c r="D40">
        <v>-7</v>
      </c>
    </row>
    <row r="41" spans="1:4" x14ac:dyDescent="0.25">
      <c r="A41" t="s">
        <v>40</v>
      </c>
      <c r="B41" t="s">
        <v>902</v>
      </c>
      <c r="C41" t="s">
        <v>816</v>
      </c>
      <c r="D41">
        <v>-10</v>
      </c>
    </row>
    <row r="42" spans="1:4" x14ac:dyDescent="0.25">
      <c r="A42" t="s">
        <v>80</v>
      </c>
      <c r="B42" t="s">
        <v>175</v>
      </c>
      <c r="C42" t="s">
        <v>90</v>
      </c>
      <c r="D42">
        <v>-8</v>
      </c>
    </row>
    <row r="43" spans="1:4" x14ac:dyDescent="0.25">
      <c r="A43" t="s">
        <v>80</v>
      </c>
      <c r="B43" t="s">
        <v>175</v>
      </c>
      <c r="C43" t="s">
        <v>619</v>
      </c>
      <c r="D43">
        <v>-7</v>
      </c>
    </row>
    <row r="44" spans="1:4" x14ac:dyDescent="0.25">
      <c r="A44" t="s">
        <v>80</v>
      </c>
      <c r="B44" t="s">
        <v>1826</v>
      </c>
      <c r="C44" t="s">
        <v>92</v>
      </c>
      <c r="D44">
        <v>-5</v>
      </c>
    </row>
    <row r="45" spans="1:4" x14ac:dyDescent="0.25">
      <c r="A45" t="s">
        <v>80</v>
      </c>
      <c r="B45" t="s">
        <v>277</v>
      </c>
      <c r="C45" t="s">
        <v>821</v>
      </c>
      <c r="D45">
        <v>-7</v>
      </c>
    </row>
    <row r="46" spans="1:4" x14ac:dyDescent="0.25">
      <c r="A46" t="s">
        <v>80</v>
      </c>
      <c r="B46" t="s">
        <v>368</v>
      </c>
      <c r="C46" t="s">
        <v>624</v>
      </c>
      <c r="D46">
        <v>-4</v>
      </c>
    </row>
    <row r="47" spans="1:4" x14ac:dyDescent="0.25">
      <c r="A47" t="s">
        <v>80</v>
      </c>
      <c r="B47" t="s">
        <v>1795</v>
      </c>
      <c r="C47" t="s">
        <v>257</v>
      </c>
      <c r="D47">
        <v>-2</v>
      </c>
    </row>
    <row r="48" spans="1:4" x14ac:dyDescent="0.25">
      <c r="A48" t="s">
        <v>80</v>
      </c>
      <c r="B48" t="s">
        <v>1016</v>
      </c>
      <c r="C48" t="s">
        <v>3082</v>
      </c>
      <c r="D48">
        <v>-4</v>
      </c>
    </row>
    <row r="49" spans="1:4" x14ac:dyDescent="0.25">
      <c r="A49" t="s">
        <v>80</v>
      </c>
      <c r="B49" t="s">
        <v>285</v>
      </c>
      <c r="C49" t="s">
        <v>262</v>
      </c>
      <c r="D49">
        <v>-1</v>
      </c>
    </row>
    <row r="50" spans="1:4" x14ac:dyDescent="0.25">
      <c r="A50" t="s">
        <v>80</v>
      </c>
      <c r="B50" t="s">
        <v>112</v>
      </c>
      <c r="C50" t="s">
        <v>1229</v>
      </c>
      <c r="D50">
        <v>-4</v>
      </c>
    </row>
    <row r="51" spans="1:4" x14ac:dyDescent="0.25">
      <c r="A51" t="s">
        <v>80</v>
      </c>
      <c r="B51" t="s">
        <v>473</v>
      </c>
      <c r="C51" t="s">
        <v>111</v>
      </c>
      <c r="D51">
        <v>-7</v>
      </c>
    </row>
    <row r="52" spans="1:4" x14ac:dyDescent="0.25">
      <c r="A52" t="s">
        <v>80</v>
      </c>
      <c r="B52" t="s">
        <v>612</v>
      </c>
      <c r="C52" t="s">
        <v>1772</v>
      </c>
      <c r="D52">
        <v>-5</v>
      </c>
    </row>
    <row r="53" spans="1:4" x14ac:dyDescent="0.25">
      <c r="A53" t="s">
        <v>80</v>
      </c>
      <c r="B53" t="s">
        <v>322</v>
      </c>
      <c r="C53" t="s">
        <v>3083</v>
      </c>
      <c r="D53">
        <v>-3</v>
      </c>
    </row>
    <row r="54" spans="1:4" x14ac:dyDescent="0.25">
      <c r="A54" t="s">
        <v>123</v>
      </c>
      <c r="B54" t="s">
        <v>352</v>
      </c>
      <c r="C54" t="s">
        <v>2229</v>
      </c>
      <c r="D54">
        <v>-5</v>
      </c>
    </row>
    <row r="55" spans="1:4" x14ac:dyDescent="0.25">
      <c r="A55" t="s">
        <v>123</v>
      </c>
      <c r="B55" t="s">
        <v>1057</v>
      </c>
      <c r="C55" t="s">
        <v>754</v>
      </c>
      <c r="D55">
        <v>-2</v>
      </c>
    </row>
    <row r="56" spans="1:4" x14ac:dyDescent="0.25">
      <c r="A56" t="s">
        <v>123</v>
      </c>
      <c r="B56" t="s">
        <v>827</v>
      </c>
      <c r="C56" t="s">
        <v>121</v>
      </c>
      <c r="D56">
        <v>-4</v>
      </c>
    </row>
    <row r="57" spans="1:4" x14ac:dyDescent="0.25">
      <c r="A57" t="s">
        <v>123</v>
      </c>
      <c r="B57" t="s">
        <v>1280</v>
      </c>
      <c r="C57" t="s">
        <v>1734</v>
      </c>
      <c r="D57">
        <v>-5</v>
      </c>
    </row>
    <row r="58" spans="1:4" x14ac:dyDescent="0.25">
      <c r="A58" t="s">
        <v>123</v>
      </c>
      <c r="B58" t="s">
        <v>1755</v>
      </c>
      <c r="C58" t="s">
        <v>1236</v>
      </c>
      <c r="D58">
        <v>-3</v>
      </c>
    </row>
    <row r="59" spans="1:4" x14ac:dyDescent="0.25">
      <c r="A59" t="s">
        <v>123</v>
      </c>
      <c r="B59" t="s">
        <v>307</v>
      </c>
      <c r="C59" t="s">
        <v>2142</v>
      </c>
      <c r="D59">
        <v>-6</v>
      </c>
    </row>
    <row r="60" spans="1:4" x14ac:dyDescent="0.25">
      <c r="A60" t="s">
        <v>123</v>
      </c>
      <c r="B60" t="s">
        <v>832</v>
      </c>
      <c r="C60" t="s">
        <v>281</v>
      </c>
      <c r="D60">
        <v>-3</v>
      </c>
    </row>
    <row r="61" spans="1:4" x14ac:dyDescent="0.25">
      <c r="A61" t="s">
        <v>123</v>
      </c>
      <c r="B61" t="s">
        <v>805</v>
      </c>
      <c r="C61" t="s">
        <v>3084</v>
      </c>
      <c r="D61">
        <v>0</v>
      </c>
    </row>
    <row r="62" spans="1:4" x14ac:dyDescent="0.25">
      <c r="A62" t="s">
        <v>123</v>
      </c>
      <c r="B62" t="s">
        <v>64</v>
      </c>
      <c r="C62" t="s">
        <v>3085</v>
      </c>
      <c r="D62">
        <v>-2</v>
      </c>
    </row>
    <row r="63" spans="1:4" x14ac:dyDescent="0.25">
      <c r="A63" t="s">
        <v>123</v>
      </c>
      <c r="B63" t="s">
        <v>1698</v>
      </c>
      <c r="C63" t="s">
        <v>510</v>
      </c>
      <c r="D63">
        <v>-1</v>
      </c>
    </row>
    <row r="64" spans="1:4" x14ac:dyDescent="0.25">
      <c r="A64" t="s">
        <v>123</v>
      </c>
      <c r="B64" t="s">
        <v>877</v>
      </c>
      <c r="C64" t="s">
        <v>3086</v>
      </c>
      <c r="D64">
        <v>0</v>
      </c>
    </row>
    <row r="65" spans="1:4" x14ac:dyDescent="0.25">
      <c r="A65" t="s">
        <v>123</v>
      </c>
      <c r="B65" t="s">
        <v>1622</v>
      </c>
      <c r="C65" t="s">
        <v>2314</v>
      </c>
      <c r="D65">
        <v>-2</v>
      </c>
    </row>
    <row r="66" spans="1:4" x14ac:dyDescent="0.25">
      <c r="A66" t="s">
        <v>123</v>
      </c>
      <c r="B66" t="s">
        <v>2042</v>
      </c>
      <c r="C66" t="s">
        <v>513</v>
      </c>
      <c r="D66">
        <v>-1</v>
      </c>
    </row>
    <row r="68" spans="1:4" x14ac:dyDescent="0.25">
      <c r="A68" s="2" t="s">
        <v>157</v>
      </c>
    </row>
    <row r="69" spans="1:4" x14ac:dyDescent="0.25">
      <c r="A69" t="s">
        <v>158</v>
      </c>
      <c r="D69">
        <f>AVERAGE(D2:D66)</f>
        <v>-1.4307692307692308</v>
      </c>
    </row>
    <row r="70" spans="1:4" x14ac:dyDescent="0.25">
      <c r="A70" t="s">
        <v>159</v>
      </c>
      <c r="D70">
        <f>MAX(D2:D66)</f>
        <v>9</v>
      </c>
    </row>
    <row r="71" spans="1:4" x14ac:dyDescent="0.25">
      <c r="A71" t="s">
        <v>160</v>
      </c>
      <c r="D71">
        <f>MIN(D2:D66)</f>
        <v>-10</v>
      </c>
    </row>
    <row r="72" spans="1:4" x14ac:dyDescent="0.25">
      <c r="A72" t="s">
        <v>161</v>
      </c>
      <c r="D72">
        <f>COUNTIF(D2:D66,"&gt;0")</f>
        <v>20</v>
      </c>
    </row>
    <row r="73" spans="1:4" x14ac:dyDescent="0.25">
      <c r="A73" t="s">
        <v>162</v>
      </c>
      <c r="D73">
        <f>COUNTIF(D2:D66,"=0")</f>
        <v>3</v>
      </c>
    </row>
    <row r="74" spans="1:4" x14ac:dyDescent="0.25">
      <c r="A74" t="s">
        <v>905</v>
      </c>
      <c r="D74">
        <f>COUNTIF(D2:D66,"&lt;0")</f>
        <v>42</v>
      </c>
    </row>
    <row r="76" spans="1:4" x14ac:dyDescent="0.25">
      <c r="A76" s="2" t="s">
        <v>164</v>
      </c>
    </row>
    <row r="77" spans="1:4" x14ac:dyDescent="0.25">
      <c r="A77" t="s">
        <v>165</v>
      </c>
      <c r="D77">
        <f>AVERAGE(D2,D3,D4,D5,D6,D7,D8,D9,D10,D11,D12,D13,D14,D15,D16,D17,D18,D19,D20,D21,D22)</f>
        <v>3.7619047619047619</v>
      </c>
    </row>
    <row r="78" spans="1:4" x14ac:dyDescent="0.25">
      <c r="A78" t="s">
        <v>166</v>
      </c>
      <c r="D78">
        <f>AVERAGE(D23,D24,D25,D26,D27,D28,D29,D30,D31,D32,D33,D34,D35,D36,D37,D38,D39,D40,D41)</f>
        <v>-4.2631578947368425</v>
      </c>
    </row>
    <row r="79" spans="1:4" x14ac:dyDescent="0.25">
      <c r="A79" t="s">
        <v>167</v>
      </c>
      <c r="D79">
        <f>AVERAGE(D42,D43,D44,D45,D46,D47,D48,D49,D50,D51,D52,D53)</f>
        <v>-4.75</v>
      </c>
    </row>
    <row r="80" spans="1:4" x14ac:dyDescent="0.25">
      <c r="A80" t="s">
        <v>168</v>
      </c>
      <c r="D80">
        <f>AVERAGE(D54,D55,D56,D57,D58,D59,D60,D61,D62,D63,D64,D65,D66)</f>
        <v>-2.6153846153846154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1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716</v>
      </c>
      <c r="C2" t="s">
        <v>2536</v>
      </c>
      <c r="D2">
        <v>-1</v>
      </c>
    </row>
    <row r="3" spans="1:4" x14ac:dyDescent="0.25">
      <c r="A3" t="s">
        <v>4</v>
      </c>
      <c r="B3" t="s">
        <v>716</v>
      </c>
      <c r="C3" t="s">
        <v>908</v>
      </c>
      <c r="D3">
        <v>-2</v>
      </c>
    </row>
    <row r="4" spans="1:4" x14ac:dyDescent="0.25">
      <c r="A4" t="s">
        <v>4</v>
      </c>
      <c r="B4" t="s">
        <v>242</v>
      </c>
      <c r="C4" t="s">
        <v>8</v>
      </c>
      <c r="D4">
        <v>0</v>
      </c>
    </row>
    <row r="5" spans="1:4" x14ac:dyDescent="0.25">
      <c r="A5" t="s">
        <v>4</v>
      </c>
      <c r="B5" t="s">
        <v>128</v>
      </c>
      <c r="C5" t="s">
        <v>10</v>
      </c>
      <c r="D5">
        <v>-2</v>
      </c>
    </row>
    <row r="6" spans="1:4" x14ac:dyDescent="0.25">
      <c r="A6" t="s">
        <v>4</v>
      </c>
      <c r="B6" t="s">
        <v>616</v>
      </c>
      <c r="C6" t="s">
        <v>12</v>
      </c>
      <c r="D6">
        <v>0</v>
      </c>
    </row>
    <row r="7" spans="1:4" x14ac:dyDescent="0.25">
      <c r="A7" t="s">
        <v>4</v>
      </c>
      <c r="B7" t="s">
        <v>1408</v>
      </c>
      <c r="C7" t="s">
        <v>1106</v>
      </c>
      <c r="D7">
        <v>1</v>
      </c>
    </row>
    <row r="8" spans="1:4" x14ac:dyDescent="0.25">
      <c r="A8" t="s">
        <v>4</v>
      </c>
      <c r="B8" t="s">
        <v>1408</v>
      </c>
      <c r="C8" t="s">
        <v>178</v>
      </c>
      <c r="D8">
        <v>2</v>
      </c>
    </row>
    <row r="9" spans="1:4" x14ac:dyDescent="0.25">
      <c r="A9" t="s">
        <v>4</v>
      </c>
      <c r="B9" t="s">
        <v>862</v>
      </c>
      <c r="C9" t="s">
        <v>2046</v>
      </c>
      <c r="D9">
        <v>0</v>
      </c>
    </row>
    <row r="10" spans="1:4" x14ac:dyDescent="0.25">
      <c r="A10" t="s">
        <v>4</v>
      </c>
      <c r="B10" t="s">
        <v>1824</v>
      </c>
      <c r="C10" t="s">
        <v>2559</v>
      </c>
      <c r="D10">
        <v>3</v>
      </c>
    </row>
    <row r="11" spans="1:4" x14ac:dyDescent="0.25">
      <c r="A11" t="s">
        <v>4</v>
      </c>
      <c r="B11" t="s">
        <v>1771</v>
      </c>
      <c r="C11" t="s">
        <v>3087</v>
      </c>
      <c r="D11">
        <v>1</v>
      </c>
    </row>
    <row r="12" spans="1:4" x14ac:dyDescent="0.25">
      <c r="A12" t="s">
        <v>4</v>
      </c>
      <c r="B12" t="s">
        <v>13</v>
      </c>
      <c r="C12" t="s">
        <v>24</v>
      </c>
      <c r="D12">
        <v>4</v>
      </c>
    </row>
    <row r="13" spans="1:4" x14ac:dyDescent="0.25">
      <c r="A13" t="s">
        <v>4</v>
      </c>
      <c r="B13" t="s">
        <v>219</v>
      </c>
      <c r="C13" t="s">
        <v>786</v>
      </c>
      <c r="D13">
        <v>7</v>
      </c>
    </row>
    <row r="14" spans="1:4" x14ac:dyDescent="0.25">
      <c r="A14" t="s">
        <v>4</v>
      </c>
      <c r="B14" t="s">
        <v>1230</v>
      </c>
      <c r="C14" t="s">
        <v>2537</v>
      </c>
      <c r="D14">
        <v>4</v>
      </c>
    </row>
    <row r="15" spans="1:4" x14ac:dyDescent="0.25">
      <c r="A15" t="s">
        <v>4</v>
      </c>
      <c r="B15" t="s">
        <v>1829</v>
      </c>
      <c r="C15" t="s">
        <v>787</v>
      </c>
      <c r="D15">
        <v>7</v>
      </c>
    </row>
    <row r="16" spans="1:4" x14ac:dyDescent="0.25">
      <c r="A16" t="s">
        <v>4</v>
      </c>
      <c r="B16" t="s">
        <v>729</v>
      </c>
      <c r="C16" t="s">
        <v>1199</v>
      </c>
      <c r="D16">
        <v>6</v>
      </c>
    </row>
    <row r="17" spans="1:4" x14ac:dyDescent="0.25">
      <c r="A17" t="s">
        <v>4</v>
      </c>
      <c r="B17" t="s">
        <v>607</v>
      </c>
      <c r="C17" t="s">
        <v>327</v>
      </c>
      <c r="D17">
        <v>9</v>
      </c>
    </row>
    <row r="18" spans="1:4" x14ac:dyDescent="0.25">
      <c r="A18" t="s">
        <v>4</v>
      </c>
      <c r="B18" t="s">
        <v>2048</v>
      </c>
      <c r="C18" t="s">
        <v>2047</v>
      </c>
      <c r="D18">
        <v>8</v>
      </c>
    </row>
    <row r="19" spans="1:4" x14ac:dyDescent="0.25">
      <c r="A19" t="s">
        <v>4</v>
      </c>
      <c r="B19" t="s">
        <v>2048</v>
      </c>
      <c r="C19" t="s">
        <v>328</v>
      </c>
      <c r="D19">
        <v>7</v>
      </c>
    </row>
    <row r="20" spans="1:4" x14ac:dyDescent="0.25">
      <c r="A20" t="s">
        <v>4</v>
      </c>
      <c r="B20" t="s">
        <v>472</v>
      </c>
      <c r="C20" t="s">
        <v>330</v>
      </c>
      <c r="D20">
        <v>5</v>
      </c>
    </row>
    <row r="21" spans="1:4" x14ac:dyDescent="0.25">
      <c r="A21" t="s">
        <v>4</v>
      </c>
      <c r="B21" t="s">
        <v>472</v>
      </c>
      <c r="C21" t="s">
        <v>2480</v>
      </c>
      <c r="D21">
        <v>4</v>
      </c>
    </row>
    <row r="22" spans="1:4" x14ac:dyDescent="0.25">
      <c r="A22" t="s">
        <v>4</v>
      </c>
      <c r="B22" t="s">
        <v>1940</v>
      </c>
      <c r="C22" t="s">
        <v>2595</v>
      </c>
      <c r="D22">
        <v>6</v>
      </c>
    </row>
    <row r="23" spans="1:4" x14ac:dyDescent="0.25">
      <c r="A23" t="s">
        <v>4</v>
      </c>
      <c r="B23" t="s">
        <v>1675</v>
      </c>
      <c r="C23" t="s">
        <v>1928</v>
      </c>
      <c r="D23">
        <v>8</v>
      </c>
    </row>
    <row r="24" spans="1:4" x14ac:dyDescent="0.25">
      <c r="A24" t="s">
        <v>4</v>
      </c>
      <c r="B24" t="s">
        <v>1627</v>
      </c>
      <c r="C24" t="s">
        <v>713</v>
      </c>
      <c r="D24">
        <v>5</v>
      </c>
    </row>
    <row r="25" spans="1:4" x14ac:dyDescent="0.25">
      <c r="A25" t="s">
        <v>4</v>
      </c>
      <c r="B25" t="s">
        <v>508</v>
      </c>
      <c r="C25" t="s">
        <v>1123</v>
      </c>
      <c r="D25">
        <v>6</v>
      </c>
    </row>
    <row r="26" spans="1:4" x14ac:dyDescent="0.25">
      <c r="A26" t="s">
        <v>4</v>
      </c>
      <c r="B26" t="s">
        <v>508</v>
      </c>
      <c r="C26" t="s">
        <v>715</v>
      </c>
      <c r="D26">
        <v>7</v>
      </c>
    </row>
    <row r="27" spans="1:4" x14ac:dyDescent="0.25">
      <c r="A27" t="s">
        <v>40</v>
      </c>
      <c r="B27" t="s">
        <v>1208</v>
      </c>
      <c r="C27" t="s">
        <v>3088</v>
      </c>
      <c r="D27">
        <v>10</v>
      </c>
    </row>
    <row r="28" spans="1:4" x14ac:dyDescent="0.25">
      <c r="A28" t="s">
        <v>40</v>
      </c>
      <c r="B28" t="s">
        <v>689</v>
      </c>
      <c r="C28" t="s">
        <v>3089</v>
      </c>
      <c r="D28">
        <v>12</v>
      </c>
    </row>
    <row r="29" spans="1:4" x14ac:dyDescent="0.25">
      <c r="A29" t="s">
        <v>40</v>
      </c>
      <c r="B29" t="s">
        <v>823</v>
      </c>
      <c r="C29" t="s">
        <v>3090</v>
      </c>
      <c r="D29">
        <v>9</v>
      </c>
    </row>
    <row r="30" spans="1:4" x14ac:dyDescent="0.25">
      <c r="A30" t="s">
        <v>40</v>
      </c>
      <c r="B30" t="s">
        <v>1267</v>
      </c>
      <c r="C30" t="s">
        <v>3091</v>
      </c>
      <c r="D30">
        <v>11</v>
      </c>
    </row>
    <row r="31" spans="1:4" x14ac:dyDescent="0.25">
      <c r="A31" t="s">
        <v>40</v>
      </c>
      <c r="B31" t="s">
        <v>49</v>
      </c>
      <c r="C31" t="s">
        <v>2904</v>
      </c>
      <c r="D31">
        <v>13</v>
      </c>
    </row>
    <row r="32" spans="1:4" x14ac:dyDescent="0.25">
      <c r="A32" t="s">
        <v>40</v>
      </c>
      <c r="B32" t="s">
        <v>2152</v>
      </c>
      <c r="C32" t="s">
        <v>2934</v>
      </c>
      <c r="D32">
        <v>10</v>
      </c>
    </row>
    <row r="33" spans="1:4" x14ac:dyDescent="0.25">
      <c r="A33" t="s">
        <v>40</v>
      </c>
      <c r="B33" t="s">
        <v>1280</v>
      </c>
      <c r="C33" t="s">
        <v>226</v>
      </c>
      <c r="D33">
        <v>8</v>
      </c>
    </row>
    <row r="34" spans="1:4" x14ac:dyDescent="0.25">
      <c r="A34" t="s">
        <v>40</v>
      </c>
      <c r="B34" t="s">
        <v>568</v>
      </c>
      <c r="C34" t="s">
        <v>1588</v>
      </c>
      <c r="D34">
        <v>9</v>
      </c>
    </row>
    <row r="35" spans="1:4" x14ac:dyDescent="0.25">
      <c r="A35" t="s">
        <v>40</v>
      </c>
      <c r="B35" t="s">
        <v>568</v>
      </c>
      <c r="C35" t="s">
        <v>2544</v>
      </c>
      <c r="D35">
        <v>10</v>
      </c>
    </row>
    <row r="36" spans="1:4" x14ac:dyDescent="0.25">
      <c r="A36" t="s">
        <v>40</v>
      </c>
      <c r="B36" t="s">
        <v>333</v>
      </c>
      <c r="C36" t="s">
        <v>2162</v>
      </c>
      <c r="D36">
        <v>9</v>
      </c>
    </row>
    <row r="37" spans="1:4" x14ac:dyDescent="0.25">
      <c r="A37" t="s">
        <v>40</v>
      </c>
      <c r="B37" t="s">
        <v>333</v>
      </c>
      <c r="C37" t="s">
        <v>1937</v>
      </c>
      <c r="D37">
        <v>8</v>
      </c>
    </row>
    <row r="38" spans="1:4" x14ac:dyDescent="0.25">
      <c r="A38" t="s">
        <v>40</v>
      </c>
      <c r="B38" t="s">
        <v>779</v>
      </c>
      <c r="C38" t="s">
        <v>2979</v>
      </c>
      <c r="D38">
        <v>11</v>
      </c>
    </row>
    <row r="39" spans="1:4" x14ac:dyDescent="0.25">
      <c r="A39" t="s">
        <v>40</v>
      </c>
      <c r="B39" t="s">
        <v>625</v>
      </c>
      <c r="C39" t="s">
        <v>2980</v>
      </c>
      <c r="D39">
        <v>9</v>
      </c>
    </row>
    <row r="40" spans="1:4" x14ac:dyDescent="0.25">
      <c r="A40" t="s">
        <v>40</v>
      </c>
      <c r="B40" t="s">
        <v>2080</v>
      </c>
      <c r="C40" t="s">
        <v>3092</v>
      </c>
      <c r="D40">
        <v>11</v>
      </c>
    </row>
    <row r="41" spans="1:4" x14ac:dyDescent="0.25">
      <c r="A41" t="s">
        <v>40</v>
      </c>
      <c r="B41" t="s">
        <v>2431</v>
      </c>
      <c r="C41" t="s">
        <v>1140</v>
      </c>
      <c r="D41">
        <v>9</v>
      </c>
    </row>
    <row r="42" spans="1:4" x14ac:dyDescent="0.25">
      <c r="A42" t="s">
        <v>40</v>
      </c>
      <c r="B42" t="s">
        <v>1288</v>
      </c>
      <c r="C42" t="s">
        <v>2166</v>
      </c>
      <c r="D42">
        <v>6</v>
      </c>
    </row>
    <row r="43" spans="1:4" x14ac:dyDescent="0.25">
      <c r="A43" t="s">
        <v>40</v>
      </c>
      <c r="B43" t="s">
        <v>1016</v>
      </c>
      <c r="C43" t="s">
        <v>2306</v>
      </c>
      <c r="D43">
        <v>4</v>
      </c>
    </row>
    <row r="44" spans="1:4" x14ac:dyDescent="0.25">
      <c r="A44" t="s">
        <v>40</v>
      </c>
      <c r="B44" t="s">
        <v>25</v>
      </c>
      <c r="C44" t="s">
        <v>2307</v>
      </c>
      <c r="D44">
        <v>2</v>
      </c>
    </row>
    <row r="45" spans="1:4" x14ac:dyDescent="0.25">
      <c r="A45" t="s">
        <v>40</v>
      </c>
      <c r="B45" t="s">
        <v>2112</v>
      </c>
      <c r="C45" t="s">
        <v>2609</v>
      </c>
      <c r="D45">
        <v>5</v>
      </c>
    </row>
    <row r="46" spans="1:4" x14ac:dyDescent="0.25">
      <c r="A46" t="s">
        <v>40</v>
      </c>
      <c r="B46" t="s">
        <v>1132</v>
      </c>
      <c r="C46" t="s">
        <v>2337</v>
      </c>
      <c r="D46">
        <v>7</v>
      </c>
    </row>
    <row r="47" spans="1:4" x14ac:dyDescent="0.25">
      <c r="A47" t="s">
        <v>40</v>
      </c>
      <c r="B47" t="s">
        <v>1132</v>
      </c>
      <c r="C47" t="s">
        <v>1597</v>
      </c>
      <c r="D47">
        <v>8</v>
      </c>
    </row>
    <row r="48" spans="1:4" x14ac:dyDescent="0.25">
      <c r="A48" t="s">
        <v>40</v>
      </c>
      <c r="B48" t="s">
        <v>1750</v>
      </c>
      <c r="C48" t="s">
        <v>2549</v>
      </c>
      <c r="D48">
        <v>5</v>
      </c>
    </row>
    <row r="49" spans="1:4" x14ac:dyDescent="0.25">
      <c r="A49" t="s">
        <v>40</v>
      </c>
      <c r="B49" t="s">
        <v>483</v>
      </c>
      <c r="C49" t="s">
        <v>3093</v>
      </c>
      <c r="D49">
        <v>4</v>
      </c>
    </row>
    <row r="50" spans="1:4" x14ac:dyDescent="0.25">
      <c r="A50" t="s">
        <v>40</v>
      </c>
      <c r="B50" t="s">
        <v>483</v>
      </c>
      <c r="C50" t="s">
        <v>373</v>
      </c>
      <c r="D50">
        <v>3</v>
      </c>
    </row>
    <row r="51" spans="1:4" x14ac:dyDescent="0.25">
      <c r="A51" t="s">
        <v>40</v>
      </c>
      <c r="B51" t="s">
        <v>972</v>
      </c>
      <c r="C51" t="s">
        <v>489</v>
      </c>
      <c r="D51">
        <v>4</v>
      </c>
    </row>
    <row r="52" spans="1:4" x14ac:dyDescent="0.25">
      <c r="A52" t="s">
        <v>40</v>
      </c>
      <c r="B52" t="s">
        <v>972</v>
      </c>
      <c r="C52" t="s">
        <v>2172</v>
      </c>
      <c r="D52">
        <v>5</v>
      </c>
    </row>
    <row r="53" spans="1:4" x14ac:dyDescent="0.25">
      <c r="A53" t="s">
        <v>40</v>
      </c>
      <c r="B53" t="s">
        <v>422</v>
      </c>
      <c r="C53" t="s">
        <v>1525</v>
      </c>
      <c r="D53">
        <v>3</v>
      </c>
    </row>
    <row r="54" spans="1:4" x14ac:dyDescent="0.25">
      <c r="A54" t="s">
        <v>80</v>
      </c>
      <c r="B54" t="s">
        <v>565</v>
      </c>
      <c r="C54" t="s">
        <v>2446</v>
      </c>
      <c r="D54">
        <v>0</v>
      </c>
    </row>
    <row r="55" spans="1:4" x14ac:dyDescent="0.25">
      <c r="A55" t="s">
        <v>80</v>
      </c>
      <c r="B55" t="s">
        <v>935</v>
      </c>
      <c r="C55" t="s">
        <v>2447</v>
      </c>
      <c r="D55">
        <v>2</v>
      </c>
    </row>
    <row r="56" spans="1:4" x14ac:dyDescent="0.25">
      <c r="A56" t="s">
        <v>80</v>
      </c>
      <c r="B56" t="s">
        <v>954</v>
      </c>
      <c r="C56" t="s">
        <v>2448</v>
      </c>
      <c r="D56">
        <v>0</v>
      </c>
    </row>
    <row r="57" spans="1:4" x14ac:dyDescent="0.25">
      <c r="A57" t="s">
        <v>80</v>
      </c>
      <c r="B57" t="s">
        <v>89</v>
      </c>
      <c r="C57" t="s">
        <v>2228</v>
      </c>
      <c r="D57">
        <v>-2</v>
      </c>
    </row>
    <row r="58" spans="1:4" x14ac:dyDescent="0.25">
      <c r="A58" t="s">
        <v>80</v>
      </c>
      <c r="B58" t="s">
        <v>361</v>
      </c>
      <c r="C58" t="s">
        <v>385</v>
      </c>
      <c r="D58">
        <v>0</v>
      </c>
    </row>
    <row r="59" spans="1:4" x14ac:dyDescent="0.25">
      <c r="A59" t="s">
        <v>80</v>
      </c>
      <c r="B59" t="s">
        <v>937</v>
      </c>
      <c r="C59" t="s">
        <v>838</v>
      </c>
      <c r="D59">
        <v>-3</v>
      </c>
    </row>
    <row r="60" spans="1:4" x14ac:dyDescent="0.25">
      <c r="A60" t="s">
        <v>80</v>
      </c>
      <c r="B60" t="s">
        <v>462</v>
      </c>
      <c r="C60" t="s">
        <v>388</v>
      </c>
      <c r="D60">
        <v>-1</v>
      </c>
    </row>
    <row r="61" spans="1:4" x14ac:dyDescent="0.25">
      <c r="A61" t="s">
        <v>80</v>
      </c>
      <c r="B61" t="s">
        <v>1065</v>
      </c>
      <c r="C61" t="s">
        <v>3094</v>
      </c>
      <c r="D61">
        <v>-3</v>
      </c>
    </row>
    <row r="62" spans="1:4" x14ac:dyDescent="0.25">
      <c r="A62" t="s">
        <v>80</v>
      </c>
      <c r="B62" t="s">
        <v>93</v>
      </c>
      <c r="C62" t="s">
        <v>755</v>
      </c>
      <c r="D62">
        <v>-1</v>
      </c>
    </row>
    <row r="63" spans="1:4" x14ac:dyDescent="0.25">
      <c r="A63" t="s">
        <v>80</v>
      </c>
      <c r="B63" t="s">
        <v>138</v>
      </c>
      <c r="C63" t="s">
        <v>276</v>
      </c>
      <c r="D63">
        <v>-3</v>
      </c>
    </row>
    <row r="64" spans="1:4" x14ac:dyDescent="0.25">
      <c r="A64" t="s">
        <v>80</v>
      </c>
      <c r="B64" t="s">
        <v>874</v>
      </c>
      <c r="C64" t="s">
        <v>279</v>
      </c>
      <c r="D64">
        <v>-5</v>
      </c>
    </row>
    <row r="65" spans="1:4" x14ac:dyDescent="0.25">
      <c r="A65" t="s">
        <v>80</v>
      </c>
      <c r="B65" t="s">
        <v>101</v>
      </c>
      <c r="C65" t="s">
        <v>281</v>
      </c>
      <c r="D65">
        <v>-3</v>
      </c>
    </row>
    <row r="66" spans="1:4" x14ac:dyDescent="0.25">
      <c r="A66" t="s">
        <v>80</v>
      </c>
      <c r="B66" t="s">
        <v>541</v>
      </c>
      <c r="C66" t="s">
        <v>1538</v>
      </c>
      <c r="D66">
        <v>-5</v>
      </c>
    </row>
    <row r="67" spans="1:4" x14ac:dyDescent="0.25">
      <c r="A67" t="s">
        <v>80</v>
      </c>
      <c r="B67" t="s">
        <v>2562</v>
      </c>
      <c r="C67" t="s">
        <v>282</v>
      </c>
      <c r="D67">
        <v>-6</v>
      </c>
    </row>
    <row r="68" spans="1:4" x14ac:dyDescent="0.25">
      <c r="A68" t="s">
        <v>80</v>
      </c>
      <c r="B68" t="s">
        <v>2562</v>
      </c>
      <c r="C68" t="s">
        <v>3095</v>
      </c>
      <c r="D68">
        <v>-7</v>
      </c>
    </row>
    <row r="69" spans="1:4" x14ac:dyDescent="0.25">
      <c r="A69" t="s">
        <v>80</v>
      </c>
      <c r="B69" t="s">
        <v>1038</v>
      </c>
      <c r="C69" t="s">
        <v>1539</v>
      </c>
      <c r="D69">
        <v>-10</v>
      </c>
    </row>
    <row r="70" spans="1:4" x14ac:dyDescent="0.25">
      <c r="A70" t="s">
        <v>80</v>
      </c>
      <c r="B70" t="s">
        <v>524</v>
      </c>
      <c r="C70" t="s">
        <v>3096</v>
      </c>
      <c r="D70">
        <v>-8</v>
      </c>
    </row>
    <row r="71" spans="1:4" x14ac:dyDescent="0.25">
      <c r="A71" t="s">
        <v>80</v>
      </c>
      <c r="B71" t="s">
        <v>1217</v>
      </c>
      <c r="C71" t="s">
        <v>1784</v>
      </c>
      <c r="D71">
        <v>-11</v>
      </c>
    </row>
    <row r="72" spans="1:4" x14ac:dyDescent="0.25">
      <c r="A72" t="s">
        <v>80</v>
      </c>
      <c r="B72" t="s">
        <v>1129</v>
      </c>
      <c r="C72" t="s">
        <v>3097</v>
      </c>
      <c r="D72">
        <v>-14</v>
      </c>
    </row>
    <row r="73" spans="1:4" x14ac:dyDescent="0.25">
      <c r="A73" t="s">
        <v>80</v>
      </c>
      <c r="B73" t="s">
        <v>1398</v>
      </c>
      <c r="C73" t="s">
        <v>3098</v>
      </c>
      <c r="D73">
        <v>-13</v>
      </c>
    </row>
    <row r="74" spans="1:4" x14ac:dyDescent="0.25">
      <c r="A74" t="s">
        <v>80</v>
      </c>
      <c r="B74" t="s">
        <v>1398</v>
      </c>
      <c r="C74" t="s">
        <v>3099</v>
      </c>
      <c r="D74">
        <v>-12</v>
      </c>
    </row>
    <row r="75" spans="1:4" x14ac:dyDescent="0.25">
      <c r="A75" t="s">
        <v>80</v>
      </c>
      <c r="B75" t="s">
        <v>2317</v>
      </c>
      <c r="C75" t="s">
        <v>3100</v>
      </c>
      <c r="D75">
        <v>-14</v>
      </c>
    </row>
    <row r="76" spans="1:4" x14ac:dyDescent="0.25">
      <c r="A76" t="s">
        <v>80</v>
      </c>
      <c r="B76" t="s">
        <v>550</v>
      </c>
      <c r="C76" t="s">
        <v>3101</v>
      </c>
      <c r="D76">
        <v>-16</v>
      </c>
    </row>
    <row r="77" spans="1:4" x14ac:dyDescent="0.25">
      <c r="A77" t="s">
        <v>80</v>
      </c>
      <c r="B77" t="s">
        <v>1988</v>
      </c>
      <c r="C77" t="s">
        <v>1790</v>
      </c>
      <c r="D77">
        <v>-13</v>
      </c>
    </row>
    <row r="78" spans="1:4" x14ac:dyDescent="0.25">
      <c r="A78" t="s">
        <v>80</v>
      </c>
      <c r="B78" t="s">
        <v>793</v>
      </c>
      <c r="C78" t="s">
        <v>2622</v>
      </c>
      <c r="D78">
        <v>-11</v>
      </c>
    </row>
    <row r="79" spans="1:4" x14ac:dyDescent="0.25">
      <c r="A79" t="s">
        <v>80</v>
      </c>
      <c r="B79" t="s">
        <v>38</v>
      </c>
      <c r="C79" t="s">
        <v>3102</v>
      </c>
      <c r="D79">
        <v>-13</v>
      </c>
    </row>
    <row r="80" spans="1:4" x14ac:dyDescent="0.25">
      <c r="A80" t="s">
        <v>123</v>
      </c>
      <c r="B80" t="s">
        <v>1680</v>
      </c>
      <c r="C80" t="s">
        <v>3103</v>
      </c>
      <c r="D80">
        <v>-16</v>
      </c>
    </row>
    <row r="81" spans="1:4" x14ac:dyDescent="0.25">
      <c r="A81" t="s">
        <v>123</v>
      </c>
      <c r="B81" t="s">
        <v>1765</v>
      </c>
      <c r="C81" t="s">
        <v>1555</v>
      </c>
      <c r="D81">
        <v>-13</v>
      </c>
    </row>
    <row r="82" spans="1:4" x14ac:dyDescent="0.25">
      <c r="A82" t="s">
        <v>123</v>
      </c>
      <c r="B82" t="s">
        <v>329</v>
      </c>
      <c r="C82" t="s">
        <v>1796</v>
      </c>
      <c r="D82">
        <v>-11</v>
      </c>
    </row>
    <row r="83" spans="1:4" x14ac:dyDescent="0.25">
      <c r="A83" t="s">
        <v>123</v>
      </c>
      <c r="B83" t="s">
        <v>1408</v>
      </c>
      <c r="C83" t="s">
        <v>1798</v>
      </c>
      <c r="D83">
        <v>-14</v>
      </c>
    </row>
    <row r="84" spans="1:4" x14ac:dyDescent="0.25">
      <c r="A84" t="s">
        <v>123</v>
      </c>
      <c r="B84" t="s">
        <v>1143</v>
      </c>
      <c r="C84" t="s">
        <v>3104</v>
      </c>
      <c r="D84">
        <v>-17</v>
      </c>
    </row>
    <row r="85" spans="1:4" x14ac:dyDescent="0.25">
      <c r="A85" t="s">
        <v>123</v>
      </c>
      <c r="B85" t="s">
        <v>566</v>
      </c>
      <c r="C85" t="s">
        <v>3105</v>
      </c>
      <c r="D85">
        <v>-15</v>
      </c>
    </row>
    <row r="86" spans="1:4" x14ac:dyDescent="0.25">
      <c r="A86" t="s">
        <v>123</v>
      </c>
      <c r="B86" t="s">
        <v>916</v>
      </c>
      <c r="C86" t="s">
        <v>3106</v>
      </c>
      <c r="D86">
        <v>-17</v>
      </c>
    </row>
    <row r="87" spans="1:4" x14ac:dyDescent="0.25">
      <c r="A87" t="s">
        <v>123</v>
      </c>
      <c r="B87" t="s">
        <v>868</v>
      </c>
      <c r="C87" t="s">
        <v>3107</v>
      </c>
      <c r="D87">
        <v>-15</v>
      </c>
    </row>
    <row r="88" spans="1:4" x14ac:dyDescent="0.25">
      <c r="A88" t="s">
        <v>123</v>
      </c>
      <c r="B88" t="s">
        <v>261</v>
      </c>
      <c r="C88" t="s">
        <v>3108</v>
      </c>
      <c r="D88">
        <v>-17</v>
      </c>
    </row>
    <row r="89" spans="1:4" x14ac:dyDescent="0.25">
      <c r="A89" t="s">
        <v>123</v>
      </c>
      <c r="B89" t="s">
        <v>807</v>
      </c>
      <c r="C89" t="s">
        <v>1565</v>
      </c>
      <c r="D89">
        <v>-14</v>
      </c>
    </row>
    <row r="90" spans="1:4" x14ac:dyDescent="0.25">
      <c r="A90" t="s">
        <v>123</v>
      </c>
      <c r="B90" t="s">
        <v>317</v>
      </c>
      <c r="C90" t="s">
        <v>3109</v>
      </c>
      <c r="D90">
        <v>-15</v>
      </c>
    </row>
    <row r="91" spans="1:4" x14ac:dyDescent="0.25">
      <c r="A91" t="s">
        <v>123</v>
      </c>
      <c r="B91" t="s">
        <v>317</v>
      </c>
      <c r="C91" t="s">
        <v>3110</v>
      </c>
      <c r="D91">
        <v>-16</v>
      </c>
    </row>
    <row r="92" spans="1:4" x14ac:dyDescent="0.25">
      <c r="A92" t="s">
        <v>123</v>
      </c>
      <c r="B92" t="s">
        <v>1073</v>
      </c>
      <c r="C92" t="s">
        <v>3111</v>
      </c>
      <c r="D92">
        <v>-13</v>
      </c>
    </row>
    <row r="93" spans="1:4" x14ac:dyDescent="0.25">
      <c r="A93" t="s">
        <v>123</v>
      </c>
      <c r="B93" t="s">
        <v>579</v>
      </c>
      <c r="C93" t="s">
        <v>3112</v>
      </c>
      <c r="D93">
        <v>-14</v>
      </c>
    </row>
    <row r="94" spans="1:4" x14ac:dyDescent="0.25">
      <c r="A94" t="s">
        <v>123</v>
      </c>
      <c r="B94" t="s">
        <v>228</v>
      </c>
      <c r="C94" t="s">
        <v>3113</v>
      </c>
      <c r="D94">
        <v>-11</v>
      </c>
    </row>
    <row r="95" spans="1:4" x14ac:dyDescent="0.25">
      <c r="A95" t="s">
        <v>123</v>
      </c>
      <c r="B95" t="s">
        <v>389</v>
      </c>
      <c r="C95" t="s">
        <v>3114</v>
      </c>
      <c r="D95">
        <v>-13</v>
      </c>
    </row>
    <row r="96" spans="1:4" x14ac:dyDescent="0.25">
      <c r="A96" t="s">
        <v>123</v>
      </c>
      <c r="B96" t="s">
        <v>231</v>
      </c>
      <c r="C96" t="s">
        <v>3115</v>
      </c>
      <c r="D96">
        <v>-10</v>
      </c>
    </row>
    <row r="97" spans="1:4" x14ac:dyDescent="0.25">
      <c r="A97" t="s">
        <v>123</v>
      </c>
      <c r="B97" t="s">
        <v>534</v>
      </c>
      <c r="C97" t="s">
        <v>3116</v>
      </c>
      <c r="D97">
        <v>-12</v>
      </c>
    </row>
    <row r="98" spans="1:4" x14ac:dyDescent="0.25">
      <c r="A98" t="s">
        <v>123</v>
      </c>
      <c r="B98" t="s">
        <v>1180</v>
      </c>
      <c r="C98" t="s">
        <v>3117</v>
      </c>
      <c r="D98">
        <v>-9</v>
      </c>
    </row>
    <row r="99" spans="1:4" x14ac:dyDescent="0.25">
      <c r="A99" t="s">
        <v>123</v>
      </c>
      <c r="B99" t="s">
        <v>793</v>
      </c>
      <c r="C99" t="s">
        <v>3118</v>
      </c>
      <c r="D99">
        <v>-10</v>
      </c>
    </row>
    <row r="100" spans="1:4" x14ac:dyDescent="0.25">
      <c r="A100" t="s">
        <v>123</v>
      </c>
      <c r="B100" t="s">
        <v>793</v>
      </c>
      <c r="C100" t="s">
        <v>3119</v>
      </c>
      <c r="D100">
        <v>-11</v>
      </c>
    </row>
    <row r="101" spans="1:4" x14ac:dyDescent="0.25">
      <c r="A101" t="s">
        <v>123</v>
      </c>
      <c r="B101" t="s">
        <v>1002</v>
      </c>
      <c r="C101" t="s">
        <v>3120</v>
      </c>
      <c r="D101">
        <v>-9</v>
      </c>
    </row>
    <row r="103" spans="1:4" x14ac:dyDescent="0.25">
      <c r="A103" s="2" t="s">
        <v>157</v>
      </c>
    </row>
    <row r="104" spans="1:4" x14ac:dyDescent="0.25">
      <c r="A104" t="s">
        <v>158</v>
      </c>
      <c r="D104">
        <f>AVERAGE(D2:D101)</f>
        <v>-1.64</v>
      </c>
    </row>
    <row r="105" spans="1:4" x14ac:dyDescent="0.25">
      <c r="A105" t="s">
        <v>159</v>
      </c>
      <c r="D105">
        <f>MAX(D2:D101)</f>
        <v>13</v>
      </c>
    </row>
    <row r="106" spans="1:4" x14ac:dyDescent="0.25">
      <c r="A106" t="s">
        <v>160</v>
      </c>
      <c r="D106">
        <f>MIN(D2:D101)</f>
        <v>-17</v>
      </c>
    </row>
    <row r="107" spans="1:4" x14ac:dyDescent="0.25">
      <c r="A107" t="s">
        <v>161</v>
      </c>
      <c r="D107">
        <f>COUNTIF(D2:D101,"&gt;0")</f>
        <v>47</v>
      </c>
    </row>
    <row r="108" spans="1:4" x14ac:dyDescent="0.25">
      <c r="A108" t="s">
        <v>162</v>
      </c>
      <c r="D108">
        <f>COUNTIF(D2:D101,"=0")</f>
        <v>6</v>
      </c>
    </row>
    <row r="109" spans="1:4" x14ac:dyDescent="0.25">
      <c r="A109" t="s">
        <v>1428</v>
      </c>
      <c r="D109">
        <f>COUNTIF(D2:D101,"&lt;0")</f>
        <v>47</v>
      </c>
    </row>
    <row r="111" spans="1:4" x14ac:dyDescent="0.25">
      <c r="A111" s="2" t="s">
        <v>164</v>
      </c>
    </row>
    <row r="112" spans="1:4" x14ac:dyDescent="0.25">
      <c r="A112" t="s">
        <v>165</v>
      </c>
      <c r="D112">
        <f>AVERAGE(D2,D3,D4,D5,D6,D7,D8,D9,D10,D11,D12,D13,D14,D15,D16,D17,D18,D19,D20,D21,D22,D23,D24,D25,D26)</f>
        <v>3.8</v>
      </c>
    </row>
    <row r="113" spans="1:4" x14ac:dyDescent="0.25">
      <c r="A113" t="s">
        <v>166</v>
      </c>
      <c r="D113">
        <f>AVERAGE(D27,D28,D29,D30,D31,D32,D33,D34,D35,D36,D37,D38,D39,D40,D41,D42,D43,D44,D45,D46,D47,D48,D49,D50,D51,D52,D53)</f>
        <v>7.5925925925925926</v>
      </c>
    </row>
    <row r="114" spans="1:4" x14ac:dyDescent="0.25">
      <c r="A114" t="s">
        <v>167</v>
      </c>
      <c r="D114">
        <f>AVERAGE(D54,D55,D56,D57,D58,D59,D60,D61,D62,D63,D64,D65,D66,D67,D68,D69,D70,D71,D72,D73,D74,D75,D76,D77,D78,D79)</f>
        <v>-6.615384615384615</v>
      </c>
    </row>
    <row r="115" spans="1:4" x14ac:dyDescent="0.25">
      <c r="A115" t="s">
        <v>168</v>
      </c>
      <c r="D115">
        <f>AVERAGE(D80,D81,D82,D83,D84,D85,D86,D87,D88,D89,D90,D91,D92,D93,D94,D95,D96,D97,D98,D99,D100,D101)</f>
        <v>-13.272727272727273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352</v>
      </c>
      <c r="C2" t="s">
        <v>6</v>
      </c>
      <c r="D2">
        <v>2</v>
      </c>
    </row>
    <row r="3" spans="1:4" x14ac:dyDescent="0.25">
      <c r="A3" t="s">
        <v>4</v>
      </c>
      <c r="B3" t="s">
        <v>487</v>
      </c>
      <c r="C3" t="s">
        <v>2353</v>
      </c>
      <c r="D3">
        <v>4</v>
      </c>
    </row>
    <row r="4" spans="1:4" x14ac:dyDescent="0.25">
      <c r="A4" t="s">
        <v>4</v>
      </c>
      <c r="B4" t="s">
        <v>1169</v>
      </c>
      <c r="C4" t="s">
        <v>308</v>
      </c>
      <c r="D4">
        <v>1</v>
      </c>
    </row>
    <row r="5" spans="1:4" x14ac:dyDescent="0.25">
      <c r="A5" t="s">
        <v>4</v>
      </c>
      <c r="B5" t="s">
        <v>759</v>
      </c>
      <c r="C5" t="s">
        <v>692</v>
      </c>
      <c r="D5">
        <v>3</v>
      </c>
    </row>
    <row r="6" spans="1:4" x14ac:dyDescent="0.25">
      <c r="A6" t="s">
        <v>4</v>
      </c>
      <c r="B6" t="s">
        <v>54</v>
      </c>
      <c r="C6" t="s">
        <v>694</v>
      </c>
      <c r="D6">
        <v>5</v>
      </c>
    </row>
    <row r="7" spans="1:4" x14ac:dyDescent="0.25">
      <c r="A7" t="s">
        <v>4</v>
      </c>
      <c r="B7" t="s">
        <v>1693</v>
      </c>
      <c r="C7" t="s">
        <v>180</v>
      </c>
      <c r="D7">
        <v>4</v>
      </c>
    </row>
    <row r="8" spans="1:4" x14ac:dyDescent="0.25">
      <c r="A8" t="s">
        <v>4</v>
      </c>
      <c r="B8" t="s">
        <v>1693</v>
      </c>
      <c r="C8" t="s">
        <v>695</v>
      </c>
      <c r="D8">
        <v>3</v>
      </c>
    </row>
    <row r="9" spans="1:4" x14ac:dyDescent="0.25">
      <c r="A9" t="s">
        <v>4</v>
      </c>
      <c r="B9" t="s">
        <v>1069</v>
      </c>
      <c r="C9" t="s">
        <v>2594</v>
      </c>
      <c r="D9">
        <v>6</v>
      </c>
    </row>
    <row r="10" spans="1:4" x14ac:dyDescent="0.25">
      <c r="A10" t="s">
        <v>4</v>
      </c>
      <c r="B10" t="s">
        <v>726</v>
      </c>
      <c r="C10" t="s">
        <v>1352</v>
      </c>
      <c r="D10">
        <v>4</v>
      </c>
    </row>
    <row r="11" spans="1:4" x14ac:dyDescent="0.25">
      <c r="A11" t="s">
        <v>4</v>
      </c>
      <c r="B11" t="s">
        <v>740</v>
      </c>
      <c r="C11" t="s">
        <v>2647</v>
      </c>
      <c r="D11">
        <v>6</v>
      </c>
    </row>
    <row r="12" spans="1:4" x14ac:dyDescent="0.25">
      <c r="A12" t="s">
        <v>4</v>
      </c>
      <c r="B12" t="s">
        <v>2962</v>
      </c>
      <c r="C12" t="s">
        <v>918</v>
      </c>
      <c r="D12">
        <v>3</v>
      </c>
    </row>
    <row r="13" spans="1:4" x14ac:dyDescent="0.25">
      <c r="A13" t="s">
        <v>4</v>
      </c>
      <c r="B13" t="s">
        <v>943</v>
      </c>
      <c r="C13" t="s">
        <v>321</v>
      </c>
      <c r="D13">
        <v>6</v>
      </c>
    </row>
    <row r="14" spans="1:4" x14ac:dyDescent="0.25">
      <c r="A14" t="s">
        <v>4</v>
      </c>
      <c r="B14" t="s">
        <v>541</v>
      </c>
      <c r="C14" t="s">
        <v>1926</v>
      </c>
      <c r="D14">
        <v>3</v>
      </c>
    </row>
    <row r="15" spans="1:4" x14ac:dyDescent="0.25">
      <c r="A15" t="s">
        <v>4</v>
      </c>
      <c r="B15" t="s">
        <v>108</v>
      </c>
      <c r="C15" t="s">
        <v>197</v>
      </c>
      <c r="D15">
        <v>5</v>
      </c>
    </row>
    <row r="16" spans="1:4" x14ac:dyDescent="0.25">
      <c r="A16" t="s">
        <v>4</v>
      </c>
      <c r="B16" t="s">
        <v>766</v>
      </c>
      <c r="C16" t="s">
        <v>199</v>
      </c>
      <c r="D16">
        <v>7</v>
      </c>
    </row>
    <row r="17" spans="1:4" x14ac:dyDescent="0.25">
      <c r="A17" t="s">
        <v>4</v>
      </c>
      <c r="B17" t="s">
        <v>524</v>
      </c>
      <c r="C17" t="s">
        <v>200</v>
      </c>
      <c r="D17">
        <v>5</v>
      </c>
    </row>
    <row r="18" spans="1:4" x14ac:dyDescent="0.25">
      <c r="A18" t="s">
        <v>4</v>
      </c>
      <c r="B18" t="s">
        <v>1217</v>
      </c>
      <c r="C18" t="s">
        <v>1203</v>
      </c>
      <c r="D18">
        <v>6</v>
      </c>
    </row>
    <row r="19" spans="1:4" x14ac:dyDescent="0.25">
      <c r="A19" t="s">
        <v>4</v>
      </c>
      <c r="B19" t="s">
        <v>876</v>
      </c>
      <c r="C19" t="s">
        <v>2480</v>
      </c>
      <c r="D19">
        <v>4</v>
      </c>
    </row>
    <row r="20" spans="1:4" x14ac:dyDescent="0.25">
      <c r="A20" t="s">
        <v>4</v>
      </c>
      <c r="B20" t="s">
        <v>1202</v>
      </c>
      <c r="C20" t="s">
        <v>204</v>
      </c>
      <c r="D20">
        <v>7</v>
      </c>
    </row>
    <row r="21" spans="1:4" x14ac:dyDescent="0.25">
      <c r="A21" t="s">
        <v>4</v>
      </c>
      <c r="B21" t="s">
        <v>611</v>
      </c>
      <c r="C21" t="s">
        <v>207</v>
      </c>
      <c r="D21">
        <v>5</v>
      </c>
    </row>
    <row r="22" spans="1:4" x14ac:dyDescent="0.25">
      <c r="A22" t="s">
        <v>4</v>
      </c>
      <c r="B22" t="s">
        <v>1356</v>
      </c>
      <c r="C22" t="s">
        <v>209</v>
      </c>
      <c r="D22">
        <v>6</v>
      </c>
    </row>
    <row r="23" spans="1:4" x14ac:dyDescent="0.25">
      <c r="A23" t="s">
        <v>4</v>
      </c>
      <c r="B23" t="s">
        <v>1222</v>
      </c>
      <c r="C23" t="s">
        <v>1930</v>
      </c>
      <c r="D23">
        <v>9</v>
      </c>
    </row>
    <row r="24" spans="1:4" x14ac:dyDescent="0.25">
      <c r="A24" t="s">
        <v>4</v>
      </c>
      <c r="B24" t="s">
        <v>74</v>
      </c>
      <c r="C24" t="s">
        <v>1209</v>
      </c>
      <c r="D24">
        <v>7</v>
      </c>
    </row>
    <row r="25" spans="1:4" x14ac:dyDescent="0.25">
      <c r="A25" t="s">
        <v>4</v>
      </c>
      <c r="B25" t="s">
        <v>1733</v>
      </c>
      <c r="C25" t="s">
        <v>3121</v>
      </c>
      <c r="D25">
        <v>10</v>
      </c>
    </row>
    <row r="26" spans="1:4" x14ac:dyDescent="0.25">
      <c r="A26" t="s">
        <v>40</v>
      </c>
      <c r="B26" t="s">
        <v>83</v>
      </c>
      <c r="C26" t="s">
        <v>2159</v>
      </c>
      <c r="D26">
        <v>8</v>
      </c>
    </row>
    <row r="27" spans="1:4" x14ac:dyDescent="0.25">
      <c r="A27" t="s">
        <v>40</v>
      </c>
      <c r="B27" t="s">
        <v>862</v>
      </c>
      <c r="C27" t="s">
        <v>3122</v>
      </c>
      <c r="D27">
        <v>10</v>
      </c>
    </row>
    <row r="28" spans="1:4" x14ac:dyDescent="0.25">
      <c r="A28" t="s">
        <v>40</v>
      </c>
      <c r="B28" t="s">
        <v>359</v>
      </c>
      <c r="C28" t="s">
        <v>1935</v>
      </c>
      <c r="D28">
        <v>8</v>
      </c>
    </row>
    <row r="29" spans="1:4" x14ac:dyDescent="0.25">
      <c r="A29" t="s">
        <v>40</v>
      </c>
      <c r="B29" t="s">
        <v>431</v>
      </c>
      <c r="C29" t="s">
        <v>1586</v>
      </c>
      <c r="D29">
        <v>9</v>
      </c>
    </row>
    <row r="30" spans="1:4" x14ac:dyDescent="0.25">
      <c r="A30" t="s">
        <v>40</v>
      </c>
      <c r="B30" t="s">
        <v>275</v>
      </c>
      <c r="C30" t="s">
        <v>2782</v>
      </c>
      <c r="D30">
        <v>7</v>
      </c>
    </row>
    <row r="31" spans="1:4" x14ac:dyDescent="0.25">
      <c r="A31" t="s">
        <v>40</v>
      </c>
      <c r="B31" t="s">
        <v>54</v>
      </c>
      <c r="C31" t="s">
        <v>3123</v>
      </c>
      <c r="D31">
        <v>9</v>
      </c>
    </row>
    <row r="32" spans="1:4" x14ac:dyDescent="0.25">
      <c r="A32" t="s">
        <v>40</v>
      </c>
      <c r="B32" t="s">
        <v>1432</v>
      </c>
      <c r="C32" t="s">
        <v>2161</v>
      </c>
      <c r="D32">
        <v>7</v>
      </c>
    </row>
    <row r="33" spans="1:4" x14ac:dyDescent="0.25">
      <c r="A33" t="s">
        <v>40</v>
      </c>
      <c r="B33" t="s">
        <v>15</v>
      </c>
      <c r="C33" t="s">
        <v>2162</v>
      </c>
      <c r="D33">
        <v>9</v>
      </c>
    </row>
    <row r="34" spans="1:4" x14ac:dyDescent="0.25">
      <c r="A34" t="s">
        <v>40</v>
      </c>
      <c r="B34" t="s">
        <v>15</v>
      </c>
      <c r="C34" t="s">
        <v>3124</v>
      </c>
      <c r="D34">
        <v>10</v>
      </c>
    </row>
    <row r="35" spans="1:4" x14ac:dyDescent="0.25">
      <c r="A35" t="s">
        <v>40</v>
      </c>
      <c r="B35" t="s">
        <v>408</v>
      </c>
      <c r="C35" t="s">
        <v>3125</v>
      </c>
      <c r="D35">
        <v>13</v>
      </c>
    </row>
    <row r="36" spans="1:4" x14ac:dyDescent="0.25">
      <c r="A36" t="s">
        <v>40</v>
      </c>
      <c r="B36" t="s">
        <v>1817</v>
      </c>
      <c r="C36" t="s">
        <v>2935</v>
      </c>
      <c r="D36">
        <v>11</v>
      </c>
    </row>
    <row r="37" spans="1:4" x14ac:dyDescent="0.25">
      <c r="A37" t="s">
        <v>40</v>
      </c>
      <c r="B37" t="s">
        <v>1475</v>
      </c>
      <c r="C37" t="s">
        <v>2910</v>
      </c>
      <c r="D37">
        <v>10</v>
      </c>
    </row>
    <row r="38" spans="1:4" x14ac:dyDescent="0.25">
      <c r="A38" t="s">
        <v>40</v>
      </c>
      <c r="B38" t="s">
        <v>2311</v>
      </c>
      <c r="C38" t="s">
        <v>3014</v>
      </c>
      <c r="D38">
        <v>13</v>
      </c>
    </row>
    <row r="39" spans="1:4" x14ac:dyDescent="0.25">
      <c r="A39" t="s">
        <v>40</v>
      </c>
      <c r="B39" t="s">
        <v>108</v>
      </c>
      <c r="C39" t="s">
        <v>2660</v>
      </c>
      <c r="D39">
        <v>15</v>
      </c>
    </row>
    <row r="40" spans="1:4" x14ac:dyDescent="0.25">
      <c r="A40" t="s">
        <v>40</v>
      </c>
      <c r="B40" t="s">
        <v>1040</v>
      </c>
      <c r="C40" t="s">
        <v>2063</v>
      </c>
      <c r="D40">
        <v>17</v>
      </c>
    </row>
    <row r="41" spans="1:4" x14ac:dyDescent="0.25">
      <c r="A41" t="s">
        <v>40</v>
      </c>
      <c r="B41" t="s">
        <v>1040</v>
      </c>
      <c r="C41" t="s">
        <v>2661</v>
      </c>
      <c r="D41">
        <v>18</v>
      </c>
    </row>
    <row r="42" spans="1:4" x14ac:dyDescent="0.25">
      <c r="A42" t="s">
        <v>40</v>
      </c>
      <c r="B42" t="s">
        <v>112</v>
      </c>
      <c r="C42" t="s">
        <v>952</v>
      </c>
      <c r="D42">
        <v>15</v>
      </c>
    </row>
    <row r="43" spans="1:4" x14ac:dyDescent="0.25">
      <c r="A43" t="s">
        <v>40</v>
      </c>
      <c r="B43" t="s">
        <v>196</v>
      </c>
      <c r="C43" t="s">
        <v>953</v>
      </c>
      <c r="D43">
        <v>17</v>
      </c>
    </row>
    <row r="44" spans="1:4" x14ac:dyDescent="0.25">
      <c r="A44" t="s">
        <v>40</v>
      </c>
      <c r="B44" t="s">
        <v>116</v>
      </c>
      <c r="C44" t="s">
        <v>2663</v>
      </c>
      <c r="D44">
        <v>18</v>
      </c>
    </row>
    <row r="45" spans="1:4" x14ac:dyDescent="0.25">
      <c r="A45" t="s">
        <v>40</v>
      </c>
      <c r="B45" t="s">
        <v>1204</v>
      </c>
      <c r="C45" t="s">
        <v>3126</v>
      </c>
      <c r="D45">
        <v>17</v>
      </c>
    </row>
    <row r="46" spans="1:4" x14ac:dyDescent="0.25">
      <c r="A46" t="s">
        <v>80</v>
      </c>
      <c r="B46" t="s">
        <v>563</v>
      </c>
      <c r="C46" t="s">
        <v>3127</v>
      </c>
      <c r="D46">
        <v>19</v>
      </c>
    </row>
    <row r="47" spans="1:4" x14ac:dyDescent="0.25">
      <c r="A47" t="s">
        <v>80</v>
      </c>
      <c r="B47" t="s">
        <v>1924</v>
      </c>
      <c r="C47" t="s">
        <v>3128</v>
      </c>
      <c r="D47">
        <v>18</v>
      </c>
    </row>
    <row r="48" spans="1:4" x14ac:dyDescent="0.25">
      <c r="A48" t="s">
        <v>80</v>
      </c>
      <c r="B48" t="s">
        <v>797</v>
      </c>
      <c r="C48" t="s">
        <v>3129</v>
      </c>
      <c r="D48">
        <v>16</v>
      </c>
    </row>
    <row r="49" spans="1:4" x14ac:dyDescent="0.25">
      <c r="A49" t="s">
        <v>80</v>
      </c>
      <c r="B49" t="s">
        <v>797</v>
      </c>
      <c r="C49" t="s">
        <v>2665</v>
      </c>
      <c r="D49">
        <v>15</v>
      </c>
    </row>
    <row r="50" spans="1:4" x14ac:dyDescent="0.25">
      <c r="A50" t="s">
        <v>80</v>
      </c>
      <c r="B50" t="s">
        <v>400</v>
      </c>
      <c r="C50" t="s">
        <v>3130</v>
      </c>
      <c r="D50">
        <v>18</v>
      </c>
    </row>
    <row r="51" spans="1:4" x14ac:dyDescent="0.25">
      <c r="A51" t="s">
        <v>80</v>
      </c>
      <c r="B51" t="s">
        <v>1146</v>
      </c>
      <c r="C51" t="s">
        <v>3131</v>
      </c>
      <c r="D51">
        <v>16</v>
      </c>
    </row>
    <row r="52" spans="1:4" x14ac:dyDescent="0.25">
      <c r="A52" t="s">
        <v>80</v>
      </c>
      <c r="B52" t="s">
        <v>1417</v>
      </c>
      <c r="C52" t="s">
        <v>3132</v>
      </c>
      <c r="D52">
        <v>19</v>
      </c>
    </row>
    <row r="53" spans="1:4" x14ac:dyDescent="0.25">
      <c r="A53" t="s">
        <v>80</v>
      </c>
      <c r="B53" t="s">
        <v>366</v>
      </c>
      <c r="C53" t="s">
        <v>3133</v>
      </c>
      <c r="D53">
        <v>17</v>
      </c>
    </row>
    <row r="54" spans="1:4" x14ac:dyDescent="0.25">
      <c r="A54" t="s">
        <v>80</v>
      </c>
      <c r="B54" t="s">
        <v>435</v>
      </c>
      <c r="C54" t="s">
        <v>1685</v>
      </c>
      <c r="D54">
        <v>15</v>
      </c>
    </row>
    <row r="55" spans="1:4" x14ac:dyDescent="0.25">
      <c r="A55" t="s">
        <v>80</v>
      </c>
      <c r="B55" t="s">
        <v>435</v>
      </c>
      <c r="C55" t="s">
        <v>2791</v>
      </c>
      <c r="D55">
        <v>14</v>
      </c>
    </row>
    <row r="56" spans="1:4" x14ac:dyDescent="0.25">
      <c r="A56" t="s">
        <v>80</v>
      </c>
      <c r="B56" t="s">
        <v>21</v>
      </c>
      <c r="C56" t="s">
        <v>3134</v>
      </c>
      <c r="D56">
        <v>16</v>
      </c>
    </row>
    <row r="57" spans="1:4" x14ac:dyDescent="0.25">
      <c r="A57" t="s">
        <v>80</v>
      </c>
      <c r="B57" t="s">
        <v>64</v>
      </c>
      <c r="C57" t="s">
        <v>969</v>
      </c>
      <c r="D57">
        <v>19</v>
      </c>
    </row>
    <row r="58" spans="1:4" x14ac:dyDescent="0.25">
      <c r="A58" t="s">
        <v>80</v>
      </c>
      <c r="B58" t="s">
        <v>1517</v>
      </c>
      <c r="C58" t="s">
        <v>3135</v>
      </c>
      <c r="D58">
        <v>21</v>
      </c>
    </row>
    <row r="59" spans="1:4" x14ac:dyDescent="0.25">
      <c r="A59" t="s">
        <v>80</v>
      </c>
      <c r="B59" t="s">
        <v>1127</v>
      </c>
      <c r="C59" t="s">
        <v>3136</v>
      </c>
      <c r="D59">
        <v>20</v>
      </c>
    </row>
    <row r="60" spans="1:4" x14ac:dyDescent="0.25">
      <c r="A60" t="s">
        <v>80</v>
      </c>
      <c r="B60" t="s">
        <v>1127</v>
      </c>
      <c r="C60" t="s">
        <v>971</v>
      </c>
      <c r="D60">
        <v>19</v>
      </c>
    </row>
    <row r="61" spans="1:4" x14ac:dyDescent="0.25">
      <c r="A61" t="s">
        <v>80</v>
      </c>
      <c r="B61" t="s">
        <v>146</v>
      </c>
      <c r="C61" t="s">
        <v>3137</v>
      </c>
      <c r="D61">
        <v>22</v>
      </c>
    </row>
    <row r="62" spans="1:4" x14ac:dyDescent="0.25">
      <c r="A62" t="s">
        <v>80</v>
      </c>
      <c r="B62" t="s">
        <v>29</v>
      </c>
      <c r="C62" t="s">
        <v>3138</v>
      </c>
      <c r="D62">
        <v>23</v>
      </c>
    </row>
    <row r="63" spans="1:4" x14ac:dyDescent="0.25">
      <c r="A63" t="s">
        <v>80</v>
      </c>
      <c r="B63" t="s">
        <v>1206</v>
      </c>
      <c r="C63" t="s">
        <v>3139</v>
      </c>
      <c r="D63">
        <v>24</v>
      </c>
    </row>
    <row r="64" spans="1:4" x14ac:dyDescent="0.25">
      <c r="A64" t="s">
        <v>80</v>
      </c>
      <c r="B64" t="s">
        <v>972</v>
      </c>
      <c r="C64" t="s">
        <v>2836</v>
      </c>
      <c r="D64">
        <v>26</v>
      </c>
    </row>
    <row r="65" spans="1:4" x14ac:dyDescent="0.25">
      <c r="A65" t="s">
        <v>123</v>
      </c>
      <c r="B65" t="s">
        <v>1648</v>
      </c>
      <c r="C65" t="s">
        <v>3140</v>
      </c>
      <c r="D65">
        <v>28</v>
      </c>
    </row>
    <row r="66" spans="1:4" x14ac:dyDescent="0.25">
      <c r="A66" t="s">
        <v>123</v>
      </c>
      <c r="B66" t="s">
        <v>719</v>
      </c>
      <c r="C66" t="s">
        <v>3141</v>
      </c>
      <c r="D66">
        <v>25</v>
      </c>
    </row>
    <row r="67" spans="1:4" x14ac:dyDescent="0.25">
      <c r="A67" t="s">
        <v>123</v>
      </c>
      <c r="B67" t="s">
        <v>1877</v>
      </c>
      <c r="C67" t="s">
        <v>3142</v>
      </c>
      <c r="D67">
        <v>26</v>
      </c>
    </row>
    <row r="68" spans="1:4" x14ac:dyDescent="0.25">
      <c r="A68" t="s">
        <v>123</v>
      </c>
      <c r="B68" t="s">
        <v>13</v>
      </c>
      <c r="C68" t="s">
        <v>1414</v>
      </c>
      <c r="D68">
        <v>28</v>
      </c>
    </row>
    <row r="69" spans="1:4" x14ac:dyDescent="0.25">
      <c r="A69" t="s">
        <v>123</v>
      </c>
      <c r="B69" t="s">
        <v>1434</v>
      </c>
      <c r="C69" t="s">
        <v>3143</v>
      </c>
      <c r="D69">
        <v>26</v>
      </c>
    </row>
    <row r="70" spans="1:4" x14ac:dyDescent="0.25">
      <c r="A70" t="s">
        <v>123</v>
      </c>
      <c r="B70" t="s">
        <v>628</v>
      </c>
      <c r="C70" t="s">
        <v>3144</v>
      </c>
      <c r="D70">
        <v>28</v>
      </c>
    </row>
    <row r="71" spans="1:4" x14ac:dyDescent="0.25">
      <c r="A71" t="s">
        <v>123</v>
      </c>
      <c r="B71" t="s">
        <v>1695</v>
      </c>
      <c r="C71" t="s">
        <v>3145</v>
      </c>
      <c r="D71">
        <v>27</v>
      </c>
    </row>
    <row r="72" spans="1:4" x14ac:dyDescent="0.25">
      <c r="A72" t="s">
        <v>123</v>
      </c>
      <c r="B72" t="s">
        <v>701</v>
      </c>
      <c r="C72" t="s">
        <v>3146</v>
      </c>
      <c r="D72">
        <v>26</v>
      </c>
    </row>
    <row r="73" spans="1:4" x14ac:dyDescent="0.25">
      <c r="A73" t="s">
        <v>123</v>
      </c>
      <c r="B73" t="s">
        <v>890</v>
      </c>
      <c r="C73" t="s">
        <v>3147</v>
      </c>
      <c r="D73">
        <v>28</v>
      </c>
    </row>
    <row r="74" spans="1:4" x14ac:dyDescent="0.25">
      <c r="A74" t="s">
        <v>123</v>
      </c>
      <c r="B74" t="s">
        <v>987</v>
      </c>
      <c r="C74" t="s">
        <v>3148</v>
      </c>
      <c r="D74">
        <v>27</v>
      </c>
    </row>
    <row r="75" spans="1:4" x14ac:dyDescent="0.25">
      <c r="A75" t="s">
        <v>123</v>
      </c>
      <c r="B75" t="s">
        <v>1202</v>
      </c>
      <c r="C75" t="s">
        <v>1338</v>
      </c>
      <c r="D75">
        <v>28</v>
      </c>
    </row>
    <row r="76" spans="1:4" x14ac:dyDescent="0.25">
      <c r="A76" t="s">
        <v>123</v>
      </c>
      <c r="B76" t="s">
        <v>198</v>
      </c>
      <c r="C76" t="s">
        <v>3149</v>
      </c>
      <c r="D76">
        <v>26</v>
      </c>
    </row>
    <row r="77" spans="1:4" x14ac:dyDescent="0.25">
      <c r="A77" t="s">
        <v>123</v>
      </c>
      <c r="B77" t="s">
        <v>1402</v>
      </c>
      <c r="C77" t="s">
        <v>3150</v>
      </c>
      <c r="D77">
        <v>24</v>
      </c>
    </row>
    <row r="78" spans="1:4" x14ac:dyDescent="0.25">
      <c r="A78" t="s">
        <v>123</v>
      </c>
      <c r="B78" t="s">
        <v>710</v>
      </c>
      <c r="C78" t="s">
        <v>3151</v>
      </c>
      <c r="D78">
        <v>25</v>
      </c>
    </row>
    <row r="79" spans="1:4" x14ac:dyDescent="0.25">
      <c r="A79" t="s">
        <v>123</v>
      </c>
      <c r="B79" t="s">
        <v>710</v>
      </c>
      <c r="C79" t="s">
        <v>2098</v>
      </c>
      <c r="D79">
        <v>26</v>
      </c>
    </row>
    <row r="80" spans="1:4" x14ac:dyDescent="0.25">
      <c r="A80" t="s">
        <v>123</v>
      </c>
      <c r="B80" t="s">
        <v>481</v>
      </c>
      <c r="C80" t="s">
        <v>3152</v>
      </c>
      <c r="D80">
        <v>28</v>
      </c>
    </row>
    <row r="81" spans="1:4" x14ac:dyDescent="0.25">
      <c r="A81" t="s">
        <v>123</v>
      </c>
      <c r="B81" t="s">
        <v>1135</v>
      </c>
      <c r="C81" t="s">
        <v>3153</v>
      </c>
      <c r="D81">
        <v>30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14.6875</v>
      </c>
    </row>
    <row r="85" spans="1:4" x14ac:dyDescent="0.25">
      <c r="A85" t="s">
        <v>159</v>
      </c>
      <c r="D85">
        <f>MAX(D2:D81)</f>
        <v>30</v>
      </c>
    </row>
    <row r="86" spans="1:4" x14ac:dyDescent="0.25">
      <c r="A86" t="s">
        <v>160</v>
      </c>
      <c r="D86">
        <f>MIN(D2:D81)</f>
        <v>1</v>
      </c>
    </row>
    <row r="87" spans="1:4" x14ac:dyDescent="0.25">
      <c r="A87" t="s">
        <v>161</v>
      </c>
      <c r="D87">
        <f>COUNTIF(D2:D81,"&gt;0")</f>
        <v>80</v>
      </c>
    </row>
    <row r="88" spans="1:4" x14ac:dyDescent="0.25">
      <c r="A88" t="s">
        <v>162</v>
      </c>
      <c r="D88">
        <f>COUNTIF(D2:D81,"=0")</f>
        <v>0</v>
      </c>
    </row>
    <row r="89" spans="1:4" x14ac:dyDescent="0.25">
      <c r="A89" t="s">
        <v>1740</v>
      </c>
      <c r="D89">
        <f>COUNTIF(D2:D81,"&lt;0")</f>
        <v>0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AVERAGE(D2,D3,D4,D5,D6,D7,D8,D9,D10,D11,D12,D13,D14,D15,D16,D17,D18,D19,D20,D21,D22,D23,D24,D25)</f>
        <v>5.041666666666667</v>
      </c>
    </row>
    <row r="93" spans="1:4" x14ac:dyDescent="0.25">
      <c r="A93" t="s">
        <v>166</v>
      </c>
      <c r="D93">
        <f>AVERAGE(D26,D27,D28,D29,D30,D31,D32,D33,D34,D35,D36,D37,D38,D39,D40,D41,D42,D43,D44,D45)</f>
        <v>12.05</v>
      </c>
    </row>
    <row r="94" spans="1:4" x14ac:dyDescent="0.25">
      <c r="A94" t="s">
        <v>167</v>
      </c>
      <c r="D94">
        <f>AVERAGE(D46,D47,D48,D49,D50,D51,D52,D53,D54,D55,D56,D57,D58,D59,D60,D61,D62,D63,D64)</f>
        <v>18.789473684210527</v>
      </c>
    </row>
    <row r="95" spans="1:4" x14ac:dyDescent="0.25">
      <c r="A95" t="s">
        <v>168</v>
      </c>
      <c r="D95">
        <f>AVERAGE(D65,D66,D67,D68,D69,D70,D71,D72,D73,D74,D75,D76,D77,D78,D79,D80,D81)</f>
        <v>26.823529411764707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2044</v>
      </c>
    </row>
    <row r="2" spans="1:4" x14ac:dyDescent="0.25">
      <c r="A2" t="s">
        <v>4</v>
      </c>
      <c r="B2" t="s">
        <v>716</v>
      </c>
      <c r="C2" t="s">
        <v>6</v>
      </c>
      <c r="D2">
        <v>2</v>
      </c>
    </row>
    <row r="3" spans="1:4" x14ac:dyDescent="0.25">
      <c r="A3" t="s">
        <v>4</v>
      </c>
      <c r="B3" t="s">
        <v>47</v>
      </c>
      <c r="C3" t="s">
        <v>2353</v>
      </c>
      <c r="D3">
        <v>4</v>
      </c>
    </row>
    <row r="4" spans="1:4" x14ac:dyDescent="0.25">
      <c r="A4" t="s">
        <v>4</v>
      </c>
      <c r="B4" t="s">
        <v>1824</v>
      </c>
      <c r="C4" t="s">
        <v>690</v>
      </c>
      <c r="D4">
        <v>6</v>
      </c>
    </row>
    <row r="5" spans="1:4" x14ac:dyDescent="0.25">
      <c r="A5" t="s">
        <v>4</v>
      </c>
      <c r="B5" t="s">
        <v>494</v>
      </c>
      <c r="C5" t="s">
        <v>2643</v>
      </c>
      <c r="D5">
        <v>7</v>
      </c>
    </row>
    <row r="6" spans="1:4" x14ac:dyDescent="0.25">
      <c r="A6" t="s">
        <v>4</v>
      </c>
      <c r="B6" t="s">
        <v>494</v>
      </c>
      <c r="C6" t="s">
        <v>1268</v>
      </c>
      <c r="D6">
        <v>8</v>
      </c>
    </row>
    <row r="7" spans="1:4" x14ac:dyDescent="0.25">
      <c r="A7" t="s">
        <v>4</v>
      </c>
      <c r="B7" t="s">
        <v>1284</v>
      </c>
      <c r="C7" t="s">
        <v>1269</v>
      </c>
      <c r="D7">
        <v>10</v>
      </c>
    </row>
    <row r="8" spans="1:4" x14ac:dyDescent="0.25">
      <c r="A8" t="s">
        <v>4</v>
      </c>
      <c r="B8" t="s">
        <v>186</v>
      </c>
      <c r="C8" t="s">
        <v>2477</v>
      </c>
      <c r="D8">
        <v>13</v>
      </c>
    </row>
    <row r="9" spans="1:4" x14ac:dyDescent="0.25">
      <c r="A9" t="s">
        <v>4</v>
      </c>
      <c r="B9" t="s">
        <v>437</v>
      </c>
      <c r="C9" t="s">
        <v>1270</v>
      </c>
      <c r="D9">
        <v>10</v>
      </c>
    </row>
    <row r="10" spans="1:4" x14ac:dyDescent="0.25">
      <c r="A10" t="s">
        <v>4</v>
      </c>
      <c r="B10" t="s">
        <v>922</v>
      </c>
      <c r="C10" t="s">
        <v>3154</v>
      </c>
      <c r="D10">
        <v>12</v>
      </c>
    </row>
    <row r="11" spans="1:4" x14ac:dyDescent="0.25">
      <c r="A11" t="s">
        <v>4</v>
      </c>
      <c r="B11" t="s">
        <v>23</v>
      </c>
      <c r="C11" t="s">
        <v>3155</v>
      </c>
      <c r="D11">
        <v>14</v>
      </c>
    </row>
    <row r="12" spans="1:4" x14ac:dyDescent="0.25">
      <c r="A12" t="s">
        <v>4</v>
      </c>
      <c r="B12" t="s">
        <v>702</v>
      </c>
      <c r="C12" t="s">
        <v>3041</v>
      </c>
      <c r="D12">
        <v>12</v>
      </c>
    </row>
    <row r="13" spans="1:4" x14ac:dyDescent="0.25">
      <c r="A13" t="s">
        <v>4</v>
      </c>
      <c r="B13" t="s">
        <v>471</v>
      </c>
      <c r="C13" t="s">
        <v>3042</v>
      </c>
      <c r="D13">
        <v>15</v>
      </c>
    </row>
    <row r="14" spans="1:4" x14ac:dyDescent="0.25">
      <c r="A14" t="s">
        <v>4</v>
      </c>
      <c r="B14" t="s">
        <v>813</v>
      </c>
      <c r="C14" t="s">
        <v>1017</v>
      </c>
      <c r="D14">
        <v>12</v>
      </c>
    </row>
    <row r="15" spans="1:4" x14ac:dyDescent="0.25">
      <c r="A15" t="s">
        <v>4</v>
      </c>
      <c r="B15" t="s">
        <v>1675</v>
      </c>
      <c r="C15" t="s">
        <v>1018</v>
      </c>
      <c r="D15">
        <v>10</v>
      </c>
    </row>
    <row r="16" spans="1:4" x14ac:dyDescent="0.25">
      <c r="A16" t="s">
        <v>4</v>
      </c>
      <c r="B16" t="s">
        <v>346</v>
      </c>
      <c r="C16" t="s">
        <v>2893</v>
      </c>
      <c r="D16">
        <v>12</v>
      </c>
    </row>
    <row r="17" spans="1:4" x14ac:dyDescent="0.25">
      <c r="A17" t="s">
        <v>40</v>
      </c>
      <c r="B17" t="s">
        <v>352</v>
      </c>
      <c r="C17" t="s">
        <v>2894</v>
      </c>
      <c r="D17">
        <v>13</v>
      </c>
    </row>
    <row r="18" spans="1:4" x14ac:dyDescent="0.25">
      <c r="A18" t="s">
        <v>40</v>
      </c>
      <c r="B18" t="s">
        <v>487</v>
      </c>
      <c r="C18" t="s">
        <v>2895</v>
      </c>
      <c r="D18">
        <v>16</v>
      </c>
    </row>
    <row r="19" spans="1:4" x14ac:dyDescent="0.25">
      <c r="A19" t="s">
        <v>40</v>
      </c>
      <c r="B19" t="s">
        <v>1545</v>
      </c>
      <c r="C19" t="s">
        <v>2896</v>
      </c>
      <c r="D19">
        <v>14</v>
      </c>
    </row>
    <row r="20" spans="1:4" x14ac:dyDescent="0.25">
      <c r="A20" t="s">
        <v>40</v>
      </c>
      <c r="B20" t="s">
        <v>1666</v>
      </c>
      <c r="C20" t="s">
        <v>2898</v>
      </c>
      <c r="D20">
        <v>16</v>
      </c>
    </row>
    <row r="21" spans="1:4" x14ac:dyDescent="0.25">
      <c r="A21" t="s">
        <v>40</v>
      </c>
      <c r="B21" t="s">
        <v>85</v>
      </c>
      <c r="C21" t="s">
        <v>3156</v>
      </c>
      <c r="D21">
        <v>18</v>
      </c>
    </row>
    <row r="22" spans="1:4" x14ac:dyDescent="0.25">
      <c r="A22" t="s">
        <v>40</v>
      </c>
      <c r="B22" t="s">
        <v>85</v>
      </c>
      <c r="C22" t="s">
        <v>3002</v>
      </c>
      <c r="D22">
        <v>19</v>
      </c>
    </row>
    <row r="23" spans="1:4" x14ac:dyDescent="0.25">
      <c r="A23" t="s">
        <v>40</v>
      </c>
      <c r="B23" t="s">
        <v>588</v>
      </c>
      <c r="C23" t="s">
        <v>2900</v>
      </c>
      <c r="D23">
        <v>16</v>
      </c>
    </row>
    <row r="24" spans="1:4" x14ac:dyDescent="0.25">
      <c r="A24" t="s">
        <v>40</v>
      </c>
      <c r="B24" t="s">
        <v>275</v>
      </c>
      <c r="C24" t="s">
        <v>2901</v>
      </c>
      <c r="D24">
        <v>18</v>
      </c>
    </row>
    <row r="25" spans="1:4" x14ac:dyDescent="0.25">
      <c r="A25" t="s">
        <v>40</v>
      </c>
      <c r="B25" t="s">
        <v>275</v>
      </c>
      <c r="C25" t="s">
        <v>3157</v>
      </c>
      <c r="D25">
        <v>19</v>
      </c>
    </row>
    <row r="26" spans="1:4" x14ac:dyDescent="0.25">
      <c r="A26" t="s">
        <v>40</v>
      </c>
      <c r="B26" t="s">
        <v>868</v>
      </c>
      <c r="C26" t="s">
        <v>3053</v>
      </c>
      <c r="D26">
        <v>21</v>
      </c>
    </row>
    <row r="27" spans="1:4" x14ac:dyDescent="0.25">
      <c r="A27" t="s">
        <v>40</v>
      </c>
      <c r="B27" t="s">
        <v>405</v>
      </c>
      <c r="C27" t="s">
        <v>3054</v>
      </c>
      <c r="D27">
        <v>19</v>
      </c>
    </row>
    <row r="28" spans="1:4" x14ac:dyDescent="0.25">
      <c r="A28" t="s">
        <v>40</v>
      </c>
      <c r="B28" t="s">
        <v>1105</v>
      </c>
      <c r="C28" t="s">
        <v>1994</v>
      </c>
      <c r="D28">
        <v>22</v>
      </c>
    </row>
    <row r="29" spans="1:4" x14ac:dyDescent="0.25">
      <c r="A29" t="s">
        <v>40</v>
      </c>
      <c r="B29" t="s">
        <v>97</v>
      </c>
      <c r="C29" t="s">
        <v>3158</v>
      </c>
      <c r="D29">
        <v>20</v>
      </c>
    </row>
    <row r="30" spans="1:4" x14ac:dyDescent="0.25">
      <c r="A30" t="s">
        <v>40</v>
      </c>
      <c r="B30" t="s">
        <v>219</v>
      </c>
      <c r="C30" t="s">
        <v>3159</v>
      </c>
      <c r="D30">
        <v>23</v>
      </c>
    </row>
    <row r="31" spans="1:4" x14ac:dyDescent="0.25">
      <c r="A31" t="s">
        <v>40</v>
      </c>
      <c r="B31" t="s">
        <v>1230</v>
      </c>
      <c r="C31" t="s">
        <v>1037</v>
      </c>
      <c r="D31">
        <v>20</v>
      </c>
    </row>
    <row r="32" spans="1:4" x14ac:dyDescent="0.25">
      <c r="A32" t="s">
        <v>40</v>
      </c>
      <c r="B32" t="s">
        <v>746</v>
      </c>
      <c r="C32" t="s">
        <v>3160</v>
      </c>
      <c r="D32">
        <v>23</v>
      </c>
    </row>
    <row r="33" spans="1:4" x14ac:dyDescent="0.25">
      <c r="A33" t="s">
        <v>40</v>
      </c>
      <c r="B33" t="s">
        <v>702</v>
      </c>
      <c r="C33" t="s">
        <v>3161</v>
      </c>
      <c r="D33">
        <v>25</v>
      </c>
    </row>
    <row r="34" spans="1:4" x14ac:dyDescent="0.25">
      <c r="A34" t="s">
        <v>40</v>
      </c>
      <c r="B34" t="s">
        <v>442</v>
      </c>
      <c r="C34" t="s">
        <v>3162</v>
      </c>
      <c r="D34">
        <v>23</v>
      </c>
    </row>
    <row r="35" spans="1:4" x14ac:dyDescent="0.25">
      <c r="A35" t="s">
        <v>40</v>
      </c>
      <c r="B35" t="s">
        <v>1843</v>
      </c>
      <c r="C35" t="s">
        <v>3163</v>
      </c>
      <c r="D35">
        <v>20</v>
      </c>
    </row>
    <row r="36" spans="1:4" x14ac:dyDescent="0.25">
      <c r="A36" t="s">
        <v>40</v>
      </c>
      <c r="B36" t="s">
        <v>2453</v>
      </c>
      <c r="C36" t="s">
        <v>2658</v>
      </c>
      <c r="D36">
        <v>19</v>
      </c>
    </row>
    <row r="37" spans="1:4" x14ac:dyDescent="0.25">
      <c r="A37" t="s">
        <v>40</v>
      </c>
      <c r="B37" t="s">
        <v>877</v>
      </c>
      <c r="C37" t="s">
        <v>3164</v>
      </c>
      <c r="D37">
        <v>20</v>
      </c>
    </row>
    <row r="38" spans="1:4" x14ac:dyDescent="0.25">
      <c r="A38" t="s">
        <v>40</v>
      </c>
      <c r="B38" t="s">
        <v>877</v>
      </c>
      <c r="C38" t="s">
        <v>3165</v>
      </c>
      <c r="D38">
        <v>21</v>
      </c>
    </row>
    <row r="39" spans="1:4" x14ac:dyDescent="0.25">
      <c r="A39" t="s">
        <v>40</v>
      </c>
      <c r="B39" t="s">
        <v>1484</v>
      </c>
      <c r="C39" t="s">
        <v>3166</v>
      </c>
      <c r="D39">
        <v>19</v>
      </c>
    </row>
    <row r="40" spans="1:4" x14ac:dyDescent="0.25">
      <c r="A40" t="s">
        <v>40</v>
      </c>
      <c r="B40" t="s">
        <v>1988</v>
      </c>
      <c r="C40" t="s">
        <v>3167</v>
      </c>
      <c r="D40">
        <v>22</v>
      </c>
    </row>
    <row r="41" spans="1:4" x14ac:dyDescent="0.25">
      <c r="A41" t="s">
        <v>40</v>
      </c>
      <c r="B41" t="s">
        <v>394</v>
      </c>
      <c r="C41" t="s">
        <v>3168</v>
      </c>
      <c r="D41">
        <v>25</v>
      </c>
    </row>
    <row r="42" spans="1:4" x14ac:dyDescent="0.25">
      <c r="A42" t="s">
        <v>40</v>
      </c>
      <c r="B42" t="s">
        <v>1002</v>
      </c>
      <c r="C42" t="s">
        <v>1056</v>
      </c>
      <c r="D42">
        <v>26</v>
      </c>
    </row>
    <row r="43" spans="1:4" x14ac:dyDescent="0.25">
      <c r="A43" t="s">
        <v>40</v>
      </c>
      <c r="B43" t="s">
        <v>817</v>
      </c>
      <c r="C43" t="s">
        <v>3169</v>
      </c>
      <c r="D43">
        <v>24</v>
      </c>
    </row>
    <row r="44" spans="1:4" x14ac:dyDescent="0.25">
      <c r="A44" t="s">
        <v>80</v>
      </c>
      <c r="B44" t="s">
        <v>1136</v>
      </c>
      <c r="C44" t="s">
        <v>3170</v>
      </c>
      <c r="D44">
        <v>22</v>
      </c>
    </row>
    <row r="45" spans="1:4" x14ac:dyDescent="0.25">
      <c r="A45" t="s">
        <v>80</v>
      </c>
      <c r="B45" t="s">
        <v>83</v>
      </c>
      <c r="C45" t="s">
        <v>2069</v>
      </c>
      <c r="D45">
        <v>20</v>
      </c>
    </row>
    <row r="46" spans="1:4" x14ac:dyDescent="0.25">
      <c r="A46" t="s">
        <v>80</v>
      </c>
      <c r="B46" t="s">
        <v>1210</v>
      </c>
      <c r="C46" t="s">
        <v>3171</v>
      </c>
      <c r="D46">
        <v>22</v>
      </c>
    </row>
    <row r="47" spans="1:4" x14ac:dyDescent="0.25">
      <c r="A47" t="s">
        <v>80</v>
      </c>
      <c r="B47" t="s">
        <v>588</v>
      </c>
      <c r="C47" t="s">
        <v>2071</v>
      </c>
      <c r="D47">
        <v>24</v>
      </c>
    </row>
    <row r="48" spans="1:4" x14ac:dyDescent="0.25">
      <c r="A48" t="s">
        <v>80</v>
      </c>
      <c r="B48" t="s">
        <v>759</v>
      </c>
      <c r="C48" t="s">
        <v>3172</v>
      </c>
      <c r="D48">
        <v>25</v>
      </c>
    </row>
    <row r="49" spans="1:4" x14ac:dyDescent="0.25">
      <c r="A49" t="s">
        <v>80</v>
      </c>
      <c r="B49" t="s">
        <v>623</v>
      </c>
      <c r="C49" t="s">
        <v>3173</v>
      </c>
      <c r="D49">
        <v>23</v>
      </c>
    </row>
    <row r="50" spans="1:4" x14ac:dyDescent="0.25">
      <c r="A50" t="s">
        <v>80</v>
      </c>
      <c r="B50" t="s">
        <v>256</v>
      </c>
      <c r="C50" t="s">
        <v>3174</v>
      </c>
      <c r="D50">
        <v>25</v>
      </c>
    </row>
    <row r="51" spans="1:4" x14ac:dyDescent="0.25">
      <c r="A51" t="s">
        <v>80</v>
      </c>
      <c r="B51" t="s">
        <v>366</v>
      </c>
      <c r="C51" t="s">
        <v>3175</v>
      </c>
      <c r="D51">
        <v>22</v>
      </c>
    </row>
    <row r="52" spans="1:4" x14ac:dyDescent="0.25">
      <c r="A52" t="s">
        <v>80</v>
      </c>
      <c r="B52" t="s">
        <v>2032</v>
      </c>
      <c r="C52" t="s">
        <v>3176</v>
      </c>
      <c r="D52">
        <v>25</v>
      </c>
    </row>
    <row r="53" spans="1:4" x14ac:dyDescent="0.25">
      <c r="A53" t="s">
        <v>80</v>
      </c>
      <c r="B53" t="s">
        <v>1776</v>
      </c>
      <c r="C53" t="s">
        <v>3177</v>
      </c>
      <c r="D53">
        <v>23</v>
      </c>
    </row>
    <row r="54" spans="1:4" x14ac:dyDescent="0.25">
      <c r="A54" t="s">
        <v>80</v>
      </c>
      <c r="B54" t="s">
        <v>762</v>
      </c>
      <c r="C54" t="s">
        <v>3178</v>
      </c>
      <c r="D54">
        <v>26</v>
      </c>
    </row>
    <row r="55" spans="1:4" x14ac:dyDescent="0.25">
      <c r="A55" t="s">
        <v>80</v>
      </c>
      <c r="B55" t="s">
        <v>142</v>
      </c>
      <c r="C55" t="s">
        <v>3179</v>
      </c>
      <c r="D55">
        <v>23</v>
      </c>
    </row>
    <row r="56" spans="1:4" x14ac:dyDescent="0.25">
      <c r="A56" t="s">
        <v>80</v>
      </c>
      <c r="B56" t="s">
        <v>142</v>
      </c>
      <c r="C56" t="s">
        <v>3180</v>
      </c>
      <c r="D56">
        <v>22</v>
      </c>
    </row>
    <row r="57" spans="1:4" x14ac:dyDescent="0.25">
      <c r="A57" t="s">
        <v>80</v>
      </c>
      <c r="B57" t="s">
        <v>1217</v>
      </c>
      <c r="C57" t="s">
        <v>3181</v>
      </c>
      <c r="D57">
        <v>20</v>
      </c>
    </row>
    <row r="58" spans="1:4" x14ac:dyDescent="0.25">
      <c r="A58" t="s">
        <v>80</v>
      </c>
      <c r="B58" t="s">
        <v>1640</v>
      </c>
      <c r="C58" t="s">
        <v>3182</v>
      </c>
      <c r="D58">
        <v>18</v>
      </c>
    </row>
    <row r="59" spans="1:4" x14ac:dyDescent="0.25">
      <c r="A59" t="s">
        <v>80</v>
      </c>
      <c r="B59" t="s">
        <v>1048</v>
      </c>
      <c r="C59" t="s">
        <v>3183</v>
      </c>
      <c r="D59">
        <v>20</v>
      </c>
    </row>
    <row r="60" spans="1:4" x14ac:dyDescent="0.25">
      <c r="A60" t="s">
        <v>80</v>
      </c>
      <c r="B60" t="s">
        <v>900</v>
      </c>
      <c r="C60" t="s">
        <v>2942</v>
      </c>
      <c r="D60">
        <v>18</v>
      </c>
    </row>
    <row r="61" spans="1:4" x14ac:dyDescent="0.25">
      <c r="A61" t="s">
        <v>123</v>
      </c>
      <c r="B61" t="s">
        <v>428</v>
      </c>
      <c r="C61" t="s">
        <v>3184</v>
      </c>
      <c r="D61">
        <v>17</v>
      </c>
    </row>
    <row r="62" spans="1:4" x14ac:dyDescent="0.25">
      <c r="A62" t="s">
        <v>123</v>
      </c>
      <c r="B62" t="s">
        <v>1543</v>
      </c>
      <c r="C62" t="s">
        <v>2798</v>
      </c>
      <c r="D62">
        <v>15</v>
      </c>
    </row>
    <row r="63" spans="1:4" x14ac:dyDescent="0.25">
      <c r="A63" t="s">
        <v>123</v>
      </c>
      <c r="B63" t="s">
        <v>691</v>
      </c>
      <c r="C63" t="s">
        <v>2991</v>
      </c>
      <c r="D63">
        <v>13</v>
      </c>
    </row>
    <row r="64" spans="1:4" x14ac:dyDescent="0.25">
      <c r="A64" t="s">
        <v>123</v>
      </c>
      <c r="B64" t="s">
        <v>721</v>
      </c>
      <c r="C64" t="s">
        <v>2379</v>
      </c>
      <c r="D64">
        <v>14</v>
      </c>
    </row>
    <row r="65" spans="1:4" x14ac:dyDescent="0.25">
      <c r="A65" t="s">
        <v>123</v>
      </c>
      <c r="B65" t="s">
        <v>721</v>
      </c>
      <c r="C65" t="s">
        <v>3185</v>
      </c>
      <c r="D65">
        <v>15</v>
      </c>
    </row>
    <row r="66" spans="1:4" x14ac:dyDescent="0.25">
      <c r="A66" t="s">
        <v>123</v>
      </c>
      <c r="B66" t="s">
        <v>211</v>
      </c>
      <c r="C66" t="s">
        <v>3186</v>
      </c>
      <c r="D66">
        <v>17</v>
      </c>
    </row>
    <row r="67" spans="1:4" x14ac:dyDescent="0.25">
      <c r="A67" t="s">
        <v>123</v>
      </c>
      <c r="B67" t="s">
        <v>1836</v>
      </c>
      <c r="C67" t="s">
        <v>981</v>
      </c>
      <c r="D67">
        <v>19</v>
      </c>
    </row>
    <row r="68" spans="1:4" x14ac:dyDescent="0.25">
      <c r="A68" t="s">
        <v>123</v>
      </c>
      <c r="B68" t="s">
        <v>361</v>
      </c>
      <c r="C68" t="s">
        <v>1476</v>
      </c>
      <c r="D68">
        <v>17</v>
      </c>
    </row>
    <row r="69" spans="1:4" x14ac:dyDescent="0.25">
      <c r="A69" t="s">
        <v>123</v>
      </c>
      <c r="B69" t="s">
        <v>1723</v>
      </c>
      <c r="C69" t="s">
        <v>3187</v>
      </c>
      <c r="D69">
        <v>18</v>
      </c>
    </row>
    <row r="70" spans="1:4" x14ac:dyDescent="0.25">
      <c r="A70" t="s">
        <v>123</v>
      </c>
      <c r="B70" t="s">
        <v>256</v>
      </c>
      <c r="C70" t="s">
        <v>3188</v>
      </c>
      <c r="D70">
        <v>15</v>
      </c>
    </row>
    <row r="71" spans="1:4" x14ac:dyDescent="0.25">
      <c r="A71" t="s">
        <v>123</v>
      </c>
      <c r="B71" t="s">
        <v>215</v>
      </c>
      <c r="C71" t="s">
        <v>2947</v>
      </c>
      <c r="D71">
        <v>17</v>
      </c>
    </row>
    <row r="72" spans="1:4" x14ac:dyDescent="0.25">
      <c r="A72" t="s">
        <v>123</v>
      </c>
      <c r="B72" t="s">
        <v>60</v>
      </c>
      <c r="C72" t="s">
        <v>2843</v>
      </c>
      <c r="D72">
        <v>18</v>
      </c>
    </row>
    <row r="73" spans="1:4" x14ac:dyDescent="0.25">
      <c r="A73" t="s">
        <v>123</v>
      </c>
      <c r="B73" t="s">
        <v>60</v>
      </c>
      <c r="C73" t="s">
        <v>986</v>
      </c>
      <c r="D73">
        <v>19</v>
      </c>
    </row>
    <row r="74" spans="1:4" x14ac:dyDescent="0.25">
      <c r="A74" t="s">
        <v>123</v>
      </c>
      <c r="B74" t="s">
        <v>1288</v>
      </c>
      <c r="C74" t="s">
        <v>2805</v>
      </c>
      <c r="D74">
        <v>16</v>
      </c>
    </row>
    <row r="75" spans="1:4" x14ac:dyDescent="0.25">
      <c r="A75" t="s">
        <v>123</v>
      </c>
      <c r="B75" t="s">
        <v>943</v>
      </c>
      <c r="C75" t="s">
        <v>3189</v>
      </c>
      <c r="D75">
        <v>18</v>
      </c>
    </row>
    <row r="76" spans="1:4" x14ac:dyDescent="0.25">
      <c r="A76" t="s">
        <v>123</v>
      </c>
      <c r="B76" t="s">
        <v>104</v>
      </c>
      <c r="C76" t="s">
        <v>3190</v>
      </c>
      <c r="D76">
        <v>16</v>
      </c>
    </row>
    <row r="77" spans="1:4" x14ac:dyDescent="0.25">
      <c r="A77" t="s">
        <v>123</v>
      </c>
      <c r="B77" t="s">
        <v>701</v>
      </c>
      <c r="C77" t="s">
        <v>3191</v>
      </c>
      <c r="D77">
        <v>18</v>
      </c>
    </row>
    <row r="78" spans="1:4" x14ac:dyDescent="0.25">
      <c r="A78" t="s">
        <v>123</v>
      </c>
      <c r="B78" t="s">
        <v>110</v>
      </c>
      <c r="C78" t="s">
        <v>2953</v>
      </c>
      <c r="D78">
        <v>21</v>
      </c>
    </row>
    <row r="79" spans="1:4" x14ac:dyDescent="0.25">
      <c r="A79" t="s">
        <v>123</v>
      </c>
      <c r="B79" t="s">
        <v>25</v>
      </c>
      <c r="C79" t="s">
        <v>3192</v>
      </c>
      <c r="D79">
        <v>20</v>
      </c>
    </row>
    <row r="80" spans="1:4" x14ac:dyDescent="0.25">
      <c r="A80" t="s">
        <v>123</v>
      </c>
      <c r="B80" t="s">
        <v>25</v>
      </c>
      <c r="C80" t="s">
        <v>2849</v>
      </c>
      <c r="D80">
        <v>19</v>
      </c>
    </row>
    <row r="81" spans="1:4" x14ac:dyDescent="0.25">
      <c r="A81" t="s">
        <v>123</v>
      </c>
      <c r="B81" t="s">
        <v>1398</v>
      </c>
      <c r="C81" t="s">
        <v>3193</v>
      </c>
      <c r="D81">
        <v>18</v>
      </c>
    </row>
    <row r="82" spans="1:4" x14ac:dyDescent="0.25">
      <c r="A82" t="s">
        <v>123</v>
      </c>
      <c r="B82" t="s">
        <v>154</v>
      </c>
      <c r="C82" t="s">
        <v>3194</v>
      </c>
      <c r="D82">
        <v>20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17.851851851851851</v>
      </c>
    </row>
    <row r="86" spans="1:4" x14ac:dyDescent="0.25">
      <c r="A86" t="s">
        <v>159</v>
      </c>
      <c r="D86">
        <f>MAX(D2:D82)</f>
        <v>26</v>
      </c>
    </row>
    <row r="87" spans="1:4" x14ac:dyDescent="0.25">
      <c r="A87" t="s">
        <v>160</v>
      </c>
      <c r="D87">
        <f>MIN(D2:D82)</f>
        <v>2</v>
      </c>
    </row>
    <row r="88" spans="1:4" x14ac:dyDescent="0.25">
      <c r="A88" t="s">
        <v>161</v>
      </c>
      <c r="D88">
        <f>COUNTIF(D2:D82,"&gt;0")</f>
        <v>81</v>
      </c>
    </row>
    <row r="89" spans="1:4" x14ac:dyDescent="0.25">
      <c r="A89" t="s">
        <v>162</v>
      </c>
      <c r="D89">
        <f>COUNTIF(D2:D82,"=0")</f>
        <v>0</v>
      </c>
    </row>
    <row r="90" spans="1:4" x14ac:dyDescent="0.25">
      <c r="A90" t="s">
        <v>2116</v>
      </c>
      <c r="D90">
        <f>COUNTIF(D2:D82,"&lt;0")</f>
        <v>0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AVERAGE(D2,D3,D4,D5,D6,D7,D8,D9,D10,D11,D12,D13,D14,D15,D16)</f>
        <v>9.8000000000000007</v>
      </c>
    </row>
    <row r="94" spans="1:4" x14ac:dyDescent="0.25">
      <c r="A94" t="s">
        <v>166</v>
      </c>
      <c r="D94">
        <f>AVERAGE(D17,D18,D19,D20,D21,D22,D23,D24,D25,D26,D27,D28,D29,D30,D31,D32,D33,D34,D35,D36,D37,D38,D39,D40,D41,D42,D43)</f>
        <v>20.037037037037038</v>
      </c>
    </row>
    <row r="95" spans="1:4" x14ac:dyDescent="0.25">
      <c r="A95" t="s">
        <v>167</v>
      </c>
      <c r="D95">
        <f>AVERAGE(D44,D45,D46,D47,D48,D49,D50,D51,D52,D53,D54,D55,D56,D57,D58,D59,D60)</f>
        <v>22.235294117647058</v>
      </c>
    </row>
    <row r="96" spans="1:4" x14ac:dyDescent="0.25">
      <c r="A96" t="s">
        <v>168</v>
      </c>
      <c r="D96">
        <f>AVERAGE(D61,D62,D63,D64,D65,D66,D67,D68,D69,D70,D71,D72,D73,D74,D75,D76,D77,D78,D79,D80,D81,D82)</f>
        <v>17.272727272727273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0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795</v>
      </c>
      <c r="C2" t="s">
        <v>1923</v>
      </c>
      <c r="D2">
        <v>1</v>
      </c>
    </row>
    <row r="3" spans="1:4" x14ac:dyDescent="0.25">
      <c r="A3" t="s">
        <v>4</v>
      </c>
      <c r="B3" t="s">
        <v>795</v>
      </c>
      <c r="C3" t="s">
        <v>6</v>
      </c>
      <c r="D3">
        <v>2</v>
      </c>
    </row>
    <row r="4" spans="1:4" x14ac:dyDescent="0.25">
      <c r="A4" t="s">
        <v>4</v>
      </c>
      <c r="B4" t="s">
        <v>5</v>
      </c>
      <c r="C4" t="s">
        <v>8</v>
      </c>
      <c r="D4">
        <v>0</v>
      </c>
    </row>
    <row r="5" spans="1:4" x14ac:dyDescent="0.25">
      <c r="A5" t="s">
        <v>4</v>
      </c>
      <c r="B5" t="s">
        <v>269</v>
      </c>
      <c r="C5" t="s">
        <v>1347</v>
      </c>
      <c r="D5">
        <v>3</v>
      </c>
    </row>
    <row r="6" spans="1:4" x14ac:dyDescent="0.25">
      <c r="A6" t="s">
        <v>4</v>
      </c>
      <c r="B6" t="s">
        <v>1545</v>
      </c>
      <c r="C6" t="s">
        <v>2592</v>
      </c>
      <c r="D6">
        <v>5</v>
      </c>
    </row>
    <row r="7" spans="1:4" x14ac:dyDescent="0.25">
      <c r="A7" t="s">
        <v>4</v>
      </c>
      <c r="B7" t="s">
        <v>797</v>
      </c>
      <c r="C7" t="s">
        <v>1348</v>
      </c>
      <c r="D7">
        <v>3</v>
      </c>
    </row>
    <row r="8" spans="1:4" x14ac:dyDescent="0.25">
      <c r="A8" t="s">
        <v>4</v>
      </c>
      <c r="B8" t="s">
        <v>566</v>
      </c>
      <c r="C8" t="s">
        <v>567</v>
      </c>
      <c r="D8">
        <v>0</v>
      </c>
    </row>
    <row r="9" spans="1:4" x14ac:dyDescent="0.25">
      <c r="A9" t="s">
        <v>4</v>
      </c>
      <c r="B9" t="s">
        <v>1495</v>
      </c>
      <c r="C9" t="s">
        <v>1351</v>
      </c>
      <c r="D9">
        <v>3</v>
      </c>
    </row>
    <row r="10" spans="1:4" x14ac:dyDescent="0.25">
      <c r="A10" t="s">
        <v>4</v>
      </c>
      <c r="B10" t="s">
        <v>517</v>
      </c>
      <c r="C10" t="s">
        <v>784</v>
      </c>
      <c r="D10">
        <v>5</v>
      </c>
    </row>
    <row r="11" spans="1:4" x14ac:dyDescent="0.25">
      <c r="A11" t="s">
        <v>4</v>
      </c>
      <c r="B11" t="s">
        <v>465</v>
      </c>
      <c r="C11" t="s">
        <v>26</v>
      </c>
      <c r="D11">
        <v>3</v>
      </c>
    </row>
    <row r="12" spans="1:4" x14ac:dyDescent="0.25">
      <c r="A12" t="s">
        <v>4</v>
      </c>
      <c r="B12" t="s">
        <v>435</v>
      </c>
      <c r="C12" t="s">
        <v>1871</v>
      </c>
      <c r="D12">
        <v>5</v>
      </c>
    </row>
    <row r="13" spans="1:4" x14ac:dyDescent="0.25">
      <c r="A13" t="s">
        <v>4</v>
      </c>
      <c r="B13" t="s">
        <v>284</v>
      </c>
      <c r="C13" t="s">
        <v>1355</v>
      </c>
      <c r="D13">
        <v>6</v>
      </c>
    </row>
    <row r="14" spans="1:4" x14ac:dyDescent="0.25">
      <c r="A14" t="s">
        <v>4</v>
      </c>
      <c r="B14" t="s">
        <v>284</v>
      </c>
      <c r="C14" t="s">
        <v>3195</v>
      </c>
      <c r="D14">
        <v>7</v>
      </c>
    </row>
    <row r="15" spans="1:4" x14ac:dyDescent="0.25">
      <c r="A15" t="s">
        <v>4</v>
      </c>
      <c r="B15" t="s">
        <v>104</v>
      </c>
      <c r="C15" t="s">
        <v>321</v>
      </c>
      <c r="D15">
        <v>6</v>
      </c>
    </row>
    <row r="16" spans="1:4" x14ac:dyDescent="0.25">
      <c r="A16" t="s">
        <v>4</v>
      </c>
      <c r="B16" t="s">
        <v>25</v>
      </c>
      <c r="C16" t="s">
        <v>1873</v>
      </c>
      <c r="D16">
        <v>4</v>
      </c>
    </row>
    <row r="17" spans="1:4" x14ac:dyDescent="0.25">
      <c r="A17" t="s">
        <v>4</v>
      </c>
      <c r="B17" t="s">
        <v>1217</v>
      </c>
      <c r="C17" t="s">
        <v>324</v>
      </c>
      <c r="D17">
        <v>7</v>
      </c>
    </row>
    <row r="18" spans="1:4" x14ac:dyDescent="0.25">
      <c r="A18" t="s">
        <v>4</v>
      </c>
      <c r="B18" t="s">
        <v>1127</v>
      </c>
      <c r="C18" t="s">
        <v>1580</v>
      </c>
      <c r="D18">
        <v>5</v>
      </c>
    </row>
    <row r="19" spans="1:4" x14ac:dyDescent="0.25">
      <c r="A19" t="s">
        <v>4</v>
      </c>
      <c r="B19" t="s">
        <v>1640</v>
      </c>
      <c r="C19" t="s">
        <v>328</v>
      </c>
      <c r="D19">
        <v>7</v>
      </c>
    </row>
    <row r="20" spans="1:4" x14ac:dyDescent="0.25">
      <c r="A20" t="s">
        <v>4</v>
      </c>
      <c r="B20" t="s">
        <v>1356</v>
      </c>
      <c r="C20" t="s">
        <v>330</v>
      </c>
      <c r="D20">
        <v>5</v>
      </c>
    </row>
    <row r="21" spans="1:4" x14ac:dyDescent="0.25">
      <c r="A21" t="s">
        <v>4</v>
      </c>
      <c r="B21" t="s">
        <v>927</v>
      </c>
      <c r="C21" t="s">
        <v>923</v>
      </c>
      <c r="D21">
        <v>7</v>
      </c>
    </row>
    <row r="22" spans="1:4" x14ac:dyDescent="0.25">
      <c r="A22" t="s">
        <v>4</v>
      </c>
      <c r="B22" t="s">
        <v>681</v>
      </c>
      <c r="C22" t="s">
        <v>1207</v>
      </c>
      <c r="D22">
        <v>5</v>
      </c>
    </row>
    <row r="23" spans="1:4" x14ac:dyDescent="0.25">
      <c r="A23" t="s">
        <v>4</v>
      </c>
      <c r="B23" t="s">
        <v>1002</v>
      </c>
      <c r="C23" t="s">
        <v>712</v>
      </c>
      <c r="D23">
        <v>3</v>
      </c>
    </row>
    <row r="24" spans="1:4" x14ac:dyDescent="0.25">
      <c r="A24" t="s">
        <v>40</v>
      </c>
      <c r="B24" t="s">
        <v>1430</v>
      </c>
      <c r="C24" t="s">
        <v>1123</v>
      </c>
      <c r="D24">
        <v>6</v>
      </c>
    </row>
    <row r="25" spans="1:4" x14ac:dyDescent="0.25">
      <c r="A25" t="s">
        <v>40</v>
      </c>
      <c r="B25" t="s">
        <v>242</v>
      </c>
      <c r="C25" t="s">
        <v>212</v>
      </c>
      <c r="D25">
        <v>5</v>
      </c>
    </row>
    <row r="26" spans="1:4" x14ac:dyDescent="0.25">
      <c r="A26" t="s">
        <v>40</v>
      </c>
      <c r="B26" t="s">
        <v>2443</v>
      </c>
      <c r="C26" t="s">
        <v>2483</v>
      </c>
      <c r="D26">
        <v>8</v>
      </c>
    </row>
    <row r="27" spans="1:4" x14ac:dyDescent="0.25">
      <c r="A27" t="s">
        <v>40</v>
      </c>
      <c r="B27" t="s">
        <v>1789</v>
      </c>
      <c r="C27" t="s">
        <v>3121</v>
      </c>
      <c r="D27">
        <v>10</v>
      </c>
    </row>
    <row r="28" spans="1:4" x14ac:dyDescent="0.25">
      <c r="A28" t="s">
        <v>40</v>
      </c>
      <c r="B28" t="s">
        <v>208</v>
      </c>
      <c r="C28" t="s">
        <v>2930</v>
      </c>
      <c r="D28">
        <v>11</v>
      </c>
    </row>
    <row r="29" spans="1:4" x14ac:dyDescent="0.25">
      <c r="A29" t="s">
        <v>40</v>
      </c>
      <c r="B29" t="s">
        <v>89</v>
      </c>
      <c r="C29" t="s">
        <v>3196</v>
      </c>
      <c r="D29">
        <v>13</v>
      </c>
    </row>
    <row r="30" spans="1:4" x14ac:dyDescent="0.25">
      <c r="A30" t="s">
        <v>40</v>
      </c>
      <c r="B30" t="s">
        <v>250</v>
      </c>
      <c r="C30" t="s">
        <v>3091</v>
      </c>
      <c r="D30">
        <v>11</v>
      </c>
    </row>
    <row r="31" spans="1:4" x14ac:dyDescent="0.25">
      <c r="A31" t="s">
        <v>40</v>
      </c>
      <c r="B31" t="s">
        <v>1773</v>
      </c>
      <c r="C31" t="s">
        <v>2904</v>
      </c>
      <c r="D31">
        <v>13</v>
      </c>
    </row>
    <row r="32" spans="1:4" x14ac:dyDescent="0.25">
      <c r="A32" t="s">
        <v>40</v>
      </c>
      <c r="B32" t="s">
        <v>1284</v>
      </c>
      <c r="C32" t="s">
        <v>2814</v>
      </c>
      <c r="D32">
        <v>11</v>
      </c>
    </row>
    <row r="33" spans="1:4" x14ac:dyDescent="0.25">
      <c r="A33" t="s">
        <v>40</v>
      </c>
      <c r="B33" t="s">
        <v>1598</v>
      </c>
      <c r="C33" t="s">
        <v>3197</v>
      </c>
      <c r="D33">
        <v>13</v>
      </c>
    </row>
    <row r="34" spans="1:4" x14ac:dyDescent="0.25">
      <c r="A34" t="s">
        <v>40</v>
      </c>
      <c r="B34" t="s">
        <v>1776</v>
      </c>
      <c r="C34" t="s">
        <v>2544</v>
      </c>
      <c r="D34">
        <v>10</v>
      </c>
    </row>
    <row r="35" spans="1:4" x14ac:dyDescent="0.25">
      <c r="A35" t="s">
        <v>40</v>
      </c>
      <c r="B35" t="s">
        <v>1434</v>
      </c>
      <c r="C35" t="s">
        <v>2545</v>
      </c>
      <c r="D35">
        <v>12</v>
      </c>
    </row>
    <row r="36" spans="1:4" x14ac:dyDescent="0.25">
      <c r="A36" t="s">
        <v>40</v>
      </c>
      <c r="B36" t="s">
        <v>807</v>
      </c>
      <c r="C36" t="s">
        <v>2908</v>
      </c>
      <c r="D36">
        <v>14</v>
      </c>
    </row>
    <row r="37" spans="1:4" x14ac:dyDescent="0.25">
      <c r="A37" t="s">
        <v>40</v>
      </c>
      <c r="B37" t="s">
        <v>442</v>
      </c>
      <c r="C37" t="s">
        <v>2909</v>
      </c>
      <c r="D37">
        <v>12</v>
      </c>
    </row>
    <row r="38" spans="1:4" x14ac:dyDescent="0.25">
      <c r="A38" t="s">
        <v>40</v>
      </c>
      <c r="B38" t="s">
        <v>990</v>
      </c>
      <c r="C38" t="s">
        <v>1448</v>
      </c>
      <c r="D38">
        <v>14</v>
      </c>
    </row>
    <row r="39" spans="1:4" x14ac:dyDescent="0.25">
      <c r="A39" t="s">
        <v>40</v>
      </c>
      <c r="B39" t="s">
        <v>346</v>
      </c>
      <c r="C39" t="s">
        <v>3198</v>
      </c>
      <c r="D39">
        <v>12</v>
      </c>
    </row>
    <row r="40" spans="1:4" x14ac:dyDescent="0.25">
      <c r="A40" t="s">
        <v>40</v>
      </c>
      <c r="B40" t="s">
        <v>537</v>
      </c>
      <c r="C40" t="s">
        <v>1141</v>
      </c>
      <c r="D40">
        <v>10</v>
      </c>
    </row>
    <row r="41" spans="1:4" x14ac:dyDescent="0.25">
      <c r="A41" t="s">
        <v>40</v>
      </c>
      <c r="B41" t="s">
        <v>78</v>
      </c>
      <c r="C41" t="s">
        <v>1451</v>
      </c>
      <c r="D41">
        <v>12</v>
      </c>
    </row>
    <row r="42" spans="1:4" x14ac:dyDescent="0.25">
      <c r="A42" t="s">
        <v>80</v>
      </c>
      <c r="B42" t="s">
        <v>795</v>
      </c>
      <c r="C42" t="s">
        <v>1452</v>
      </c>
      <c r="D42">
        <v>14</v>
      </c>
    </row>
    <row r="43" spans="1:4" x14ac:dyDescent="0.25">
      <c r="A43" t="s">
        <v>80</v>
      </c>
      <c r="B43" t="s">
        <v>1664</v>
      </c>
      <c r="C43" t="s">
        <v>2784</v>
      </c>
      <c r="D43">
        <v>12</v>
      </c>
    </row>
    <row r="44" spans="1:4" x14ac:dyDescent="0.25">
      <c r="A44" t="s">
        <v>80</v>
      </c>
      <c r="B44" t="s">
        <v>305</v>
      </c>
      <c r="C44" t="s">
        <v>1676</v>
      </c>
      <c r="D44">
        <v>10</v>
      </c>
    </row>
    <row r="45" spans="1:4" x14ac:dyDescent="0.25">
      <c r="A45" t="s">
        <v>80</v>
      </c>
      <c r="B45" t="s">
        <v>85</v>
      </c>
      <c r="C45" t="s">
        <v>1677</v>
      </c>
      <c r="D45">
        <v>13</v>
      </c>
    </row>
    <row r="46" spans="1:4" x14ac:dyDescent="0.25">
      <c r="A46" t="s">
        <v>80</v>
      </c>
      <c r="B46" t="s">
        <v>458</v>
      </c>
      <c r="C46" t="s">
        <v>2364</v>
      </c>
      <c r="D46">
        <v>12</v>
      </c>
    </row>
    <row r="47" spans="1:4" x14ac:dyDescent="0.25">
      <c r="A47" t="s">
        <v>80</v>
      </c>
      <c r="B47" t="s">
        <v>458</v>
      </c>
      <c r="C47" t="s">
        <v>1149</v>
      </c>
      <c r="D47">
        <v>11</v>
      </c>
    </row>
    <row r="48" spans="1:4" x14ac:dyDescent="0.25">
      <c r="A48" t="s">
        <v>80</v>
      </c>
      <c r="B48" t="s">
        <v>724</v>
      </c>
      <c r="C48" t="s">
        <v>2862</v>
      </c>
      <c r="D48">
        <v>13</v>
      </c>
    </row>
    <row r="49" spans="1:4" x14ac:dyDescent="0.25">
      <c r="A49" t="s">
        <v>80</v>
      </c>
      <c r="B49" t="s">
        <v>275</v>
      </c>
      <c r="C49" t="s">
        <v>1458</v>
      </c>
      <c r="D49">
        <v>11</v>
      </c>
    </row>
    <row r="50" spans="1:4" x14ac:dyDescent="0.25">
      <c r="A50" t="s">
        <v>80</v>
      </c>
      <c r="B50" t="s">
        <v>916</v>
      </c>
      <c r="C50" t="s">
        <v>1459</v>
      </c>
      <c r="D50">
        <v>13</v>
      </c>
    </row>
    <row r="51" spans="1:4" x14ac:dyDescent="0.25">
      <c r="A51" t="s">
        <v>80</v>
      </c>
      <c r="B51" t="s">
        <v>2154</v>
      </c>
      <c r="C51" t="s">
        <v>1460</v>
      </c>
      <c r="D51">
        <v>10</v>
      </c>
    </row>
    <row r="52" spans="1:4" x14ac:dyDescent="0.25">
      <c r="A52" t="s">
        <v>80</v>
      </c>
      <c r="B52" t="s">
        <v>1819</v>
      </c>
      <c r="C52" t="s">
        <v>1461</v>
      </c>
      <c r="D52">
        <v>12</v>
      </c>
    </row>
    <row r="53" spans="1:4" x14ac:dyDescent="0.25">
      <c r="A53" t="s">
        <v>80</v>
      </c>
      <c r="B53" t="s">
        <v>315</v>
      </c>
      <c r="C53" t="s">
        <v>1463</v>
      </c>
      <c r="D53">
        <v>10</v>
      </c>
    </row>
    <row r="54" spans="1:4" x14ac:dyDescent="0.25">
      <c r="A54" t="s">
        <v>80</v>
      </c>
      <c r="B54" t="s">
        <v>1700</v>
      </c>
      <c r="C54" t="s">
        <v>2274</v>
      </c>
      <c r="D54">
        <v>8</v>
      </c>
    </row>
    <row r="55" spans="1:4" x14ac:dyDescent="0.25">
      <c r="A55" t="s">
        <v>80</v>
      </c>
      <c r="B55" t="s">
        <v>114</v>
      </c>
      <c r="C55" t="s">
        <v>2175</v>
      </c>
      <c r="D55">
        <v>6</v>
      </c>
    </row>
    <row r="56" spans="1:4" x14ac:dyDescent="0.25">
      <c r="A56" t="s">
        <v>80</v>
      </c>
      <c r="B56" t="s">
        <v>579</v>
      </c>
      <c r="C56" t="s">
        <v>2276</v>
      </c>
      <c r="D56">
        <v>7</v>
      </c>
    </row>
    <row r="57" spans="1:4" x14ac:dyDescent="0.25">
      <c r="A57" t="s">
        <v>80</v>
      </c>
      <c r="B57" t="s">
        <v>1619</v>
      </c>
      <c r="C57" t="s">
        <v>1839</v>
      </c>
      <c r="D57">
        <v>4</v>
      </c>
    </row>
    <row r="58" spans="1:4" x14ac:dyDescent="0.25">
      <c r="A58" t="s">
        <v>80</v>
      </c>
      <c r="B58" t="s">
        <v>709</v>
      </c>
      <c r="C58" t="s">
        <v>1605</v>
      </c>
      <c r="D58">
        <v>5</v>
      </c>
    </row>
    <row r="59" spans="1:4" x14ac:dyDescent="0.25">
      <c r="A59" t="s">
        <v>80</v>
      </c>
      <c r="B59" t="s">
        <v>2363</v>
      </c>
      <c r="C59" t="s">
        <v>636</v>
      </c>
      <c r="D59">
        <v>3</v>
      </c>
    </row>
    <row r="60" spans="1:4" x14ac:dyDescent="0.25">
      <c r="A60" t="s">
        <v>80</v>
      </c>
      <c r="B60" t="s">
        <v>534</v>
      </c>
      <c r="C60" t="s">
        <v>2179</v>
      </c>
      <c r="D60">
        <v>4</v>
      </c>
    </row>
    <row r="61" spans="1:4" x14ac:dyDescent="0.25">
      <c r="A61" t="s">
        <v>80</v>
      </c>
      <c r="B61" t="s">
        <v>1990</v>
      </c>
      <c r="C61" t="s">
        <v>2181</v>
      </c>
      <c r="D61">
        <v>2</v>
      </c>
    </row>
    <row r="62" spans="1:4" x14ac:dyDescent="0.25">
      <c r="A62" t="s">
        <v>80</v>
      </c>
      <c r="B62" t="s">
        <v>350</v>
      </c>
      <c r="C62" t="s">
        <v>638</v>
      </c>
      <c r="D62">
        <v>4</v>
      </c>
    </row>
    <row r="63" spans="1:4" x14ac:dyDescent="0.25">
      <c r="A63" t="s">
        <v>80</v>
      </c>
      <c r="B63" t="s">
        <v>78</v>
      </c>
      <c r="C63" t="s">
        <v>3199</v>
      </c>
      <c r="D63">
        <v>1</v>
      </c>
    </row>
    <row r="64" spans="1:4" x14ac:dyDescent="0.25">
      <c r="A64" t="s">
        <v>123</v>
      </c>
      <c r="B64" t="s">
        <v>427</v>
      </c>
      <c r="C64" t="s">
        <v>2498</v>
      </c>
      <c r="D64">
        <v>0</v>
      </c>
    </row>
    <row r="65" spans="1:4" x14ac:dyDescent="0.25">
      <c r="A65" t="s">
        <v>123</v>
      </c>
      <c r="B65" t="s">
        <v>427</v>
      </c>
      <c r="C65" t="s">
        <v>3200</v>
      </c>
      <c r="D65">
        <v>-1</v>
      </c>
    </row>
    <row r="66" spans="1:4" x14ac:dyDescent="0.25">
      <c r="A66" t="s">
        <v>123</v>
      </c>
      <c r="B66" t="s">
        <v>2570</v>
      </c>
      <c r="C66" t="s">
        <v>507</v>
      </c>
      <c r="D66">
        <v>0</v>
      </c>
    </row>
    <row r="67" spans="1:4" x14ac:dyDescent="0.25">
      <c r="A67" t="s">
        <v>123</v>
      </c>
      <c r="B67" t="s">
        <v>490</v>
      </c>
      <c r="C67" t="s">
        <v>3201</v>
      </c>
      <c r="D67">
        <v>-3</v>
      </c>
    </row>
    <row r="68" spans="1:4" x14ac:dyDescent="0.25">
      <c r="A68" t="s">
        <v>123</v>
      </c>
      <c r="B68" t="s">
        <v>1280</v>
      </c>
      <c r="C68" t="s">
        <v>3202</v>
      </c>
      <c r="D68">
        <v>-5</v>
      </c>
    </row>
    <row r="69" spans="1:4" x14ac:dyDescent="0.25">
      <c r="A69" t="s">
        <v>123</v>
      </c>
      <c r="B69" t="s">
        <v>250</v>
      </c>
      <c r="C69" t="s">
        <v>2313</v>
      </c>
      <c r="D69">
        <v>-4</v>
      </c>
    </row>
    <row r="70" spans="1:4" x14ac:dyDescent="0.25">
      <c r="A70" t="s">
        <v>123</v>
      </c>
      <c r="B70" t="s">
        <v>1411</v>
      </c>
      <c r="C70" t="s">
        <v>512</v>
      </c>
      <c r="D70">
        <v>-3</v>
      </c>
    </row>
    <row r="71" spans="1:4" x14ac:dyDescent="0.25">
      <c r="A71" t="s">
        <v>123</v>
      </c>
      <c r="B71" t="s">
        <v>1411</v>
      </c>
      <c r="C71" t="s">
        <v>2314</v>
      </c>
      <c r="D71">
        <v>-2</v>
      </c>
    </row>
    <row r="72" spans="1:4" x14ac:dyDescent="0.25">
      <c r="A72" t="s">
        <v>123</v>
      </c>
      <c r="B72" t="s">
        <v>2311</v>
      </c>
      <c r="C72" t="s">
        <v>653</v>
      </c>
      <c r="D72">
        <v>0</v>
      </c>
    </row>
    <row r="73" spans="1:4" x14ac:dyDescent="0.25">
      <c r="A73" t="s">
        <v>123</v>
      </c>
      <c r="B73" t="s">
        <v>263</v>
      </c>
      <c r="C73" t="s">
        <v>849</v>
      </c>
      <c r="D73">
        <v>-1</v>
      </c>
    </row>
    <row r="74" spans="1:4" x14ac:dyDescent="0.25">
      <c r="A74" t="s">
        <v>123</v>
      </c>
      <c r="B74" t="s">
        <v>577</v>
      </c>
      <c r="C74" t="s">
        <v>1960</v>
      </c>
      <c r="D74">
        <v>1</v>
      </c>
    </row>
    <row r="75" spans="1:4" x14ac:dyDescent="0.25">
      <c r="A75" t="s">
        <v>123</v>
      </c>
      <c r="B75" t="s">
        <v>577</v>
      </c>
      <c r="C75" t="s">
        <v>2458</v>
      </c>
      <c r="D75">
        <v>2</v>
      </c>
    </row>
    <row r="76" spans="1:4" x14ac:dyDescent="0.25">
      <c r="A76" t="s">
        <v>123</v>
      </c>
      <c r="B76" t="s">
        <v>414</v>
      </c>
      <c r="C76" t="s">
        <v>659</v>
      </c>
      <c r="D76">
        <v>0</v>
      </c>
    </row>
    <row r="77" spans="1:4" x14ac:dyDescent="0.25">
      <c r="A77" t="s">
        <v>123</v>
      </c>
      <c r="B77" t="s">
        <v>1422</v>
      </c>
      <c r="C77" t="s">
        <v>660</v>
      </c>
      <c r="D77">
        <v>1</v>
      </c>
    </row>
    <row r="78" spans="1:4" x14ac:dyDescent="0.25">
      <c r="A78" t="s">
        <v>123</v>
      </c>
      <c r="B78" t="s">
        <v>1422</v>
      </c>
      <c r="C78" t="s">
        <v>1963</v>
      </c>
      <c r="D78">
        <v>2</v>
      </c>
    </row>
    <row r="79" spans="1:4" x14ac:dyDescent="0.25">
      <c r="A79" t="s">
        <v>123</v>
      </c>
      <c r="B79" t="s">
        <v>118</v>
      </c>
      <c r="C79" t="s">
        <v>2459</v>
      </c>
      <c r="D79">
        <v>5</v>
      </c>
    </row>
    <row r="80" spans="1:4" x14ac:dyDescent="0.25">
      <c r="A80" t="s">
        <v>123</v>
      </c>
      <c r="B80" t="s">
        <v>675</v>
      </c>
      <c r="C80" t="s">
        <v>666</v>
      </c>
      <c r="D80">
        <v>3</v>
      </c>
    </row>
    <row r="81" spans="1:4" x14ac:dyDescent="0.25">
      <c r="A81" t="s">
        <v>123</v>
      </c>
      <c r="B81" t="s">
        <v>202</v>
      </c>
      <c r="C81" t="s">
        <v>1850</v>
      </c>
      <c r="D81">
        <v>4</v>
      </c>
    </row>
    <row r="82" spans="1:4" x14ac:dyDescent="0.25">
      <c r="A82" t="s">
        <v>123</v>
      </c>
      <c r="B82" t="s">
        <v>202</v>
      </c>
      <c r="C82" t="s">
        <v>3203</v>
      </c>
      <c r="D82">
        <v>5</v>
      </c>
    </row>
    <row r="83" spans="1:4" x14ac:dyDescent="0.25">
      <c r="A83" t="s">
        <v>123</v>
      </c>
      <c r="B83" t="s">
        <v>483</v>
      </c>
      <c r="C83" t="s">
        <v>3204</v>
      </c>
      <c r="D83">
        <v>6</v>
      </c>
    </row>
    <row r="84" spans="1:4" x14ac:dyDescent="0.25">
      <c r="A84" t="s">
        <v>123</v>
      </c>
      <c r="B84" t="s">
        <v>483</v>
      </c>
      <c r="C84" t="s">
        <v>1852</v>
      </c>
      <c r="D84">
        <v>7</v>
      </c>
    </row>
    <row r="85" spans="1:4" x14ac:dyDescent="0.25">
      <c r="A85" t="s">
        <v>123</v>
      </c>
      <c r="B85" t="s">
        <v>902</v>
      </c>
      <c r="C85" t="s">
        <v>773</v>
      </c>
      <c r="D85">
        <v>5</v>
      </c>
    </row>
    <row r="86" spans="1:4" x14ac:dyDescent="0.25">
      <c r="A86" t="s">
        <v>123</v>
      </c>
      <c r="B86" t="s">
        <v>930</v>
      </c>
      <c r="C86" t="s">
        <v>774</v>
      </c>
      <c r="D86">
        <v>6</v>
      </c>
    </row>
    <row r="87" spans="1:4" x14ac:dyDescent="0.25">
      <c r="A87" t="s">
        <v>123</v>
      </c>
      <c r="B87" t="s">
        <v>930</v>
      </c>
      <c r="C87" t="s">
        <v>3205</v>
      </c>
      <c r="D87">
        <v>7</v>
      </c>
    </row>
    <row r="88" spans="1:4" x14ac:dyDescent="0.25">
      <c r="A88" t="s">
        <v>123</v>
      </c>
      <c r="B88" t="s">
        <v>1162</v>
      </c>
      <c r="C88" t="s">
        <v>1624</v>
      </c>
      <c r="D88">
        <v>8</v>
      </c>
    </row>
    <row r="89" spans="1:4" x14ac:dyDescent="0.25">
      <c r="A89" t="s">
        <v>123</v>
      </c>
      <c r="B89" t="s">
        <v>1162</v>
      </c>
      <c r="C89" t="s">
        <v>2461</v>
      </c>
      <c r="D89">
        <v>9</v>
      </c>
    </row>
    <row r="91" spans="1:4" x14ac:dyDescent="0.25">
      <c r="A91" s="2" t="s">
        <v>157</v>
      </c>
    </row>
    <row r="92" spans="1:4" x14ac:dyDescent="0.25">
      <c r="A92" t="s">
        <v>158</v>
      </c>
      <c r="D92">
        <f>AVERAGE(D2:D89)</f>
        <v>5.9772727272727275</v>
      </c>
    </row>
    <row r="93" spans="1:4" x14ac:dyDescent="0.25">
      <c r="A93" t="s">
        <v>159</v>
      </c>
      <c r="D93">
        <f>MAX(D2:D89)</f>
        <v>14</v>
      </c>
    </row>
    <row r="94" spans="1:4" x14ac:dyDescent="0.25">
      <c r="A94" t="s">
        <v>160</v>
      </c>
      <c r="D94">
        <f>MIN(D2:D89)</f>
        <v>-5</v>
      </c>
    </row>
    <row r="95" spans="1:4" x14ac:dyDescent="0.25">
      <c r="A95" t="s">
        <v>161</v>
      </c>
      <c r="D95">
        <f>COUNTIF(D2:D89,"&gt;0")</f>
        <v>75</v>
      </c>
    </row>
    <row r="96" spans="1:4" x14ac:dyDescent="0.25">
      <c r="A96" t="s">
        <v>162</v>
      </c>
      <c r="D96">
        <f>COUNTIF(D2:D89,"=0")</f>
        <v>6</v>
      </c>
    </row>
    <row r="97" spans="1:4" x14ac:dyDescent="0.25">
      <c r="A97" t="s">
        <v>1491</v>
      </c>
      <c r="D97">
        <f>COUNTIF(D2:D89,"&lt;0")</f>
        <v>7</v>
      </c>
    </row>
    <row r="99" spans="1:4" x14ac:dyDescent="0.25">
      <c r="A99" s="2" t="s">
        <v>164</v>
      </c>
    </row>
    <row r="100" spans="1:4" x14ac:dyDescent="0.25">
      <c r="A100" t="s">
        <v>165</v>
      </c>
      <c r="D100">
        <f>AVERAGE(D2,D3,D4,D5,D6,D7,D8,D9,D10,D11,D12,D13,D14,D15,D16,D17,D18,D19,D20,D21,D22,D23)</f>
        <v>4.1818181818181817</v>
      </c>
    </row>
    <row r="101" spans="1:4" x14ac:dyDescent="0.25">
      <c r="A101" t="s">
        <v>166</v>
      </c>
      <c r="D101">
        <f>AVERAGE(D24,D25,D26,D27,D28,D29,D30,D31,D32,D33,D34,D35,D36,D37,D38,D39,D40,D41)</f>
        <v>10.944444444444445</v>
      </c>
    </row>
    <row r="102" spans="1:4" x14ac:dyDescent="0.25">
      <c r="A102" t="s">
        <v>167</v>
      </c>
      <c r="D102">
        <f>AVERAGE(D42,D43,D44,D45,D46,D47,D48,D49,D50,D51,D52,D53,D54,D55,D56,D57,D58,D59,D60,D61,D62,D63)</f>
        <v>8.4090909090909083</v>
      </c>
    </row>
    <row r="103" spans="1:4" x14ac:dyDescent="0.25">
      <c r="A103" t="s">
        <v>168</v>
      </c>
      <c r="D103">
        <f>AVERAGE(D64,D65,D66,D67,D68,D69,D70,D71,D72,D73,D74,D75,D76,D77,D78,D79,D80,D81,D82,D83,D84,D85,D86,D87,D88,D89)</f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1541</v>
      </c>
      <c r="C2" t="s">
        <v>1008</v>
      </c>
      <c r="D2">
        <v>-3</v>
      </c>
    </row>
    <row r="3" spans="1:4" x14ac:dyDescent="0.25">
      <c r="A3" t="s">
        <v>4</v>
      </c>
      <c r="B3" t="s">
        <v>2052</v>
      </c>
      <c r="C3" t="s">
        <v>1191</v>
      </c>
      <c r="D3">
        <v>0</v>
      </c>
    </row>
    <row r="4" spans="1:4" x14ac:dyDescent="0.25">
      <c r="A4" t="s">
        <v>4</v>
      </c>
      <c r="B4" t="s">
        <v>689</v>
      </c>
      <c r="C4" t="s">
        <v>1494</v>
      </c>
      <c r="D4">
        <v>-3</v>
      </c>
    </row>
    <row r="5" spans="1:4" x14ac:dyDescent="0.25">
      <c r="A5" t="s">
        <v>4</v>
      </c>
      <c r="B5" t="s">
        <v>724</v>
      </c>
      <c r="C5" t="s">
        <v>2046</v>
      </c>
      <c r="D5">
        <v>0</v>
      </c>
    </row>
    <row r="6" spans="1:4" x14ac:dyDescent="0.25">
      <c r="A6" t="s">
        <v>4</v>
      </c>
      <c r="B6" t="s">
        <v>779</v>
      </c>
      <c r="C6" t="s">
        <v>18</v>
      </c>
      <c r="D6">
        <v>-2</v>
      </c>
    </row>
    <row r="7" spans="1:4" x14ac:dyDescent="0.25">
      <c r="A7" t="s">
        <v>4</v>
      </c>
      <c r="B7" t="s">
        <v>1065</v>
      </c>
      <c r="C7" t="s">
        <v>20</v>
      </c>
      <c r="D7">
        <v>0</v>
      </c>
    </row>
    <row r="8" spans="1:4" x14ac:dyDescent="0.25">
      <c r="A8" t="s">
        <v>4</v>
      </c>
      <c r="B8" t="s">
        <v>2266</v>
      </c>
      <c r="C8" t="s">
        <v>22</v>
      </c>
      <c r="D8">
        <v>2</v>
      </c>
    </row>
    <row r="9" spans="1:4" x14ac:dyDescent="0.25">
      <c r="A9" t="s">
        <v>4</v>
      </c>
      <c r="B9" t="s">
        <v>99</v>
      </c>
      <c r="C9" t="s">
        <v>785</v>
      </c>
      <c r="D9">
        <v>5</v>
      </c>
    </row>
    <row r="10" spans="1:4" x14ac:dyDescent="0.25">
      <c r="A10" t="s">
        <v>4</v>
      </c>
      <c r="B10" t="s">
        <v>1090</v>
      </c>
      <c r="C10" t="s">
        <v>786</v>
      </c>
      <c r="D10">
        <v>7</v>
      </c>
    </row>
    <row r="11" spans="1:4" x14ac:dyDescent="0.25">
      <c r="A11" t="s">
        <v>4</v>
      </c>
      <c r="B11" t="s">
        <v>1231</v>
      </c>
      <c r="C11" t="s">
        <v>1355</v>
      </c>
      <c r="D11">
        <v>6</v>
      </c>
    </row>
    <row r="12" spans="1:4" x14ac:dyDescent="0.25">
      <c r="A12" t="s">
        <v>4</v>
      </c>
      <c r="B12" t="s">
        <v>1231</v>
      </c>
      <c r="C12" t="s">
        <v>1111</v>
      </c>
      <c r="D12">
        <v>5</v>
      </c>
    </row>
    <row r="13" spans="1:4" x14ac:dyDescent="0.25">
      <c r="A13" t="s">
        <v>4</v>
      </c>
      <c r="B13" t="s">
        <v>1231</v>
      </c>
      <c r="C13" t="s">
        <v>2537</v>
      </c>
      <c r="D13">
        <v>4</v>
      </c>
    </row>
    <row r="14" spans="1:4" x14ac:dyDescent="0.25">
      <c r="A14" t="s">
        <v>4</v>
      </c>
      <c r="B14" t="s">
        <v>1092</v>
      </c>
      <c r="C14" t="s">
        <v>1114</v>
      </c>
      <c r="D14">
        <v>2</v>
      </c>
    </row>
    <row r="15" spans="1:4" x14ac:dyDescent="0.25">
      <c r="A15" t="s">
        <v>4</v>
      </c>
      <c r="B15" t="s">
        <v>286</v>
      </c>
      <c r="C15" t="s">
        <v>1578</v>
      </c>
      <c r="D15">
        <v>4</v>
      </c>
    </row>
    <row r="16" spans="1:4" x14ac:dyDescent="0.25">
      <c r="A16" t="s">
        <v>4</v>
      </c>
      <c r="B16" t="s">
        <v>1217</v>
      </c>
      <c r="C16" t="s">
        <v>707</v>
      </c>
      <c r="D16">
        <v>1</v>
      </c>
    </row>
    <row r="17" spans="1:4" x14ac:dyDescent="0.25">
      <c r="A17" t="s">
        <v>4</v>
      </c>
      <c r="B17" t="s">
        <v>1940</v>
      </c>
      <c r="C17" t="s">
        <v>39</v>
      </c>
      <c r="D17">
        <v>-1</v>
      </c>
    </row>
    <row r="18" spans="1:4" x14ac:dyDescent="0.25">
      <c r="A18" t="s">
        <v>4</v>
      </c>
      <c r="B18" t="s">
        <v>732</v>
      </c>
      <c r="C18" t="s">
        <v>1821</v>
      </c>
      <c r="D18">
        <v>-2</v>
      </c>
    </row>
    <row r="19" spans="1:4" x14ac:dyDescent="0.25">
      <c r="A19" t="s">
        <v>4</v>
      </c>
      <c r="B19" t="s">
        <v>732</v>
      </c>
      <c r="C19" t="s">
        <v>1507</v>
      </c>
      <c r="D19">
        <v>-3</v>
      </c>
    </row>
    <row r="20" spans="1:4" x14ac:dyDescent="0.25">
      <c r="A20" t="s">
        <v>4</v>
      </c>
      <c r="B20" t="s">
        <v>1845</v>
      </c>
      <c r="C20" t="s">
        <v>42</v>
      </c>
      <c r="D20">
        <v>-4</v>
      </c>
    </row>
    <row r="21" spans="1:4" x14ac:dyDescent="0.25">
      <c r="A21" t="s">
        <v>4</v>
      </c>
      <c r="B21" t="s">
        <v>1845</v>
      </c>
      <c r="C21" t="s">
        <v>2205</v>
      </c>
      <c r="D21">
        <v>-5</v>
      </c>
    </row>
    <row r="22" spans="1:4" x14ac:dyDescent="0.25">
      <c r="A22" t="s">
        <v>40</v>
      </c>
      <c r="B22" t="s">
        <v>239</v>
      </c>
      <c r="C22" t="s">
        <v>3206</v>
      </c>
      <c r="D22">
        <v>-7</v>
      </c>
    </row>
    <row r="23" spans="1:4" x14ac:dyDescent="0.25">
      <c r="A23" t="s">
        <v>40</v>
      </c>
      <c r="B23" t="s">
        <v>511</v>
      </c>
      <c r="C23" t="s">
        <v>2404</v>
      </c>
      <c r="D23">
        <v>-6</v>
      </c>
    </row>
    <row r="24" spans="1:4" x14ac:dyDescent="0.25">
      <c r="A24" t="s">
        <v>40</v>
      </c>
      <c r="B24" t="s">
        <v>511</v>
      </c>
      <c r="C24" t="s">
        <v>46</v>
      </c>
      <c r="D24">
        <v>-5</v>
      </c>
    </row>
    <row r="25" spans="1:4" x14ac:dyDescent="0.25">
      <c r="A25" t="s">
        <v>40</v>
      </c>
      <c r="B25" t="s">
        <v>693</v>
      </c>
      <c r="C25" t="s">
        <v>48</v>
      </c>
      <c r="D25">
        <v>-3</v>
      </c>
    </row>
    <row r="26" spans="1:4" x14ac:dyDescent="0.25">
      <c r="A26" t="s">
        <v>40</v>
      </c>
      <c r="B26" t="s">
        <v>641</v>
      </c>
      <c r="C26" t="s">
        <v>2780</v>
      </c>
      <c r="D26">
        <v>0</v>
      </c>
    </row>
    <row r="27" spans="1:4" x14ac:dyDescent="0.25">
      <c r="A27" t="s">
        <v>40</v>
      </c>
      <c r="B27" t="s">
        <v>460</v>
      </c>
      <c r="C27" t="s">
        <v>2703</v>
      </c>
      <c r="D27">
        <v>1</v>
      </c>
    </row>
    <row r="28" spans="1:4" x14ac:dyDescent="0.25">
      <c r="A28" t="s">
        <v>40</v>
      </c>
      <c r="B28" t="s">
        <v>625</v>
      </c>
      <c r="C28" t="s">
        <v>929</v>
      </c>
      <c r="D28">
        <v>3</v>
      </c>
    </row>
    <row r="29" spans="1:4" x14ac:dyDescent="0.25">
      <c r="A29" t="s">
        <v>40</v>
      </c>
      <c r="B29" t="s">
        <v>802</v>
      </c>
      <c r="C29" t="s">
        <v>3207</v>
      </c>
      <c r="D29">
        <v>0</v>
      </c>
    </row>
    <row r="30" spans="1:4" x14ac:dyDescent="0.25">
      <c r="A30" t="s">
        <v>40</v>
      </c>
      <c r="B30" t="s">
        <v>594</v>
      </c>
      <c r="C30" t="s">
        <v>2359</v>
      </c>
      <c r="D30">
        <v>2</v>
      </c>
    </row>
    <row r="31" spans="1:4" x14ac:dyDescent="0.25">
      <c r="A31" t="s">
        <v>40</v>
      </c>
      <c r="B31" t="s">
        <v>188</v>
      </c>
      <c r="C31" t="s">
        <v>2360</v>
      </c>
      <c r="D31">
        <v>4</v>
      </c>
    </row>
    <row r="32" spans="1:4" x14ac:dyDescent="0.25">
      <c r="A32" t="s">
        <v>40</v>
      </c>
      <c r="B32" t="s">
        <v>23</v>
      </c>
      <c r="C32" t="s">
        <v>936</v>
      </c>
      <c r="D32">
        <v>2</v>
      </c>
    </row>
    <row r="33" spans="1:4" x14ac:dyDescent="0.25">
      <c r="A33" t="s">
        <v>40</v>
      </c>
      <c r="B33" t="s">
        <v>577</v>
      </c>
      <c r="C33" t="s">
        <v>938</v>
      </c>
      <c r="D33">
        <v>4</v>
      </c>
    </row>
    <row r="34" spans="1:4" x14ac:dyDescent="0.25">
      <c r="A34" t="s">
        <v>40</v>
      </c>
      <c r="B34" t="s">
        <v>546</v>
      </c>
      <c r="C34" t="s">
        <v>347</v>
      </c>
      <c r="D34">
        <v>2</v>
      </c>
    </row>
    <row r="35" spans="1:4" x14ac:dyDescent="0.25">
      <c r="A35" t="s">
        <v>40</v>
      </c>
      <c r="B35" t="s">
        <v>1339</v>
      </c>
      <c r="C35" t="s">
        <v>349</v>
      </c>
      <c r="D35">
        <v>3</v>
      </c>
    </row>
    <row r="36" spans="1:4" x14ac:dyDescent="0.25">
      <c r="A36" t="s">
        <v>40</v>
      </c>
      <c r="B36" t="s">
        <v>1339</v>
      </c>
      <c r="C36" t="s">
        <v>727</v>
      </c>
      <c r="D36">
        <v>4</v>
      </c>
    </row>
    <row r="37" spans="1:4" x14ac:dyDescent="0.25">
      <c r="A37" t="s">
        <v>40</v>
      </c>
      <c r="B37" t="s">
        <v>996</v>
      </c>
      <c r="C37" t="s">
        <v>2267</v>
      </c>
      <c r="D37">
        <v>3</v>
      </c>
    </row>
    <row r="38" spans="1:4" x14ac:dyDescent="0.25">
      <c r="A38" t="s">
        <v>40</v>
      </c>
      <c r="B38" t="s">
        <v>996</v>
      </c>
      <c r="C38" t="s">
        <v>728</v>
      </c>
      <c r="D38">
        <v>2</v>
      </c>
    </row>
    <row r="39" spans="1:4" x14ac:dyDescent="0.25">
      <c r="A39" t="s">
        <v>40</v>
      </c>
      <c r="B39" t="s">
        <v>554</v>
      </c>
      <c r="C39" t="s">
        <v>1216</v>
      </c>
      <c r="D39">
        <v>4</v>
      </c>
    </row>
    <row r="40" spans="1:4" x14ac:dyDescent="0.25">
      <c r="A40" t="s">
        <v>40</v>
      </c>
      <c r="B40" t="s">
        <v>1809</v>
      </c>
      <c r="C40" t="s">
        <v>2486</v>
      </c>
      <c r="D40">
        <v>1</v>
      </c>
    </row>
    <row r="41" spans="1:4" x14ac:dyDescent="0.25">
      <c r="A41" t="s">
        <v>40</v>
      </c>
      <c r="B41" t="s">
        <v>1733</v>
      </c>
      <c r="C41" t="s">
        <v>2269</v>
      </c>
      <c r="D41">
        <v>4</v>
      </c>
    </row>
    <row r="42" spans="1:4" x14ac:dyDescent="0.25">
      <c r="A42" t="s">
        <v>40</v>
      </c>
      <c r="B42" t="s">
        <v>78</v>
      </c>
      <c r="C42" t="s">
        <v>1672</v>
      </c>
      <c r="D42">
        <v>7</v>
      </c>
    </row>
    <row r="43" spans="1:4" x14ac:dyDescent="0.25">
      <c r="A43" t="s">
        <v>80</v>
      </c>
      <c r="B43" t="s">
        <v>1704</v>
      </c>
      <c r="C43" t="s">
        <v>2305</v>
      </c>
      <c r="D43">
        <v>5</v>
      </c>
    </row>
    <row r="44" spans="1:4" x14ac:dyDescent="0.25">
      <c r="A44" t="s">
        <v>80</v>
      </c>
      <c r="B44" t="s">
        <v>49</v>
      </c>
      <c r="C44" t="s">
        <v>3208</v>
      </c>
      <c r="D44">
        <v>7</v>
      </c>
    </row>
    <row r="45" spans="1:4" x14ac:dyDescent="0.25">
      <c r="A45" t="s">
        <v>80</v>
      </c>
      <c r="B45" t="s">
        <v>912</v>
      </c>
      <c r="C45" t="s">
        <v>1674</v>
      </c>
      <c r="D45">
        <v>8</v>
      </c>
    </row>
    <row r="46" spans="1:4" x14ac:dyDescent="0.25">
      <c r="A46" t="s">
        <v>80</v>
      </c>
      <c r="B46" t="s">
        <v>937</v>
      </c>
      <c r="C46" t="s">
        <v>1145</v>
      </c>
      <c r="D46">
        <v>9</v>
      </c>
    </row>
    <row r="47" spans="1:4" x14ac:dyDescent="0.25">
      <c r="A47" t="s">
        <v>80</v>
      </c>
      <c r="B47" t="s">
        <v>937</v>
      </c>
      <c r="C47" t="s">
        <v>1676</v>
      </c>
      <c r="D47">
        <v>10</v>
      </c>
    </row>
    <row r="48" spans="1:4" x14ac:dyDescent="0.25">
      <c r="A48" t="s">
        <v>80</v>
      </c>
      <c r="B48" t="s">
        <v>1498</v>
      </c>
      <c r="C48" t="s">
        <v>3016</v>
      </c>
      <c r="D48">
        <v>12</v>
      </c>
    </row>
    <row r="49" spans="1:4" x14ac:dyDescent="0.25">
      <c r="A49" t="s">
        <v>80</v>
      </c>
      <c r="B49" t="s">
        <v>17</v>
      </c>
      <c r="C49" t="s">
        <v>1947</v>
      </c>
      <c r="D49">
        <v>14</v>
      </c>
    </row>
    <row r="50" spans="1:4" x14ac:dyDescent="0.25">
      <c r="A50" t="s">
        <v>80</v>
      </c>
      <c r="B50" t="s">
        <v>60</v>
      </c>
      <c r="C50" t="s">
        <v>3209</v>
      </c>
      <c r="D50">
        <v>12</v>
      </c>
    </row>
    <row r="51" spans="1:4" x14ac:dyDescent="0.25">
      <c r="A51" t="s">
        <v>80</v>
      </c>
      <c r="B51" t="s">
        <v>2311</v>
      </c>
      <c r="C51" t="s">
        <v>1150</v>
      </c>
      <c r="D51">
        <v>14</v>
      </c>
    </row>
    <row r="52" spans="1:4" x14ac:dyDescent="0.25">
      <c r="A52" t="s">
        <v>80</v>
      </c>
      <c r="B52" t="s">
        <v>2311</v>
      </c>
      <c r="C52" t="s">
        <v>2665</v>
      </c>
      <c r="D52">
        <v>15</v>
      </c>
    </row>
    <row r="53" spans="1:4" x14ac:dyDescent="0.25">
      <c r="A53" t="s">
        <v>80</v>
      </c>
      <c r="B53" t="s">
        <v>104</v>
      </c>
      <c r="C53" t="s">
        <v>2822</v>
      </c>
      <c r="D53">
        <v>17</v>
      </c>
    </row>
    <row r="54" spans="1:4" x14ac:dyDescent="0.25">
      <c r="A54" t="s">
        <v>80</v>
      </c>
      <c r="B54" t="s">
        <v>749</v>
      </c>
      <c r="C54" t="s">
        <v>960</v>
      </c>
      <c r="D54">
        <v>20</v>
      </c>
    </row>
    <row r="55" spans="1:4" x14ac:dyDescent="0.25">
      <c r="A55" t="s">
        <v>80</v>
      </c>
      <c r="B55" t="s">
        <v>1402</v>
      </c>
      <c r="C55" t="s">
        <v>3210</v>
      </c>
      <c r="D55">
        <v>22</v>
      </c>
    </row>
    <row r="56" spans="1:4" x14ac:dyDescent="0.25">
      <c r="A56" t="s">
        <v>80</v>
      </c>
      <c r="B56" t="s">
        <v>900</v>
      </c>
      <c r="C56" t="s">
        <v>3211</v>
      </c>
      <c r="D56">
        <v>24</v>
      </c>
    </row>
    <row r="57" spans="1:4" x14ac:dyDescent="0.25">
      <c r="A57" t="s">
        <v>80</v>
      </c>
      <c r="B57" t="s">
        <v>508</v>
      </c>
      <c r="C57" t="s">
        <v>3212</v>
      </c>
      <c r="D57">
        <v>26</v>
      </c>
    </row>
    <row r="58" spans="1:4" x14ac:dyDescent="0.25">
      <c r="A58" t="s">
        <v>123</v>
      </c>
      <c r="B58" t="s">
        <v>2570</v>
      </c>
      <c r="C58" t="s">
        <v>3213</v>
      </c>
      <c r="D58">
        <v>28</v>
      </c>
    </row>
    <row r="59" spans="1:4" x14ac:dyDescent="0.25">
      <c r="A59" t="s">
        <v>123</v>
      </c>
      <c r="B59" t="s">
        <v>172</v>
      </c>
      <c r="C59" t="s">
        <v>1399</v>
      </c>
      <c r="D59">
        <v>29</v>
      </c>
    </row>
    <row r="60" spans="1:4" x14ac:dyDescent="0.25">
      <c r="A60" t="s">
        <v>123</v>
      </c>
      <c r="B60" t="s">
        <v>514</v>
      </c>
      <c r="C60" t="s">
        <v>3214</v>
      </c>
      <c r="D60">
        <v>31</v>
      </c>
    </row>
    <row r="61" spans="1:4" x14ac:dyDescent="0.25">
      <c r="A61" t="s">
        <v>123</v>
      </c>
      <c r="B61" t="s">
        <v>832</v>
      </c>
      <c r="C61" t="s">
        <v>3215</v>
      </c>
      <c r="D61">
        <v>28</v>
      </c>
    </row>
    <row r="62" spans="1:4" x14ac:dyDescent="0.25">
      <c r="A62" t="s">
        <v>123</v>
      </c>
      <c r="B62" t="s">
        <v>1498</v>
      </c>
      <c r="C62" t="s">
        <v>3216</v>
      </c>
      <c r="D62">
        <v>30</v>
      </c>
    </row>
    <row r="63" spans="1:4" x14ac:dyDescent="0.25">
      <c r="A63" t="s">
        <v>123</v>
      </c>
      <c r="B63" t="s">
        <v>1170</v>
      </c>
      <c r="C63" t="s">
        <v>1405</v>
      </c>
      <c r="D63">
        <v>33</v>
      </c>
    </row>
    <row r="64" spans="1:4" x14ac:dyDescent="0.25">
      <c r="A64" t="s">
        <v>123</v>
      </c>
      <c r="B64" t="s">
        <v>598</v>
      </c>
      <c r="C64" t="s">
        <v>2020</v>
      </c>
      <c r="D64">
        <v>31</v>
      </c>
    </row>
    <row r="65" spans="1:4" x14ac:dyDescent="0.25">
      <c r="A65" t="s">
        <v>123</v>
      </c>
      <c r="B65" t="s">
        <v>315</v>
      </c>
      <c r="C65" t="s">
        <v>3217</v>
      </c>
      <c r="D65">
        <v>34</v>
      </c>
    </row>
    <row r="66" spans="1:4" x14ac:dyDescent="0.25">
      <c r="A66" t="s">
        <v>123</v>
      </c>
      <c r="B66" t="s">
        <v>469</v>
      </c>
      <c r="C66" t="s">
        <v>3218</v>
      </c>
      <c r="D66">
        <v>35</v>
      </c>
    </row>
    <row r="67" spans="1:4" x14ac:dyDescent="0.25">
      <c r="A67" t="s">
        <v>123</v>
      </c>
      <c r="B67" t="s">
        <v>469</v>
      </c>
      <c r="C67" t="s">
        <v>3219</v>
      </c>
      <c r="D67">
        <v>36</v>
      </c>
    </row>
    <row r="68" spans="1:4" x14ac:dyDescent="0.25">
      <c r="A68" t="s">
        <v>123</v>
      </c>
      <c r="B68" t="s">
        <v>1739</v>
      </c>
      <c r="C68" t="s">
        <v>3220</v>
      </c>
      <c r="D68">
        <v>35</v>
      </c>
    </row>
    <row r="69" spans="1:4" x14ac:dyDescent="0.25">
      <c r="A69" t="s">
        <v>123</v>
      </c>
      <c r="B69" t="s">
        <v>1076</v>
      </c>
      <c r="C69" t="s">
        <v>1328</v>
      </c>
      <c r="D69">
        <v>36</v>
      </c>
    </row>
    <row r="70" spans="1:4" x14ac:dyDescent="0.25">
      <c r="A70" t="s">
        <v>123</v>
      </c>
      <c r="B70" t="s">
        <v>898</v>
      </c>
      <c r="C70" t="s">
        <v>3221</v>
      </c>
      <c r="D70">
        <v>38</v>
      </c>
    </row>
    <row r="71" spans="1:4" x14ac:dyDescent="0.25">
      <c r="A71" t="s">
        <v>123</v>
      </c>
      <c r="B71" t="s">
        <v>392</v>
      </c>
      <c r="C71" t="s">
        <v>3222</v>
      </c>
      <c r="D71">
        <v>36</v>
      </c>
    </row>
    <row r="72" spans="1:4" x14ac:dyDescent="0.25">
      <c r="A72" t="s">
        <v>123</v>
      </c>
      <c r="B72" t="s">
        <v>392</v>
      </c>
      <c r="C72" t="s">
        <v>3223</v>
      </c>
      <c r="D72">
        <v>35</v>
      </c>
    </row>
    <row r="73" spans="1:4" x14ac:dyDescent="0.25">
      <c r="A73" t="s">
        <v>123</v>
      </c>
      <c r="B73" t="s">
        <v>2608</v>
      </c>
      <c r="C73" t="s">
        <v>3224</v>
      </c>
      <c r="D73">
        <v>33</v>
      </c>
    </row>
    <row r="74" spans="1:4" x14ac:dyDescent="0.25">
      <c r="A74" t="s">
        <v>123</v>
      </c>
      <c r="B74" t="s">
        <v>298</v>
      </c>
      <c r="C74" t="s">
        <v>3225</v>
      </c>
      <c r="D74">
        <v>31</v>
      </c>
    </row>
    <row r="75" spans="1:4" x14ac:dyDescent="0.25">
      <c r="A75" t="s">
        <v>123</v>
      </c>
      <c r="B75" t="s">
        <v>1002</v>
      </c>
      <c r="C75" t="s">
        <v>3226</v>
      </c>
      <c r="D75">
        <v>29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11.364864864864865</v>
      </c>
    </row>
    <row r="79" spans="1:4" x14ac:dyDescent="0.25">
      <c r="A79" t="s">
        <v>159</v>
      </c>
      <c r="D79">
        <f>MAX(D2:D75)</f>
        <v>38</v>
      </c>
    </row>
    <row r="80" spans="1:4" x14ac:dyDescent="0.25">
      <c r="A80" t="s">
        <v>160</v>
      </c>
      <c r="D80">
        <f>MIN(D2:D75)</f>
        <v>-7</v>
      </c>
    </row>
    <row r="81" spans="1:4" x14ac:dyDescent="0.25">
      <c r="A81" t="s">
        <v>161</v>
      </c>
      <c r="D81">
        <f>COUNTIF(D2:D75,"&gt;0")</f>
        <v>57</v>
      </c>
    </row>
    <row r="82" spans="1:4" x14ac:dyDescent="0.25">
      <c r="A82" t="s">
        <v>162</v>
      </c>
      <c r="D82">
        <f>COUNTIF(D2:D75,"=0")</f>
        <v>5</v>
      </c>
    </row>
    <row r="83" spans="1:4" x14ac:dyDescent="0.25">
      <c r="A83" t="s">
        <v>687</v>
      </c>
      <c r="D83">
        <f>COUNTIF(D2:D75,"&lt;0")</f>
        <v>12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AVERAGE(D2,D3,D4,D5,D6,D7,D8,D9,D10,D11,D12,D13,D14,D15,D16,D17,D18,D19,D20,D21)</f>
        <v>0.65</v>
      </c>
    </row>
    <row r="87" spans="1:4" x14ac:dyDescent="0.25">
      <c r="A87" t="s">
        <v>166</v>
      </c>
      <c r="D87">
        <f>AVERAGE(D22,D23,D24,D25,D26,D27,D28,D29,D30,D31,D32,D33,D34,D35,D36,D37,D38,D39,D40,D41,D42)</f>
        <v>1.1904761904761905</v>
      </c>
    </row>
    <row r="88" spans="1:4" x14ac:dyDescent="0.25">
      <c r="A88" t="s">
        <v>167</v>
      </c>
      <c r="D88">
        <f>AVERAGE(D43,D44,D45,D46,D47,D48,D49,D50,D51,D52,D53,D54,D55,D56,D57)</f>
        <v>14.333333333333334</v>
      </c>
    </row>
    <row r="89" spans="1:4" x14ac:dyDescent="0.25">
      <c r="A89" t="s">
        <v>168</v>
      </c>
      <c r="D89">
        <f>AVERAGE(D58,D59,D60,D61,D62,D63,D64,D65,D66,D67,D68,D69,D70,D71,D72,D73,D74,D75)</f>
        <v>32.666666666666664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41</v>
      </c>
      <c r="C2" t="s">
        <v>6</v>
      </c>
      <c r="D2">
        <v>2</v>
      </c>
    </row>
    <row r="3" spans="1:4" x14ac:dyDescent="0.25">
      <c r="A3" t="s">
        <v>4</v>
      </c>
      <c r="B3" t="s">
        <v>1430</v>
      </c>
      <c r="C3" t="s">
        <v>306</v>
      </c>
      <c r="D3">
        <v>-1</v>
      </c>
    </row>
    <row r="4" spans="1:4" x14ac:dyDescent="0.25">
      <c r="A4" t="s">
        <v>4</v>
      </c>
      <c r="B4" t="s">
        <v>1116</v>
      </c>
      <c r="C4" t="s">
        <v>1191</v>
      </c>
      <c r="D4">
        <v>0</v>
      </c>
    </row>
    <row r="5" spans="1:4" x14ac:dyDescent="0.25">
      <c r="A5" t="s">
        <v>4</v>
      </c>
      <c r="B5" t="s">
        <v>175</v>
      </c>
      <c r="C5" t="s">
        <v>910</v>
      </c>
      <c r="D5">
        <v>-2</v>
      </c>
    </row>
    <row r="6" spans="1:4" x14ac:dyDescent="0.25">
      <c r="A6" t="s">
        <v>4</v>
      </c>
      <c r="B6" t="s">
        <v>1771</v>
      </c>
      <c r="C6" t="s">
        <v>2430</v>
      </c>
      <c r="D6">
        <v>0</v>
      </c>
    </row>
    <row r="7" spans="1:4" x14ac:dyDescent="0.25">
      <c r="A7" t="s">
        <v>4</v>
      </c>
      <c r="B7" t="s">
        <v>213</v>
      </c>
      <c r="C7" t="s">
        <v>432</v>
      </c>
      <c r="D7">
        <v>2</v>
      </c>
    </row>
    <row r="8" spans="1:4" x14ac:dyDescent="0.25">
      <c r="A8" t="s">
        <v>4</v>
      </c>
      <c r="B8" t="s">
        <v>254</v>
      </c>
      <c r="C8" t="s">
        <v>695</v>
      </c>
      <c r="D8">
        <v>3</v>
      </c>
    </row>
    <row r="9" spans="1:4" x14ac:dyDescent="0.25">
      <c r="A9" t="s">
        <v>4</v>
      </c>
      <c r="B9" t="s">
        <v>1069</v>
      </c>
      <c r="C9" t="s">
        <v>1974</v>
      </c>
      <c r="D9">
        <v>5</v>
      </c>
    </row>
    <row r="10" spans="1:4" x14ac:dyDescent="0.25">
      <c r="A10" t="s">
        <v>4</v>
      </c>
      <c r="B10" t="s">
        <v>370</v>
      </c>
      <c r="C10" t="s">
        <v>783</v>
      </c>
      <c r="D10">
        <v>7</v>
      </c>
    </row>
    <row r="11" spans="1:4" x14ac:dyDescent="0.25">
      <c r="A11" t="s">
        <v>4</v>
      </c>
      <c r="B11" t="s">
        <v>1090</v>
      </c>
      <c r="C11" t="s">
        <v>1271</v>
      </c>
      <c r="D11">
        <v>8</v>
      </c>
    </row>
    <row r="12" spans="1:4" x14ac:dyDescent="0.25">
      <c r="A12" t="s">
        <v>4</v>
      </c>
      <c r="B12" t="s">
        <v>1090</v>
      </c>
      <c r="C12" t="s">
        <v>1195</v>
      </c>
      <c r="D12">
        <v>9</v>
      </c>
    </row>
    <row r="13" spans="1:4" x14ac:dyDescent="0.25">
      <c r="A13" t="s">
        <v>4</v>
      </c>
      <c r="B13" t="s">
        <v>315</v>
      </c>
      <c r="C13" t="s">
        <v>1272</v>
      </c>
      <c r="D13">
        <v>10</v>
      </c>
    </row>
    <row r="14" spans="1:4" x14ac:dyDescent="0.25">
      <c r="A14" t="s">
        <v>4</v>
      </c>
      <c r="B14" t="s">
        <v>1092</v>
      </c>
      <c r="C14" t="s">
        <v>786</v>
      </c>
      <c r="D14">
        <v>7</v>
      </c>
    </row>
    <row r="15" spans="1:4" x14ac:dyDescent="0.25">
      <c r="A15" t="s">
        <v>4</v>
      </c>
      <c r="B15" t="s">
        <v>887</v>
      </c>
      <c r="C15" t="s">
        <v>191</v>
      </c>
      <c r="D15">
        <v>8</v>
      </c>
    </row>
    <row r="16" spans="1:4" x14ac:dyDescent="0.25">
      <c r="A16" t="s">
        <v>4</v>
      </c>
      <c r="B16" t="s">
        <v>887</v>
      </c>
      <c r="C16" t="s">
        <v>1015</v>
      </c>
      <c r="D16">
        <v>9</v>
      </c>
    </row>
    <row r="17" spans="1:4" x14ac:dyDescent="0.25">
      <c r="A17" t="s">
        <v>4</v>
      </c>
      <c r="B17" t="s">
        <v>1517</v>
      </c>
      <c r="C17" t="s">
        <v>2479</v>
      </c>
      <c r="D17">
        <v>6</v>
      </c>
    </row>
    <row r="18" spans="1:4" x14ac:dyDescent="0.25">
      <c r="A18" t="s">
        <v>4</v>
      </c>
      <c r="B18" t="s">
        <v>144</v>
      </c>
      <c r="C18" t="s">
        <v>1357</v>
      </c>
      <c r="D18">
        <v>9</v>
      </c>
    </row>
    <row r="19" spans="1:4" x14ac:dyDescent="0.25">
      <c r="A19" t="s">
        <v>4</v>
      </c>
      <c r="B19" t="s">
        <v>877</v>
      </c>
      <c r="C19" t="s">
        <v>2539</v>
      </c>
      <c r="D19">
        <v>6</v>
      </c>
    </row>
    <row r="20" spans="1:4" x14ac:dyDescent="0.25">
      <c r="A20" t="s">
        <v>4</v>
      </c>
      <c r="B20" t="s">
        <v>1988</v>
      </c>
      <c r="C20" t="s">
        <v>1360</v>
      </c>
      <c r="D20">
        <v>9</v>
      </c>
    </row>
    <row r="21" spans="1:4" x14ac:dyDescent="0.25">
      <c r="A21" t="s">
        <v>4</v>
      </c>
      <c r="B21" t="s">
        <v>1733</v>
      </c>
      <c r="C21" t="s">
        <v>1362</v>
      </c>
      <c r="D21">
        <v>12</v>
      </c>
    </row>
    <row r="22" spans="1:4" x14ac:dyDescent="0.25">
      <c r="A22" t="s">
        <v>40</v>
      </c>
      <c r="B22" t="s">
        <v>2421</v>
      </c>
      <c r="C22" t="s">
        <v>3227</v>
      </c>
      <c r="D22">
        <v>13</v>
      </c>
    </row>
    <row r="23" spans="1:4" x14ac:dyDescent="0.25">
      <c r="A23" t="s">
        <v>40</v>
      </c>
      <c r="B23" t="s">
        <v>428</v>
      </c>
      <c r="C23" t="s">
        <v>3228</v>
      </c>
      <c r="D23">
        <v>15</v>
      </c>
    </row>
    <row r="24" spans="1:4" x14ac:dyDescent="0.25">
      <c r="A24" t="s">
        <v>40</v>
      </c>
      <c r="B24" t="s">
        <v>1789</v>
      </c>
      <c r="C24" t="s">
        <v>1366</v>
      </c>
      <c r="D24">
        <v>18</v>
      </c>
    </row>
    <row r="25" spans="1:4" x14ac:dyDescent="0.25">
      <c r="A25" t="s">
        <v>40</v>
      </c>
      <c r="B25" t="s">
        <v>1248</v>
      </c>
      <c r="C25" t="s">
        <v>2051</v>
      </c>
      <c r="D25">
        <v>17</v>
      </c>
    </row>
    <row r="26" spans="1:4" x14ac:dyDescent="0.25">
      <c r="A26" t="s">
        <v>40</v>
      </c>
      <c r="B26" t="s">
        <v>1011</v>
      </c>
      <c r="C26" t="s">
        <v>3157</v>
      </c>
      <c r="D26">
        <v>19</v>
      </c>
    </row>
    <row r="27" spans="1:4" x14ac:dyDescent="0.25">
      <c r="A27" t="s">
        <v>40</v>
      </c>
      <c r="B27" t="s">
        <v>259</v>
      </c>
      <c r="C27" t="s">
        <v>3229</v>
      </c>
      <c r="D27">
        <v>22</v>
      </c>
    </row>
    <row r="28" spans="1:4" x14ac:dyDescent="0.25">
      <c r="A28" t="s">
        <v>40</v>
      </c>
      <c r="B28" t="s">
        <v>60</v>
      </c>
      <c r="C28" t="s">
        <v>3230</v>
      </c>
      <c r="D28">
        <v>24</v>
      </c>
    </row>
    <row r="29" spans="1:4" x14ac:dyDescent="0.25">
      <c r="A29" t="s">
        <v>40</v>
      </c>
      <c r="B29" t="s">
        <v>519</v>
      </c>
      <c r="C29" t="s">
        <v>3231</v>
      </c>
      <c r="D29">
        <v>26</v>
      </c>
    </row>
    <row r="30" spans="1:4" x14ac:dyDescent="0.25">
      <c r="A30" t="s">
        <v>40</v>
      </c>
      <c r="B30" t="s">
        <v>1092</v>
      </c>
      <c r="C30" t="s">
        <v>3232</v>
      </c>
      <c r="D30">
        <v>28</v>
      </c>
    </row>
    <row r="31" spans="1:4" x14ac:dyDescent="0.25">
      <c r="A31" t="s">
        <v>40</v>
      </c>
      <c r="B31" t="s">
        <v>701</v>
      </c>
      <c r="C31" t="s">
        <v>3233</v>
      </c>
      <c r="D31">
        <v>25</v>
      </c>
    </row>
    <row r="32" spans="1:4" x14ac:dyDescent="0.25">
      <c r="A32" t="s">
        <v>40</v>
      </c>
      <c r="B32" t="s">
        <v>317</v>
      </c>
      <c r="C32" t="s">
        <v>3234</v>
      </c>
      <c r="D32">
        <v>22</v>
      </c>
    </row>
    <row r="33" spans="1:4" x14ac:dyDescent="0.25">
      <c r="A33" t="s">
        <v>40</v>
      </c>
      <c r="B33" t="s">
        <v>749</v>
      </c>
      <c r="C33" t="s">
        <v>3235</v>
      </c>
      <c r="D33">
        <v>21</v>
      </c>
    </row>
    <row r="34" spans="1:4" x14ac:dyDescent="0.25">
      <c r="A34" t="s">
        <v>40</v>
      </c>
      <c r="B34" t="s">
        <v>1043</v>
      </c>
      <c r="C34" t="s">
        <v>2060</v>
      </c>
      <c r="D34">
        <v>18</v>
      </c>
    </row>
    <row r="35" spans="1:4" x14ac:dyDescent="0.25">
      <c r="A35" t="s">
        <v>40</v>
      </c>
      <c r="B35" t="s">
        <v>228</v>
      </c>
      <c r="C35" t="s">
        <v>3236</v>
      </c>
      <c r="D35">
        <v>21</v>
      </c>
    </row>
    <row r="36" spans="1:4" x14ac:dyDescent="0.25">
      <c r="A36" t="s">
        <v>40</v>
      </c>
      <c r="B36" t="s">
        <v>1076</v>
      </c>
      <c r="C36" t="s">
        <v>3237</v>
      </c>
      <c r="D36">
        <v>20</v>
      </c>
    </row>
    <row r="37" spans="1:4" x14ac:dyDescent="0.25">
      <c r="A37" t="s">
        <v>40</v>
      </c>
      <c r="B37" t="s">
        <v>231</v>
      </c>
      <c r="C37" t="s">
        <v>3238</v>
      </c>
      <c r="D37">
        <v>18</v>
      </c>
    </row>
    <row r="38" spans="1:4" x14ac:dyDescent="0.25">
      <c r="A38" t="s">
        <v>40</v>
      </c>
      <c r="B38" t="s">
        <v>1019</v>
      </c>
      <c r="C38" t="s">
        <v>2658</v>
      </c>
      <c r="D38">
        <v>19</v>
      </c>
    </row>
    <row r="39" spans="1:4" x14ac:dyDescent="0.25">
      <c r="A39" t="s">
        <v>40</v>
      </c>
      <c r="B39" t="s">
        <v>999</v>
      </c>
      <c r="C39" t="s">
        <v>3164</v>
      </c>
      <c r="D39">
        <v>20</v>
      </c>
    </row>
    <row r="40" spans="1:4" x14ac:dyDescent="0.25">
      <c r="A40" t="s">
        <v>40</v>
      </c>
      <c r="B40" t="s">
        <v>999</v>
      </c>
      <c r="C40" t="s">
        <v>3165</v>
      </c>
      <c r="D40">
        <v>21</v>
      </c>
    </row>
    <row r="41" spans="1:4" x14ac:dyDescent="0.25">
      <c r="A41" t="s">
        <v>40</v>
      </c>
      <c r="B41" t="s">
        <v>1845</v>
      </c>
      <c r="C41" t="s">
        <v>1052</v>
      </c>
      <c r="D41">
        <v>24</v>
      </c>
    </row>
    <row r="42" spans="1:4" x14ac:dyDescent="0.25">
      <c r="A42" t="s">
        <v>80</v>
      </c>
      <c r="B42" t="s">
        <v>1024</v>
      </c>
      <c r="C42" t="s">
        <v>1053</v>
      </c>
      <c r="D42">
        <v>26</v>
      </c>
    </row>
    <row r="43" spans="1:4" x14ac:dyDescent="0.25">
      <c r="A43" t="s">
        <v>80</v>
      </c>
      <c r="B43" t="s">
        <v>1765</v>
      </c>
      <c r="C43" t="s">
        <v>2007</v>
      </c>
      <c r="D43">
        <v>24</v>
      </c>
    </row>
    <row r="44" spans="1:4" x14ac:dyDescent="0.25">
      <c r="A44" t="s">
        <v>80</v>
      </c>
      <c r="B44" t="s">
        <v>130</v>
      </c>
      <c r="C44" t="s">
        <v>3239</v>
      </c>
      <c r="D44">
        <v>22</v>
      </c>
    </row>
    <row r="45" spans="1:4" x14ac:dyDescent="0.25">
      <c r="A45" t="s">
        <v>80</v>
      </c>
      <c r="B45" t="s">
        <v>1735</v>
      </c>
      <c r="C45" t="s">
        <v>3240</v>
      </c>
      <c r="D45">
        <v>23</v>
      </c>
    </row>
    <row r="46" spans="1:4" x14ac:dyDescent="0.25">
      <c r="A46" t="s">
        <v>80</v>
      </c>
      <c r="B46" t="s">
        <v>1735</v>
      </c>
      <c r="C46" t="s">
        <v>3169</v>
      </c>
      <c r="D46">
        <v>24</v>
      </c>
    </row>
    <row r="47" spans="1:4" x14ac:dyDescent="0.25">
      <c r="A47" t="s">
        <v>80</v>
      </c>
      <c r="B47" t="s">
        <v>1613</v>
      </c>
      <c r="C47" t="s">
        <v>3170</v>
      </c>
      <c r="D47">
        <v>22</v>
      </c>
    </row>
    <row r="48" spans="1:4" x14ac:dyDescent="0.25">
      <c r="A48" t="s">
        <v>80</v>
      </c>
      <c r="B48" t="s">
        <v>588</v>
      </c>
      <c r="C48" t="s">
        <v>3241</v>
      </c>
      <c r="D48">
        <v>24</v>
      </c>
    </row>
    <row r="49" spans="1:4" x14ac:dyDescent="0.25">
      <c r="A49" t="s">
        <v>80</v>
      </c>
      <c r="B49" t="s">
        <v>1119</v>
      </c>
      <c r="C49" t="s">
        <v>2010</v>
      </c>
      <c r="D49">
        <v>26</v>
      </c>
    </row>
    <row r="50" spans="1:4" x14ac:dyDescent="0.25">
      <c r="A50" t="s">
        <v>80</v>
      </c>
      <c r="B50" t="s">
        <v>1958</v>
      </c>
      <c r="C50" t="s">
        <v>3242</v>
      </c>
      <c r="D50">
        <v>25</v>
      </c>
    </row>
    <row r="51" spans="1:4" x14ac:dyDescent="0.25">
      <c r="A51" t="s">
        <v>80</v>
      </c>
      <c r="B51" t="s">
        <v>625</v>
      </c>
      <c r="C51" t="s">
        <v>3243</v>
      </c>
      <c r="D51">
        <v>26</v>
      </c>
    </row>
    <row r="52" spans="1:4" x14ac:dyDescent="0.25">
      <c r="A52" t="s">
        <v>80</v>
      </c>
      <c r="B52" t="s">
        <v>625</v>
      </c>
      <c r="C52" t="s">
        <v>1392</v>
      </c>
      <c r="D52">
        <v>27</v>
      </c>
    </row>
    <row r="53" spans="1:4" x14ac:dyDescent="0.25">
      <c r="A53" t="s">
        <v>80</v>
      </c>
      <c r="B53" t="s">
        <v>870</v>
      </c>
      <c r="C53" t="s">
        <v>1313</v>
      </c>
      <c r="D53">
        <v>28</v>
      </c>
    </row>
    <row r="54" spans="1:4" x14ac:dyDescent="0.25">
      <c r="A54" t="s">
        <v>80</v>
      </c>
      <c r="B54" t="s">
        <v>1349</v>
      </c>
      <c r="C54" t="s">
        <v>3244</v>
      </c>
      <c r="D54">
        <v>30</v>
      </c>
    </row>
    <row r="55" spans="1:4" x14ac:dyDescent="0.25">
      <c r="A55" t="s">
        <v>80</v>
      </c>
      <c r="B55" t="s">
        <v>874</v>
      </c>
      <c r="C55" t="s">
        <v>2014</v>
      </c>
      <c r="D55">
        <v>27</v>
      </c>
    </row>
    <row r="56" spans="1:4" x14ac:dyDescent="0.25">
      <c r="A56" t="s">
        <v>80</v>
      </c>
      <c r="B56" t="s">
        <v>743</v>
      </c>
      <c r="C56" t="s">
        <v>3245</v>
      </c>
      <c r="D56">
        <v>28</v>
      </c>
    </row>
    <row r="57" spans="1:4" x14ac:dyDescent="0.25">
      <c r="A57" t="s">
        <v>80</v>
      </c>
      <c r="B57" t="s">
        <v>475</v>
      </c>
      <c r="C57" t="s">
        <v>1397</v>
      </c>
      <c r="D57">
        <v>29</v>
      </c>
    </row>
    <row r="58" spans="1:4" x14ac:dyDescent="0.25">
      <c r="A58" t="s">
        <v>80</v>
      </c>
      <c r="B58" t="s">
        <v>1115</v>
      </c>
      <c r="C58" t="s">
        <v>1316</v>
      </c>
      <c r="D58">
        <v>31</v>
      </c>
    </row>
    <row r="59" spans="1:4" x14ac:dyDescent="0.25">
      <c r="A59" t="s">
        <v>80</v>
      </c>
      <c r="B59" t="s">
        <v>556</v>
      </c>
      <c r="C59" t="s">
        <v>1399</v>
      </c>
      <c r="D59">
        <v>29</v>
      </c>
    </row>
    <row r="60" spans="1:4" x14ac:dyDescent="0.25">
      <c r="A60" t="s">
        <v>80</v>
      </c>
      <c r="B60" t="s">
        <v>772</v>
      </c>
      <c r="C60" t="s">
        <v>3246</v>
      </c>
      <c r="D60">
        <v>28</v>
      </c>
    </row>
    <row r="61" spans="1:4" x14ac:dyDescent="0.25">
      <c r="A61" t="s">
        <v>80</v>
      </c>
      <c r="B61" t="s">
        <v>772</v>
      </c>
      <c r="C61" t="s">
        <v>3247</v>
      </c>
      <c r="D61">
        <v>27</v>
      </c>
    </row>
    <row r="62" spans="1:4" x14ac:dyDescent="0.25">
      <c r="A62" t="s">
        <v>80</v>
      </c>
      <c r="B62" t="s">
        <v>235</v>
      </c>
      <c r="C62" t="s">
        <v>3248</v>
      </c>
      <c r="D62">
        <v>29</v>
      </c>
    </row>
    <row r="63" spans="1:4" x14ac:dyDescent="0.25">
      <c r="A63" t="s">
        <v>123</v>
      </c>
      <c r="B63" t="s">
        <v>453</v>
      </c>
      <c r="C63" t="s">
        <v>3215</v>
      </c>
      <c r="D63">
        <v>28</v>
      </c>
    </row>
    <row r="64" spans="1:4" x14ac:dyDescent="0.25">
      <c r="A64" t="s">
        <v>123</v>
      </c>
      <c r="B64" t="s">
        <v>83</v>
      </c>
      <c r="C64" t="s">
        <v>3249</v>
      </c>
      <c r="D64">
        <v>29</v>
      </c>
    </row>
    <row r="65" spans="1:4" x14ac:dyDescent="0.25">
      <c r="A65" t="s">
        <v>123</v>
      </c>
      <c r="B65" t="s">
        <v>511</v>
      </c>
      <c r="C65" t="s">
        <v>2083</v>
      </c>
      <c r="D65">
        <v>26</v>
      </c>
    </row>
    <row r="66" spans="1:4" x14ac:dyDescent="0.25">
      <c r="A66" t="s">
        <v>123</v>
      </c>
      <c r="B66" t="s">
        <v>721</v>
      </c>
      <c r="C66" t="s">
        <v>3250</v>
      </c>
      <c r="D66">
        <v>28</v>
      </c>
    </row>
    <row r="67" spans="1:4" x14ac:dyDescent="0.25">
      <c r="A67" t="s">
        <v>123</v>
      </c>
      <c r="B67" t="s">
        <v>208</v>
      </c>
      <c r="C67" t="s">
        <v>3251</v>
      </c>
      <c r="D67">
        <v>27</v>
      </c>
    </row>
    <row r="68" spans="1:4" x14ac:dyDescent="0.25">
      <c r="A68" t="s">
        <v>123</v>
      </c>
      <c r="B68" t="s">
        <v>246</v>
      </c>
      <c r="C68" t="s">
        <v>3252</v>
      </c>
      <c r="D68">
        <v>29</v>
      </c>
    </row>
    <row r="69" spans="1:4" x14ac:dyDescent="0.25">
      <c r="A69" t="s">
        <v>123</v>
      </c>
      <c r="B69" t="s">
        <v>643</v>
      </c>
      <c r="C69" t="s">
        <v>1409</v>
      </c>
      <c r="D69">
        <v>31</v>
      </c>
    </row>
    <row r="70" spans="1:4" x14ac:dyDescent="0.25">
      <c r="A70" t="s">
        <v>123</v>
      </c>
      <c r="B70" t="s">
        <v>1146</v>
      </c>
      <c r="C70" t="s">
        <v>3253</v>
      </c>
      <c r="D70">
        <v>32</v>
      </c>
    </row>
    <row r="71" spans="1:4" x14ac:dyDescent="0.25">
      <c r="A71" t="s">
        <v>123</v>
      </c>
      <c r="B71" t="s">
        <v>465</v>
      </c>
      <c r="C71" t="s">
        <v>3254</v>
      </c>
      <c r="D71">
        <v>30</v>
      </c>
    </row>
    <row r="72" spans="1:4" x14ac:dyDescent="0.25">
      <c r="A72" t="s">
        <v>123</v>
      </c>
      <c r="B72" t="s">
        <v>97</v>
      </c>
      <c r="C72" t="s">
        <v>3255</v>
      </c>
      <c r="D72">
        <v>32</v>
      </c>
    </row>
    <row r="73" spans="1:4" x14ac:dyDescent="0.25">
      <c r="A73" t="s">
        <v>123</v>
      </c>
      <c r="B73" t="s">
        <v>872</v>
      </c>
      <c r="C73" t="s">
        <v>2024</v>
      </c>
      <c r="D73">
        <v>31</v>
      </c>
    </row>
    <row r="74" spans="1:4" x14ac:dyDescent="0.25">
      <c r="A74" t="s">
        <v>123</v>
      </c>
      <c r="B74" t="s">
        <v>435</v>
      </c>
      <c r="C74" t="s">
        <v>2025</v>
      </c>
      <c r="D74">
        <v>33</v>
      </c>
    </row>
    <row r="75" spans="1:4" x14ac:dyDescent="0.25">
      <c r="A75" t="s">
        <v>123</v>
      </c>
      <c r="B75" t="s">
        <v>1819</v>
      </c>
      <c r="C75" t="s">
        <v>1331</v>
      </c>
      <c r="D75">
        <v>32</v>
      </c>
    </row>
    <row r="76" spans="1:4" x14ac:dyDescent="0.25">
      <c r="A76" t="s">
        <v>123</v>
      </c>
      <c r="B76" t="s">
        <v>1819</v>
      </c>
      <c r="C76" t="s">
        <v>2026</v>
      </c>
      <c r="D76">
        <v>31</v>
      </c>
    </row>
    <row r="77" spans="1:4" x14ac:dyDescent="0.25">
      <c r="A77" t="s">
        <v>123</v>
      </c>
      <c r="B77" t="s">
        <v>805</v>
      </c>
      <c r="C77" t="s">
        <v>1333</v>
      </c>
      <c r="D77">
        <v>33</v>
      </c>
    </row>
    <row r="78" spans="1:4" x14ac:dyDescent="0.25">
      <c r="A78" t="s">
        <v>123</v>
      </c>
      <c r="B78" t="s">
        <v>106</v>
      </c>
      <c r="C78" t="s">
        <v>3256</v>
      </c>
      <c r="D78">
        <v>35</v>
      </c>
    </row>
    <row r="79" spans="1:4" x14ac:dyDescent="0.25">
      <c r="A79" t="s">
        <v>123</v>
      </c>
      <c r="B79" t="s">
        <v>1700</v>
      </c>
      <c r="C79" t="s">
        <v>3257</v>
      </c>
      <c r="D79">
        <v>32</v>
      </c>
    </row>
    <row r="80" spans="1:4" x14ac:dyDescent="0.25">
      <c r="A80" t="s">
        <v>123</v>
      </c>
      <c r="B80" t="s">
        <v>1700</v>
      </c>
      <c r="C80" t="s">
        <v>3258</v>
      </c>
      <c r="D80">
        <v>29</v>
      </c>
    </row>
    <row r="81" spans="1:4" x14ac:dyDescent="0.25">
      <c r="A81" t="s">
        <v>123</v>
      </c>
      <c r="B81" t="s">
        <v>1073</v>
      </c>
      <c r="C81" t="s">
        <v>2097</v>
      </c>
      <c r="D81">
        <v>27</v>
      </c>
    </row>
    <row r="82" spans="1:4" x14ac:dyDescent="0.25">
      <c r="A82" t="s">
        <v>123</v>
      </c>
      <c r="B82" t="s">
        <v>876</v>
      </c>
      <c r="C82" t="s">
        <v>2034</v>
      </c>
      <c r="D82">
        <v>24</v>
      </c>
    </row>
    <row r="83" spans="1:4" x14ac:dyDescent="0.25">
      <c r="A83" t="s">
        <v>123</v>
      </c>
      <c r="B83" t="s">
        <v>116</v>
      </c>
      <c r="C83" t="s">
        <v>3259</v>
      </c>
      <c r="D83">
        <v>25</v>
      </c>
    </row>
    <row r="84" spans="1:4" x14ac:dyDescent="0.25">
      <c r="A84" t="s">
        <v>123</v>
      </c>
      <c r="B84" t="s">
        <v>116</v>
      </c>
      <c r="C84" t="s">
        <v>2035</v>
      </c>
      <c r="D84">
        <v>26</v>
      </c>
    </row>
    <row r="85" spans="1:4" x14ac:dyDescent="0.25">
      <c r="A85" t="s">
        <v>123</v>
      </c>
      <c r="B85" t="s">
        <v>292</v>
      </c>
      <c r="C85" t="s">
        <v>3260</v>
      </c>
      <c r="D85">
        <v>24</v>
      </c>
    </row>
    <row r="86" spans="1:4" x14ac:dyDescent="0.25">
      <c r="A86" t="s">
        <v>123</v>
      </c>
      <c r="B86" t="s">
        <v>896</v>
      </c>
      <c r="C86" t="s">
        <v>3261</v>
      </c>
      <c r="D86">
        <v>25</v>
      </c>
    </row>
    <row r="87" spans="1:4" x14ac:dyDescent="0.25">
      <c r="A87" t="s">
        <v>123</v>
      </c>
      <c r="B87" t="s">
        <v>896</v>
      </c>
      <c r="C87" t="s">
        <v>3262</v>
      </c>
      <c r="D87">
        <v>26</v>
      </c>
    </row>
    <row r="88" spans="1:4" x14ac:dyDescent="0.25">
      <c r="A88" t="s">
        <v>123</v>
      </c>
      <c r="B88" t="s">
        <v>29</v>
      </c>
      <c r="C88" t="s">
        <v>3263</v>
      </c>
      <c r="D88">
        <v>24</v>
      </c>
    </row>
    <row r="89" spans="1:4" x14ac:dyDescent="0.25">
      <c r="A89" t="s">
        <v>123</v>
      </c>
      <c r="B89" t="s">
        <v>673</v>
      </c>
      <c r="C89" t="s">
        <v>3264</v>
      </c>
      <c r="D89">
        <v>23</v>
      </c>
    </row>
    <row r="90" spans="1:4" x14ac:dyDescent="0.25">
      <c r="A90" t="s">
        <v>123</v>
      </c>
      <c r="B90" t="s">
        <v>673</v>
      </c>
      <c r="C90" t="s">
        <v>3265</v>
      </c>
      <c r="D90">
        <v>22</v>
      </c>
    </row>
    <row r="91" spans="1:4" x14ac:dyDescent="0.25">
      <c r="A91" t="s">
        <v>123</v>
      </c>
      <c r="B91" t="s">
        <v>202</v>
      </c>
      <c r="C91" t="s">
        <v>3194</v>
      </c>
      <c r="D91">
        <v>20</v>
      </c>
    </row>
    <row r="92" spans="1:4" x14ac:dyDescent="0.25">
      <c r="A92" t="s">
        <v>123</v>
      </c>
      <c r="B92" t="s">
        <v>394</v>
      </c>
      <c r="C92" t="s">
        <v>3266</v>
      </c>
      <c r="D92">
        <v>22</v>
      </c>
    </row>
    <row r="93" spans="1:4" x14ac:dyDescent="0.25">
      <c r="A93" t="s">
        <v>123</v>
      </c>
      <c r="B93" t="s">
        <v>537</v>
      </c>
      <c r="C93" t="s">
        <v>3267</v>
      </c>
      <c r="D93">
        <v>24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21.032608695652176</v>
      </c>
    </row>
    <row r="97" spans="1:4" x14ac:dyDescent="0.25">
      <c r="A97" t="s">
        <v>159</v>
      </c>
      <c r="D97">
        <f>MAX(D2:D93)</f>
        <v>35</v>
      </c>
    </row>
    <row r="98" spans="1:4" x14ac:dyDescent="0.25">
      <c r="A98" t="s">
        <v>160</v>
      </c>
      <c r="D98">
        <f>MIN(D2:D93)</f>
        <v>-2</v>
      </c>
    </row>
    <row r="99" spans="1:4" x14ac:dyDescent="0.25">
      <c r="A99" t="s">
        <v>161</v>
      </c>
      <c r="D99">
        <f>COUNTIF(D2:D93,"&gt;0")</f>
        <v>88</v>
      </c>
    </row>
    <row r="100" spans="1:4" x14ac:dyDescent="0.25">
      <c r="A100" t="s">
        <v>162</v>
      </c>
      <c r="D100">
        <f>COUNTIF(D2:D93,"=0")</f>
        <v>2</v>
      </c>
    </row>
    <row r="101" spans="1:4" x14ac:dyDescent="0.25">
      <c r="A101" t="s">
        <v>775</v>
      </c>
      <c r="D101">
        <f>COUNTIF(D2:D93,"&lt;0")</f>
        <v>2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AVERAGE(D2,D3,D4,D5,D6,D7,D8,D9,D10,D11,D12,D13,D14,D15,D16,D17,D18,D19,D20,D21)</f>
        <v>5.45</v>
      </c>
    </row>
    <row r="105" spans="1:4" x14ac:dyDescent="0.25">
      <c r="A105" t="s">
        <v>166</v>
      </c>
      <c r="D105">
        <f>AVERAGE(D22,D23,D24,D25,D26,D27,D28,D29,D30,D31,D32,D33,D34,D35,D36,D37,D38,D39,D40,D41)</f>
        <v>20.55</v>
      </c>
    </row>
    <row r="106" spans="1:4" x14ac:dyDescent="0.25">
      <c r="A106" t="s">
        <v>167</v>
      </c>
      <c r="D106">
        <f>AVERAGE(D42,D43,D44,D45,D46,D47,D48,D49,D50,D51,D52,D53,D54,D55,D56,D57,D58,D59,D60,D61,D62)</f>
        <v>26.428571428571427</v>
      </c>
    </row>
    <row r="107" spans="1:4" x14ac:dyDescent="0.25">
      <c r="A107" t="s">
        <v>168</v>
      </c>
      <c r="D107">
        <f>AVERAGE(D63,D64,D65,D66,D67,D68,D69,D70,D71,D72,D73,D74,D75,D76,D77,D78,D79,D80,D81,D82,D83,D84,D85,D86,D87,D88,D89,D90,D91,D92,D93)</f>
        <v>27.741935483870968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9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237</v>
      </c>
      <c r="C2" t="s">
        <v>6</v>
      </c>
      <c r="D2">
        <v>2</v>
      </c>
    </row>
    <row r="3" spans="1:4" x14ac:dyDescent="0.25">
      <c r="A3" t="s">
        <v>4</v>
      </c>
      <c r="B3" t="s">
        <v>716</v>
      </c>
      <c r="C3" t="s">
        <v>3268</v>
      </c>
      <c r="D3">
        <v>1</v>
      </c>
    </row>
    <row r="4" spans="1:4" x14ac:dyDescent="0.25">
      <c r="A4" t="s">
        <v>4</v>
      </c>
      <c r="B4" t="s">
        <v>2151</v>
      </c>
      <c r="C4" t="s">
        <v>2354</v>
      </c>
      <c r="D4">
        <v>3</v>
      </c>
    </row>
    <row r="5" spans="1:4" x14ac:dyDescent="0.25">
      <c r="A5" t="s">
        <v>4</v>
      </c>
      <c r="B5" t="s">
        <v>1691</v>
      </c>
      <c r="C5" t="s">
        <v>3269</v>
      </c>
      <c r="D5">
        <v>6</v>
      </c>
    </row>
    <row r="6" spans="1:4" x14ac:dyDescent="0.25">
      <c r="A6" t="s">
        <v>4</v>
      </c>
      <c r="B6" t="s">
        <v>1246</v>
      </c>
      <c r="C6" t="s">
        <v>3270</v>
      </c>
      <c r="D6">
        <v>9</v>
      </c>
    </row>
    <row r="7" spans="1:4" x14ac:dyDescent="0.25">
      <c r="A7" t="s">
        <v>4</v>
      </c>
      <c r="B7" t="s">
        <v>1958</v>
      </c>
      <c r="C7" t="s">
        <v>3271</v>
      </c>
      <c r="D7">
        <v>11</v>
      </c>
    </row>
    <row r="8" spans="1:4" x14ac:dyDescent="0.25">
      <c r="A8" t="s">
        <v>4</v>
      </c>
      <c r="B8" t="s">
        <v>497</v>
      </c>
      <c r="C8" t="s">
        <v>3272</v>
      </c>
      <c r="D8">
        <v>13</v>
      </c>
    </row>
    <row r="9" spans="1:4" x14ac:dyDescent="0.25">
      <c r="A9" t="s">
        <v>4</v>
      </c>
      <c r="B9" t="s">
        <v>405</v>
      </c>
      <c r="C9" t="s">
        <v>3273</v>
      </c>
      <c r="D9">
        <v>14</v>
      </c>
    </row>
    <row r="10" spans="1:4" x14ac:dyDescent="0.25">
      <c r="A10" t="s">
        <v>4</v>
      </c>
      <c r="B10" t="s">
        <v>405</v>
      </c>
      <c r="C10" t="s">
        <v>3274</v>
      </c>
      <c r="D10">
        <v>15</v>
      </c>
    </row>
    <row r="11" spans="1:4" x14ac:dyDescent="0.25">
      <c r="A11" t="s">
        <v>4</v>
      </c>
      <c r="B11" t="s">
        <v>1151</v>
      </c>
      <c r="C11" t="s">
        <v>3275</v>
      </c>
      <c r="D11">
        <v>17</v>
      </c>
    </row>
    <row r="12" spans="1:4" x14ac:dyDescent="0.25">
      <c r="A12" t="s">
        <v>4</v>
      </c>
      <c r="B12" t="s">
        <v>2629</v>
      </c>
      <c r="C12" t="s">
        <v>3276</v>
      </c>
      <c r="D12">
        <v>15</v>
      </c>
    </row>
    <row r="13" spans="1:4" x14ac:dyDescent="0.25">
      <c r="A13" t="s">
        <v>4</v>
      </c>
      <c r="B13" t="s">
        <v>112</v>
      </c>
      <c r="C13" t="s">
        <v>3277</v>
      </c>
      <c r="D13">
        <v>18</v>
      </c>
    </row>
    <row r="14" spans="1:4" x14ac:dyDescent="0.25">
      <c r="A14" t="s">
        <v>4</v>
      </c>
      <c r="B14" t="s">
        <v>116</v>
      </c>
      <c r="C14" t="s">
        <v>3278</v>
      </c>
      <c r="D14">
        <v>19</v>
      </c>
    </row>
    <row r="15" spans="1:4" x14ac:dyDescent="0.25">
      <c r="A15" t="s">
        <v>4</v>
      </c>
      <c r="B15" t="s">
        <v>1750</v>
      </c>
      <c r="C15" t="s">
        <v>3279</v>
      </c>
      <c r="D15">
        <v>21</v>
      </c>
    </row>
    <row r="16" spans="1:4" x14ac:dyDescent="0.25">
      <c r="A16" t="s">
        <v>4</v>
      </c>
      <c r="B16" t="s">
        <v>1675</v>
      </c>
      <c r="C16" t="s">
        <v>3280</v>
      </c>
      <c r="D16">
        <v>20</v>
      </c>
    </row>
    <row r="17" spans="1:4" x14ac:dyDescent="0.25">
      <c r="A17" t="s">
        <v>4</v>
      </c>
      <c r="B17" t="s">
        <v>531</v>
      </c>
      <c r="C17" t="s">
        <v>3281</v>
      </c>
      <c r="D17">
        <v>22</v>
      </c>
    </row>
    <row r="18" spans="1:4" x14ac:dyDescent="0.25">
      <c r="A18" t="s">
        <v>4</v>
      </c>
      <c r="B18" t="s">
        <v>681</v>
      </c>
      <c r="C18" t="s">
        <v>3282</v>
      </c>
      <c r="D18">
        <v>21</v>
      </c>
    </row>
    <row r="19" spans="1:4" x14ac:dyDescent="0.25">
      <c r="A19" t="s">
        <v>40</v>
      </c>
      <c r="B19" t="s">
        <v>819</v>
      </c>
      <c r="C19" t="s">
        <v>3283</v>
      </c>
      <c r="D19">
        <v>24</v>
      </c>
    </row>
    <row r="20" spans="1:4" x14ac:dyDescent="0.25">
      <c r="A20" t="s">
        <v>40</v>
      </c>
      <c r="B20" t="s">
        <v>428</v>
      </c>
      <c r="C20" t="s">
        <v>3284</v>
      </c>
      <c r="D20">
        <v>27</v>
      </c>
    </row>
    <row r="21" spans="1:4" x14ac:dyDescent="0.25">
      <c r="A21" t="s">
        <v>40</v>
      </c>
      <c r="B21" t="s">
        <v>490</v>
      </c>
      <c r="C21" t="s">
        <v>3285</v>
      </c>
      <c r="D21">
        <v>25</v>
      </c>
    </row>
    <row r="22" spans="1:4" x14ac:dyDescent="0.25">
      <c r="A22" t="s">
        <v>40</v>
      </c>
      <c r="B22" t="s">
        <v>2355</v>
      </c>
      <c r="C22" t="s">
        <v>3286</v>
      </c>
      <c r="D22">
        <v>27</v>
      </c>
    </row>
    <row r="23" spans="1:4" x14ac:dyDescent="0.25">
      <c r="A23" t="s">
        <v>40</v>
      </c>
      <c r="B23" t="s">
        <v>175</v>
      </c>
      <c r="C23" t="s">
        <v>3287</v>
      </c>
      <c r="D23">
        <v>29</v>
      </c>
    </row>
    <row r="24" spans="1:4" x14ac:dyDescent="0.25">
      <c r="A24" t="s">
        <v>40</v>
      </c>
      <c r="B24" t="s">
        <v>1194</v>
      </c>
      <c r="C24" t="s">
        <v>3288</v>
      </c>
      <c r="D24">
        <v>30</v>
      </c>
    </row>
    <row r="25" spans="1:4" x14ac:dyDescent="0.25">
      <c r="A25" t="s">
        <v>40</v>
      </c>
      <c r="B25" t="s">
        <v>517</v>
      </c>
      <c r="C25" t="s">
        <v>3289</v>
      </c>
      <c r="D25">
        <v>28</v>
      </c>
    </row>
    <row r="26" spans="1:4" x14ac:dyDescent="0.25">
      <c r="A26" t="s">
        <v>40</v>
      </c>
      <c r="B26" t="s">
        <v>366</v>
      </c>
      <c r="C26" t="s">
        <v>3290</v>
      </c>
      <c r="D26">
        <v>27</v>
      </c>
    </row>
    <row r="27" spans="1:4" x14ac:dyDescent="0.25">
      <c r="A27" t="s">
        <v>40</v>
      </c>
      <c r="B27" t="s">
        <v>368</v>
      </c>
      <c r="C27" t="s">
        <v>3291</v>
      </c>
      <c r="D27">
        <v>24</v>
      </c>
    </row>
    <row r="28" spans="1:4" x14ac:dyDescent="0.25">
      <c r="A28" t="s">
        <v>40</v>
      </c>
      <c r="B28" t="s">
        <v>99</v>
      </c>
      <c r="C28" t="s">
        <v>1992</v>
      </c>
      <c r="D28">
        <v>23</v>
      </c>
    </row>
    <row r="29" spans="1:4" x14ac:dyDescent="0.25">
      <c r="A29" t="s">
        <v>40</v>
      </c>
      <c r="B29" t="s">
        <v>370</v>
      </c>
      <c r="C29" t="s">
        <v>3292</v>
      </c>
      <c r="D29">
        <v>24</v>
      </c>
    </row>
    <row r="30" spans="1:4" x14ac:dyDescent="0.25">
      <c r="A30" t="s">
        <v>40</v>
      </c>
      <c r="B30" t="s">
        <v>370</v>
      </c>
      <c r="C30" t="s">
        <v>3293</v>
      </c>
      <c r="D30">
        <v>25</v>
      </c>
    </row>
    <row r="31" spans="1:4" x14ac:dyDescent="0.25">
      <c r="A31" t="s">
        <v>40</v>
      </c>
      <c r="B31" t="s">
        <v>263</v>
      </c>
      <c r="C31" t="s">
        <v>3294</v>
      </c>
      <c r="D31">
        <v>27</v>
      </c>
    </row>
    <row r="32" spans="1:4" x14ac:dyDescent="0.25">
      <c r="A32" t="s">
        <v>40</v>
      </c>
      <c r="B32" t="s">
        <v>1016</v>
      </c>
      <c r="C32" t="s">
        <v>3295</v>
      </c>
      <c r="D32">
        <v>30</v>
      </c>
    </row>
    <row r="33" spans="1:4" x14ac:dyDescent="0.25">
      <c r="A33" t="s">
        <v>40</v>
      </c>
      <c r="B33" t="s">
        <v>112</v>
      </c>
      <c r="C33" t="s">
        <v>3296</v>
      </c>
      <c r="D33">
        <v>27</v>
      </c>
    </row>
    <row r="34" spans="1:4" x14ac:dyDescent="0.25">
      <c r="A34" t="s">
        <v>40</v>
      </c>
      <c r="B34" t="s">
        <v>1882</v>
      </c>
      <c r="C34" t="s">
        <v>3297</v>
      </c>
      <c r="D34">
        <v>29</v>
      </c>
    </row>
    <row r="35" spans="1:4" x14ac:dyDescent="0.25">
      <c r="A35" t="s">
        <v>40</v>
      </c>
      <c r="B35" t="s">
        <v>154</v>
      </c>
      <c r="C35" t="s">
        <v>3298</v>
      </c>
      <c r="D35">
        <v>30</v>
      </c>
    </row>
    <row r="36" spans="1:4" x14ac:dyDescent="0.25">
      <c r="A36" t="s">
        <v>80</v>
      </c>
      <c r="B36" t="s">
        <v>41</v>
      </c>
      <c r="C36" t="s">
        <v>3299</v>
      </c>
      <c r="D36">
        <v>32</v>
      </c>
    </row>
    <row r="37" spans="1:4" x14ac:dyDescent="0.25">
      <c r="A37" t="s">
        <v>80</v>
      </c>
      <c r="B37" t="s">
        <v>1346</v>
      </c>
      <c r="C37" t="s">
        <v>3300</v>
      </c>
      <c r="D37">
        <v>30</v>
      </c>
    </row>
    <row r="38" spans="1:4" x14ac:dyDescent="0.25">
      <c r="A38" t="s">
        <v>80</v>
      </c>
      <c r="B38" t="s">
        <v>45</v>
      </c>
      <c r="C38" t="s">
        <v>3301</v>
      </c>
      <c r="D38">
        <v>32</v>
      </c>
    </row>
    <row r="39" spans="1:4" x14ac:dyDescent="0.25">
      <c r="A39" t="s">
        <v>80</v>
      </c>
      <c r="B39" t="s">
        <v>1851</v>
      </c>
      <c r="C39" t="s">
        <v>3302</v>
      </c>
      <c r="D39">
        <v>33</v>
      </c>
    </row>
    <row r="40" spans="1:4" x14ac:dyDescent="0.25">
      <c r="A40" t="s">
        <v>80</v>
      </c>
      <c r="B40" t="s">
        <v>1851</v>
      </c>
      <c r="C40" t="s">
        <v>3303</v>
      </c>
      <c r="D40">
        <v>34</v>
      </c>
    </row>
    <row r="41" spans="1:4" x14ac:dyDescent="0.25">
      <c r="A41" t="s">
        <v>80</v>
      </c>
      <c r="B41" t="s">
        <v>590</v>
      </c>
      <c r="C41" t="s">
        <v>3304</v>
      </c>
      <c r="D41">
        <v>37</v>
      </c>
    </row>
    <row r="42" spans="1:4" x14ac:dyDescent="0.25">
      <c r="A42" t="s">
        <v>80</v>
      </c>
      <c r="B42" t="s">
        <v>179</v>
      </c>
      <c r="C42" t="s">
        <v>3305</v>
      </c>
      <c r="D42">
        <v>34</v>
      </c>
    </row>
    <row r="43" spans="1:4" x14ac:dyDescent="0.25">
      <c r="A43" t="s">
        <v>80</v>
      </c>
      <c r="B43" t="s">
        <v>2431</v>
      </c>
      <c r="C43" t="s">
        <v>3306</v>
      </c>
      <c r="D43">
        <v>33</v>
      </c>
    </row>
    <row r="44" spans="1:4" x14ac:dyDescent="0.25">
      <c r="A44" t="s">
        <v>80</v>
      </c>
      <c r="B44" t="s">
        <v>2431</v>
      </c>
      <c r="C44" t="s">
        <v>3307</v>
      </c>
      <c r="D44">
        <v>32</v>
      </c>
    </row>
    <row r="45" spans="1:4" x14ac:dyDescent="0.25">
      <c r="A45" t="s">
        <v>80</v>
      </c>
      <c r="B45" t="s">
        <v>62</v>
      </c>
      <c r="C45" t="s">
        <v>3308</v>
      </c>
      <c r="D45">
        <v>29</v>
      </c>
    </row>
    <row r="46" spans="1:4" x14ac:dyDescent="0.25">
      <c r="A46" t="s">
        <v>80</v>
      </c>
      <c r="B46" t="s">
        <v>2250</v>
      </c>
      <c r="C46" t="s">
        <v>3309</v>
      </c>
      <c r="D46">
        <v>32</v>
      </c>
    </row>
    <row r="47" spans="1:4" x14ac:dyDescent="0.25">
      <c r="A47" t="s">
        <v>80</v>
      </c>
      <c r="B47" t="s">
        <v>190</v>
      </c>
      <c r="C47" t="s">
        <v>3310</v>
      </c>
      <c r="D47">
        <v>35</v>
      </c>
    </row>
    <row r="48" spans="1:4" x14ac:dyDescent="0.25">
      <c r="A48" t="s">
        <v>80</v>
      </c>
      <c r="B48" t="s">
        <v>380</v>
      </c>
      <c r="C48" t="s">
        <v>3311</v>
      </c>
      <c r="D48">
        <v>34</v>
      </c>
    </row>
    <row r="49" spans="1:4" x14ac:dyDescent="0.25">
      <c r="A49" t="s">
        <v>80</v>
      </c>
      <c r="B49" t="s">
        <v>288</v>
      </c>
      <c r="C49" t="s">
        <v>3312</v>
      </c>
      <c r="D49">
        <v>37</v>
      </c>
    </row>
    <row r="50" spans="1:4" x14ac:dyDescent="0.25">
      <c r="A50" t="s">
        <v>80</v>
      </c>
      <c r="B50" t="s">
        <v>503</v>
      </c>
      <c r="C50" t="s">
        <v>3313</v>
      </c>
      <c r="D50">
        <v>39</v>
      </c>
    </row>
    <row r="51" spans="1:4" x14ac:dyDescent="0.25">
      <c r="A51" t="s">
        <v>80</v>
      </c>
      <c r="B51" t="s">
        <v>27</v>
      </c>
      <c r="C51" t="s">
        <v>3314</v>
      </c>
      <c r="D51">
        <v>37</v>
      </c>
    </row>
    <row r="52" spans="1:4" x14ac:dyDescent="0.25">
      <c r="A52" t="s">
        <v>80</v>
      </c>
      <c r="B52" t="s">
        <v>1177</v>
      </c>
      <c r="C52" t="s">
        <v>3315</v>
      </c>
      <c r="D52">
        <v>39</v>
      </c>
    </row>
    <row r="53" spans="1:4" x14ac:dyDescent="0.25">
      <c r="A53" t="s">
        <v>80</v>
      </c>
      <c r="B53" t="s">
        <v>1019</v>
      </c>
      <c r="C53" t="s">
        <v>1067</v>
      </c>
      <c r="D53">
        <v>37</v>
      </c>
    </row>
    <row r="54" spans="1:4" x14ac:dyDescent="0.25">
      <c r="A54" t="s">
        <v>80</v>
      </c>
      <c r="B54" t="s">
        <v>1113</v>
      </c>
      <c r="C54" t="s">
        <v>3316</v>
      </c>
      <c r="D54">
        <v>38</v>
      </c>
    </row>
    <row r="55" spans="1:4" x14ac:dyDescent="0.25">
      <c r="A55" t="s">
        <v>80</v>
      </c>
      <c r="B55" t="s">
        <v>1113</v>
      </c>
      <c r="C55" t="s">
        <v>1068</v>
      </c>
      <c r="D55">
        <v>39</v>
      </c>
    </row>
    <row r="56" spans="1:4" x14ac:dyDescent="0.25">
      <c r="A56" t="s">
        <v>80</v>
      </c>
      <c r="B56" t="s">
        <v>900</v>
      </c>
      <c r="C56" t="s">
        <v>3317</v>
      </c>
      <c r="D56">
        <v>38</v>
      </c>
    </row>
    <row r="57" spans="1:4" x14ac:dyDescent="0.25">
      <c r="A57" t="s">
        <v>80</v>
      </c>
      <c r="B57" t="s">
        <v>900</v>
      </c>
      <c r="C57" t="s">
        <v>3318</v>
      </c>
      <c r="D57">
        <v>37</v>
      </c>
    </row>
    <row r="58" spans="1:4" x14ac:dyDescent="0.25">
      <c r="A58" t="s">
        <v>80</v>
      </c>
      <c r="B58" t="s">
        <v>1874</v>
      </c>
      <c r="C58" t="s">
        <v>3319</v>
      </c>
      <c r="D58">
        <v>38</v>
      </c>
    </row>
    <row r="59" spans="1:4" x14ac:dyDescent="0.25">
      <c r="A59" t="s">
        <v>80</v>
      </c>
      <c r="B59" t="s">
        <v>1261</v>
      </c>
      <c r="C59" t="s">
        <v>3320</v>
      </c>
      <c r="D59">
        <v>37</v>
      </c>
    </row>
    <row r="60" spans="1:4" x14ac:dyDescent="0.25">
      <c r="A60" t="s">
        <v>123</v>
      </c>
      <c r="B60" t="s">
        <v>795</v>
      </c>
      <c r="C60" t="s">
        <v>3321</v>
      </c>
      <c r="D60">
        <v>34</v>
      </c>
    </row>
    <row r="61" spans="1:4" x14ac:dyDescent="0.25">
      <c r="A61" t="s">
        <v>123</v>
      </c>
      <c r="B61" t="s">
        <v>1116</v>
      </c>
      <c r="C61" t="s">
        <v>3322</v>
      </c>
      <c r="D61">
        <v>36</v>
      </c>
    </row>
    <row r="62" spans="1:4" x14ac:dyDescent="0.25">
      <c r="A62" t="s">
        <v>123</v>
      </c>
      <c r="B62" t="s">
        <v>45</v>
      </c>
      <c r="C62" t="s">
        <v>3323</v>
      </c>
      <c r="D62">
        <v>39</v>
      </c>
    </row>
    <row r="63" spans="1:4" x14ac:dyDescent="0.25">
      <c r="A63" t="s">
        <v>123</v>
      </c>
      <c r="B63" t="s">
        <v>274</v>
      </c>
      <c r="C63" t="s">
        <v>3324</v>
      </c>
      <c r="D63">
        <v>41</v>
      </c>
    </row>
    <row r="64" spans="1:4" x14ac:dyDescent="0.25">
      <c r="A64" t="s">
        <v>123</v>
      </c>
      <c r="B64" t="s">
        <v>333</v>
      </c>
      <c r="C64" t="s">
        <v>3325</v>
      </c>
      <c r="D64">
        <v>44</v>
      </c>
    </row>
    <row r="65" spans="1:4" x14ac:dyDescent="0.25">
      <c r="A65" t="s">
        <v>123</v>
      </c>
      <c r="B65" t="s">
        <v>1065</v>
      </c>
      <c r="C65" t="s">
        <v>3326</v>
      </c>
      <c r="D65">
        <v>43</v>
      </c>
    </row>
    <row r="66" spans="1:4" x14ac:dyDescent="0.25">
      <c r="A66" t="s">
        <v>123</v>
      </c>
      <c r="B66" t="s">
        <v>1533</v>
      </c>
      <c r="C66" t="s">
        <v>3327</v>
      </c>
      <c r="D66">
        <v>42</v>
      </c>
    </row>
    <row r="67" spans="1:4" x14ac:dyDescent="0.25">
      <c r="A67" t="s">
        <v>123</v>
      </c>
      <c r="B67" t="s">
        <v>1350</v>
      </c>
      <c r="C67" t="s">
        <v>3328</v>
      </c>
      <c r="D67">
        <v>44</v>
      </c>
    </row>
    <row r="68" spans="1:4" x14ac:dyDescent="0.25">
      <c r="A68" t="s">
        <v>123</v>
      </c>
      <c r="B68" t="s">
        <v>519</v>
      </c>
      <c r="C68" t="s">
        <v>3329</v>
      </c>
      <c r="D68">
        <v>42</v>
      </c>
    </row>
    <row r="69" spans="1:4" x14ac:dyDescent="0.25">
      <c r="A69" t="s">
        <v>123</v>
      </c>
      <c r="B69" t="s">
        <v>764</v>
      </c>
      <c r="C69" t="s">
        <v>3330</v>
      </c>
      <c r="D69">
        <v>40</v>
      </c>
    </row>
    <row r="70" spans="1:4" x14ac:dyDescent="0.25">
      <c r="A70" t="s">
        <v>123</v>
      </c>
      <c r="B70" t="s">
        <v>192</v>
      </c>
      <c r="C70" t="s">
        <v>3331</v>
      </c>
      <c r="D70">
        <v>39</v>
      </c>
    </row>
    <row r="71" spans="1:4" x14ac:dyDescent="0.25">
      <c r="A71" t="s">
        <v>123</v>
      </c>
      <c r="B71" t="s">
        <v>414</v>
      </c>
      <c r="C71" t="s">
        <v>3332</v>
      </c>
      <c r="D71">
        <v>37</v>
      </c>
    </row>
    <row r="72" spans="1:4" x14ac:dyDescent="0.25">
      <c r="A72" t="s">
        <v>123</v>
      </c>
      <c r="B72" t="s">
        <v>27</v>
      </c>
      <c r="C72" t="s">
        <v>3333</v>
      </c>
      <c r="D72">
        <v>39</v>
      </c>
    </row>
    <row r="73" spans="1:4" x14ac:dyDescent="0.25">
      <c r="A73" t="s">
        <v>123</v>
      </c>
      <c r="B73" t="s">
        <v>877</v>
      </c>
      <c r="C73" t="s">
        <v>3334</v>
      </c>
      <c r="D73">
        <v>37</v>
      </c>
    </row>
    <row r="74" spans="1:4" x14ac:dyDescent="0.25">
      <c r="A74" t="s">
        <v>123</v>
      </c>
      <c r="B74" t="s">
        <v>732</v>
      </c>
      <c r="C74" t="s">
        <v>3335</v>
      </c>
      <c r="D74">
        <v>35</v>
      </c>
    </row>
    <row r="75" spans="1:4" x14ac:dyDescent="0.25">
      <c r="A75" t="s">
        <v>123</v>
      </c>
      <c r="B75" t="s">
        <v>732</v>
      </c>
      <c r="C75" t="s">
        <v>3336</v>
      </c>
      <c r="D75">
        <v>34</v>
      </c>
    </row>
    <row r="76" spans="1:4" x14ac:dyDescent="0.25">
      <c r="A76" t="s">
        <v>123</v>
      </c>
      <c r="B76" t="s">
        <v>531</v>
      </c>
      <c r="C76" t="s">
        <v>3337</v>
      </c>
      <c r="D76">
        <v>36</v>
      </c>
    </row>
    <row r="77" spans="1:4" x14ac:dyDescent="0.25">
      <c r="A77" t="s">
        <v>123</v>
      </c>
      <c r="B77" t="s">
        <v>483</v>
      </c>
      <c r="C77" t="s">
        <v>3338</v>
      </c>
      <c r="D77">
        <v>37</v>
      </c>
    </row>
    <row r="79" spans="1:4" x14ac:dyDescent="0.25">
      <c r="A79" s="2" t="s">
        <v>157</v>
      </c>
    </row>
    <row r="80" spans="1:4" x14ac:dyDescent="0.25">
      <c r="A80" t="s">
        <v>158</v>
      </c>
      <c r="D80">
        <f>AVERAGE(D2:D77)</f>
        <v>29.276315789473685</v>
      </c>
    </row>
    <row r="81" spans="1:4" x14ac:dyDescent="0.25">
      <c r="A81" t="s">
        <v>159</v>
      </c>
      <c r="D81">
        <f>MAX(D2:D77)</f>
        <v>44</v>
      </c>
    </row>
    <row r="82" spans="1:4" x14ac:dyDescent="0.25">
      <c r="A82" t="s">
        <v>160</v>
      </c>
      <c r="D82">
        <f>MIN(D2:D77)</f>
        <v>1</v>
      </c>
    </row>
    <row r="83" spans="1:4" x14ac:dyDescent="0.25">
      <c r="A83" t="s">
        <v>161</v>
      </c>
      <c r="D83">
        <f>COUNTIF(D2:D77,"&gt;0")</f>
        <v>76</v>
      </c>
    </row>
    <row r="84" spans="1:4" x14ac:dyDescent="0.25">
      <c r="A84" t="s">
        <v>162</v>
      </c>
      <c r="D84">
        <f>COUNTIF(D2:D77,"=0")</f>
        <v>0</v>
      </c>
    </row>
    <row r="85" spans="1:4" x14ac:dyDescent="0.25">
      <c r="A85" t="s">
        <v>2857</v>
      </c>
      <c r="D85">
        <f>COUNTIF(D2:D77,"&lt;0")</f>
        <v>0</v>
      </c>
    </row>
    <row r="87" spans="1:4" x14ac:dyDescent="0.25">
      <c r="A87" s="2" t="s">
        <v>164</v>
      </c>
    </row>
    <row r="88" spans="1:4" x14ac:dyDescent="0.25">
      <c r="A88" t="s">
        <v>165</v>
      </c>
      <c r="D88">
        <f>AVERAGE(D2,D3,D4,D5,D6,D7,D8,D9,D10,D11,D12,D13,D14,D15,D16,D17,D18)</f>
        <v>13.352941176470589</v>
      </c>
    </row>
    <row r="89" spans="1:4" x14ac:dyDescent="0.25">
      <c r="A89" t="s">
        <v>166</v>
      </c>
      <c r="D89">
        <f>AVERAGE(D19,D20,D21,D22,D23,D24,D25,D26,D27,D28,D29,D30,D31,D32,D33,D34,D35)</f>
        <v>26.823529411764707</v>
      </c>
    </row>
    <row r="90" spans="1:4" x14ac:dyDescent="0.25">
      <c r="A90" t="s">
        <v>167</v>
      </c>
      <c r="D90">
        <f>AVERAGE(D36,D37,D38,D39,D40,D41,D42,D43,D44,D45,D46,D47,D48,D49,D50,D51,D52,D53,D54,D55,D56,D57,D58,D59)</f>
        <v>35.125</v>
      </c>
    </row>
    <row r="91" spans="1:4" x14ac:dyDescent="0.25">
      <c r="A91" t="s">
        <v>168</v>
      </c>
      <c r="D91">
        <f>AVERAGE(D60,D61,D62,D63,D64,D65,D66,D67,D68,D69,D70,D71,D72,D73,D74,D75,D76,D77)</f>
        <v>38.833333333333336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10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1136</v>
      </c>
      <c r="C2" t="s">
        <v>6</v>
      </c>
      <c r="D2">
        <v>2</v>
      </c>
    </row>
    <row r="3" spans="1:4" x14ac:dyDescent="0.25">
      <c r="A3" t="s">
        <v>4</v>
      </c>
      <c r="B3" t="s">
        <v>242</v>
      </c>
      <c r="C3" t="s">
        <v>306</v>
      </c>
      <c r="D3">
        <v>-1</v>
      </c>
    </row>
    <row r="4" spans="1:4" x14ac:dyDescent="0.25">
      <c r="A4" t="s">
        <v>4</v>
      </c>
      <c r="B4" t="s">
        <v>9</v>
      </c>
      <c r="C4" t="s">
        <v>1191</v>
      </c>
      <c r="D4">
        <v>0</v>
      </c>
    </row>
    <row r="5" spans="1:4" x14ac:dyDescent="0.25">
      <c r="A5" t="s">
        <v>4</v>
      </c>
      <c r="B5" t="s">
        <v>9</v>
      </c>
      <c r="C5" t="s">
        <v>308</v>
      </c>
      <c r="D5">
        <v>1</v>
      </c>
    </row>
    <row r="6" spans="1:4" x14ac:dyDescent="0.25">
      <c r="A6" t="s">
        <v>4</v>
      </c>
      <c r="B6" t="s">
        <v>1246</v>
      </c>
      <c r="C6" t="s">
        <v>12</v>
      </c>
      <c r="D6">
        <v>0</v>
      </c>
    </row>
    <row r="7" spans="1:4" x14ac:dyDescent="0.25">
      <c r="A7" t="s">
        <v>4</v>
      </c>
      <c r="B7" t="s">
        <v>1246</v>
      </c>
      <c r="C7" t="s">
        <v>309</v>
      </c>
      <c r="D7">
        <v>-1</v>
      </c>
    </row>
    <row r="8" spans="1:4" x14ac:dyDescent="0.25">
      <c r="A8" t="s">
        <v>4</v>
      </c>
      <c r="B8" t="s">
        <v>254</v>
      </c>
      <c r="C8" t="s">
        <v>14</v>
      </c>
      <c r="D8">
        <v>-3</v>
      </c>
    </row>
    <row r="9" spans="1:4" x14ac:dyDescent="0.25">
      <c r="A9" t="s">
        <v>4</v>
      </c>
      <c r="B9" t="s">
        <v>1441</v>
      </c>
      <c r="C9" t="s">
        <v>567</v>
      </c>
      <c r="D9">
        <v>0</v>
      </c>
    </row>
    <row r="10" spans="1:4" x14ac:dyDescent="0.25">
      <c r="A10" t="s">
        <v>4</v>
      </c>
      <c r="B10" t="s">
        <v>700</v>
      </c>
      <c r="C10" t="s">
        <v>696</v>
      </c>
      <c r="D10">
        <v>1</v>
      </c>
    </row>
    <row r="11" spans="1:4" x14ac:dyDescent="0.25">
      <c r="A11" t="s">
        <v>4</v>
      </c>
      <c r="B11" t="s">
        <v>729</v>
      </c>
      <c r="C11" t="s">
        <v>697</v>
      </c>
      <c r="D11">
        <v>-1</v>
      </c>
    </row>
    <row r="12" spans="1:4" x14ac:dyDescent="0.25">
      <c r="A12" t="s">
        <v>4</v>
      </c>
      <c r="B12" t="s">
        <v>108</v>
      </c>
      <c r="C12" t="s">
        <v>699</v>
      </c>
      <c r="D12">
        <v>1</v>
      </c>
    </row>
    <row r="13" spans="1:4" x14ac:dyDescent="0.25">
      <c r="A13" t="s">
        <v>4</v>
      </c>
      <c r="B13" t="s">
        <v>1700</v>
      </c>
      <c r="C13" t="s">
        <v>1110</v>
      </c>
      <c r="D13">
        <v>0</v>
      </c>
    </row>
    <row r="14" spans="1:4" x14ac:dyDescent="0.25">
      <c r="A14" t="s">
        <v>4</v>
      </c>
      <c r="B14" t="s">
        <v>1700</v>
      </c>
      <c r="C14" t="s">
        <v>2202</v>
      </c>
      <c r="D14">
        <v>-1</v>
      </c>
    </row>
    <row r="15" spans="1:4" x14ac:dyDescent="0.25">
      <c r="A15" t="s">
        <v>4</v>
      </c>
      <c r="B15" t="s">
        <v>196</v>
      </c>
      <c r="C15" t="s">
        <v>1500</v>
      </c>
      <c r="D15">
        <v>-2</v>
      </c>
    </row>
    <row r="16" spans="1:4" x14ac:dyDescent="0.25">
      <c r="A16" t="s">
        <v>4</v>
      </c>
      <c r="B16" t="s">
        <v>196</v>
      </c>
      <c r="C16" t="s">
        <v>1925</v>
      </c>
      <c r="D16">
        <v>-3</v>
      </c>
    </row>
    <row r="17" spans="1:4" x14ac:dyDescent="0.25">
      <c r="A17" t="s">
        <v>4</v>
      </c>
      <c r="B17" t="s">
        <v>813</v>
      </c>
      <c r="C17" t="s">
        <v>443</v>
      </c>
      <c r="D17">
        <v>0</v>
      </c>
    </row>
    <row r="18" spans="1:4" x14ac:dyDescent="0.25">
      <c r="A18" t="s">
        <v>4</v>
      </c>
      <c r="B18" t="s">
        <v>1940</v>
      </c>
      <c r="C18" t="s">
        <v>1926</v>
      </c>
      <c r="D18">
        <v>3</v>
      </c>
    </row>
    <row r="19" spans="1:4" x14ac:dyDescent="0.25">
      <c r="A19" t="s">
        <v>4</v>
      </c>
      <c r="B19" t="s">
        <v>612</v>
      </c>
      <c r="C19" t="s">
        <v>197</v>
      </c>
      <c r="D19">
        <v>5</v>
      </c>
    </row>
    <row r="20" spans="1:4" x14ac:dyDescent="0.25">
      <c r="A20" t="s">
        <v>4</v>
      </c>
      <c r="B20" t="s">
        <v>72</v>
      </c>
      <c r="C20" t="s">
        <v>789</v>
      </c>
      <c r="D20">
        <v>2</v>
      </c>
    </row>
    <row r="21" spans="1:4" x14ac:dyDescent="0.25">
      <c r="A21" t="s">
        <v>4</v>
      </c>
      <c r="B21" t="s">
        <v>481</v>
      </c>
      <c r="C21" t="s">
        <v>330</v>
      </c>
      <c r="D21">
        <v>5</v>
      </c>
    </row>
    <row r="22" spans="1:4" x14ac:dyDescent="0.25">
      <c r="A22" t="s">
        <v>4</v>
      </c>
      <c r="B22" t="s">
        <v>556</v>
      </c>
      <c r="C22" t="s">
        <v>2480</v>
      </c>
      <c r="D22">
        <v>4</v>
      </c>
    </row>
    <row r="23" spans="1:4" x14ac:dyDescent="0.25">
      <c r="A23" t="s">
        <v>4</v>
      </c>
      <c r="B23" t="s">
        <v>78</v>
      </c>
      <c r="C23" t="s">
        <v>1822</v>
      </c>
      <c r="D23">
        <v>2</v>
      </c>
    </row>
    <row r="24" spans="1:4" x14ac:dyDescent="0.25">
      <c r="A24" t="s">
        <v>40</v>
      </c>
      <c r="B24" t="s">
        <v>795</v>
      </c>
      <c r="C24" t="s">
        <v>925</v>
      </c>
      <c r="D24">
        <v>4</v>
      </c>
    </row>
    <row r="25" spans="1:4" x14ac:dyDescent="0.25">
      <c r="A25" t="s">
        <v>40</v>
      </c>
      <c r="B25" t="s">
        <v>325</v>
      </c>
      <c r="C25" t="s">
        <v>1823</v>
      </c>
      <c r="D25">
        <v>2</v>
      </c>
    </row>
    <row r="26" spans="1:4" x14ac:dyDescent="0.25">
      <c r="A26" t="s">
        <v>40</v>
      </c>
      <c r="B26" t="s">
        <v>427</v>
      </c>
      <c r="C26" t="s">
        <v>1439</v>
      </c>
      <c r="D26">
        <v>4</v>
      </c>
    </row>
    <row r="27" spans="1:4" x14ac:dyDescent="0.25">
      <c r="A27" t="s">
        <v>40</v>
      </c>
      <c r="B27" t="s">
        <v>723</v>
      </c>
      <c r="C27" t="s">
        <v>1209</v>
      </c>
      <c r="D27">
        <v>7</v>
      </c>
    </row>
    <row r="28" spans="1:4" x14ac:dyDescent="0.25">
      <c r="A28" t="s">
        <v>40</v>
      </c>
      <c r="B28" t="s">
        <v>724</v>
      </c>
      <c r="C28" t="s">
        <v>2963</v>
      </c>
      <c r="D28">
        <v>5</v>
      </c>
    </row>
    <row r="29" spans="1:4" x14ac:dyDescent="0.25">
      <c r="A29" t="s">
        <v>40</v>
      </c>
      <c r="B29" t="s">
        <v>1529</v>
      </c>
      <c r="C29" t="s">
        <v>1583</v>
      </c>
      <c r="D29">
        <v>7</v>
      </c>
    </row>
    <row r="30" spans="1:4" x14ac:dyDescent="0.25">
      <c r="A30" t="s">
        <v>40</v>
      </c>
      <c r="B30" t="s">
        <v>2510</v>
      </c>
      <c r="C30" t="s">
        <v>1584</v>
      </c>
      <c r="D30">
        <v>5</v>
      </c>
    </row>
    <row r="31" spans="1:4" x14ac:dyDescent="0.25">
      <c r="A31" t="s">
        <v>40</v>
      </c>
      <c r="B31" t="s">
        <v>499</v>
      </c>
      <c r="C31" t="s">
        <v>722</v>
      </c>
      <c r="D31">
        <v>3</v>
      </c>
    </row>
    <row r="32" spans="1:4" x14ac:dyDescent="0.25">
      <c r="A32" t="s">
        <v>40</v>
      </c>
      <c r="B32" t="s">
        <v>370</v>
      </c>
      <c r="C32" t="s">
        <v>2360</v>
      </c>
      <c r="D32">
        <v>4</v>
      </c>
    </row>
    <row r="33" spans="1:4" x14ac:dyDescent="0.25">
      <c r="A33" t="s">
        <v>40</v>
      </c>
      <c r="B33" t="s">
        <v>370</v>
      </c>
      <c r="C33" t="s">
        <v>2781</v>
      </c>
      <c r="D33">
        <v>5</v>
      </c>
    </row>
    <row r="34" spans="1:4" x14ac:dyDescent="0.25">
      <c r="A34" t="s">
        <v>40</v>
      </c>
      <c r="B34" t="s">
        <v>370</v>
      </c>
      <c r="C34" t="s">
        <v>3339</v>
      </c>
      <c r="D34">
        <v>6</v>
      </c>
    </row>
    <row r="35" spans="1:4" x14ac:dyDescent="0.25">
      <c r="A35" t="s">
        <v>40</v>
      </c>
      <c r="B35" t="s">
        <v>541</v>
      </c>
      <c r="C35" t="s">
        <v>2782</v>
      </c>
      <c r="D35">
        <v>7</v>
      </c>
    </row>
    <row r="36" spans="1:4" x14ac:dyDescent="0.25">
      <c r="A36" t="s">
        <v>40</v>
      </c>
      <c r="B36" t="s">
        <v>541</v>
      </c>
      <c r="C36" t="s">
        <v>2529</v>
      </c>
      <c r="D36">
        <v>8</v>
      </c>
    </row>
    <row r="37" spans="1:4" x14ac:dyDescent="0.25">
      <c r="A37" t="s">
        <v>40</v>
      </c>
      <c r="B37" t="s">
        <v>108</v>
      </c>
      <c r="C37" t="s">
        <v>1443</v>
      </c>
      <c r="D37">
        <v>7</v>
      </c>
    </row>
    <row r="38" spans="1:4" x14ac:dyDescent="0.25">
      <c r="A38" t="s">
        <v>40</v>
      </c>
      <c r="B38" t="s">
        <v>285</v>
      </c>
      <c r="C38" t="s">
        <v>2544</v>
      </c>
      <c r="D38">
        <v>10</v>
      </c>
    </row>
    <row r="39" spans="1:4" x14ac:dyDescent="0.25">
      <c r="A39" t="s">
        <v>40</v>
      </c>
      <c r="B39" t="s">
        <v>286</v>
      </c>
      <c r="C39" t="s">
        <v>1937</v>
      </c>
      <c r="D39">
        <v>8</v>
      </c>
    </row>
    <row r="40" spans="1:4" x14ac:dyDescent="0.25">
      <c r="A40" t="s">
        <v>40</v>
      </c>
      <c r="B40" t="s">
        <v>503</v>
      </c>
      <c r="C40" t="s">
        <v>2979</v>
      </c>
      <c r="D40">
        <v>11</v>
      </c>
    </row>
    <row r="41" spans="1:4" x14ac:dyDescent="0.25">
      <c r="A41" t="s">
        <v>40</v>
      </c>
      <c r="B41" t="s">
        <v>1045</v>
      </c>
      <c r="C41" t="s">
        <v>2980</v>
      </c>
      <c r="D41">
        <v>9</v>
      </c>
    </row>
    <row r="42" spans="1:4" x14ac:dyDescent="0.25">
      <c r="A42" t="s">
        <v>40</v>
      </c>
      <c r="B42" t="s">
        <v>2363</v>
      </c>
      <c r="C42" t="s">
        <v>3198</v>
      </c>
      <c r="D42">
        <v>12</v>
      </c>
    </row>
    <row r="43" spans="1:4" x14ac:dyDescent="0.25">
      <c r="A43" t="s">
        <v>40</v>
      </c>
      <c r="B43" t="s">
        <v>231</v>
      </c>
      <c r="C43" t="s">
        <v>3340</v>
      </c>
      <c r="D43">
        <v>9</v>
      </c>
    </row>
    <row r="44" spans="1:4" x14ac:dyDescent="0.25">
      <c r="A44" t="s">
        <v>40</v>
      </c>
      <c r="B44" t="s">
        <v>152</v>
      </c>
      <c r="C44" t="s">
        <v>3341</v>
      </c>
      <c r="D44">
        <v>12</v>
      </c>
    </row>
    <row r="45" spans="1:4" x14ac:dyDescent="0.25">
      <c r="A45" t="s">
        <v>40</v>
      </c>
      <c r="B45" t="s">
        <v>76</v>
      </c>
      <c r="C45" t="s">
        <v>3342</v>
      </c>
      <c r="D45">
        <v>10</v>
      </c>
    </row>
    <row r="46" spans="1:4" x14ac:dyDescent="0.25">
      <c r="A46" t="s">
        <v>40</v>
      </c>
      <c r="B46" t="s">
        <v>1568</v>
      </c>
      <c r="C46" t="s">
        <v>1454</v>
      </c>
      <c r="D46">
        <v>11</v>
      </c>
    </row>
    <row r="47" spans="1:4" x14ac:dyDescent="0.25">
      <c r="A47" t="s">
        <v>40</v>
      </c>
      <c r="B47" t="s">
        <v>1568</v>
      </c>
      <c r="C47" t="s">
        <v>2785</v>
      </c>
      <c r="D47">
        <v>12</v>
      </c>
    </row>
    <row r="48" spans="1:4" x14ac:dyDescent="0.25">
      <c r="A48" t="s">
        <v>80</v>
      </c>
      <c r="B48" t="s">
        <v>1541</v>
      </c>
      <c r="C48" t="s">
        <v>1596</v>
      </c>
      <c r="D48">
        <v>10</v>
      </c>
    </row>
    <row r="49" spans="1:4" x14ac:dyDescent="0.25">
      <c r="A49" t="s">
        <v>80</v>
      </c>
      <c r="B49" t="s">
        <v>7</v>
      </c>
      <c r="C49" t="s">
        <v>3343</v>
      </c>
      <c r="D49">
        <v>13</v>
      </c>
    </row>
    <row r="50" spans="1:4" x14ac:dyDescent="0.25">
      <c r="A50" t="s">
        <v>80</v>
      </c>
      <c r="B50" t="s">
        <v>823</v>
      </c>
      <c r="C50" t="s">
        <v>3344</v>
      </c>
      <c r="D50">
        <v>15</v>
      </c>
    </row>
    <row r="51" spans="1:4" x14ac:dyDescent="0.25">
      <c r="A51" t="s">
        <v>80</v>
      </c>
      <c r="B51" t="s">
        <v>1431</v>
      </c>
      <c r="C51" t="s">
        <v>3129</v>
      </c>
      <c r="D51">
        <v>16</v>
      </c>
    </row>
    <row r="52" spans="1:4" x14ac:dyDescent="0.25">
      <c r="A52" t="s">
        <v>80</v>
      </c>
      <c r="B52" t="s">
        <v>721</v>
      </c>
      <c r="C52" t="s">
        <v>1681</v>
      </c>
      <c r="D52">
        <v>14</v>
      </c>
    </row>
    <row r="53" spans="1:4" x14ac:dyDescent="0.25">
      <c r="A53" t="s">
        <v>80</v>
      </c>
      <c r="B53" t="s">
        <v>1493</v>
      </c>
      <c r="C53" t="s">
        <v>2787</v>
      </c>
      <c r="D53">
        <v>16</v>
      </c>
    </row>
    <row r="54" spans="1:4" x14ac:dyDescent="0.25">
      <c r="A54" t="s">
        <v>80</v>
      </c>
      <c r="B54" t="s">
        <v>1169</v>
      </c>
      <c r="C54" t="s">
        <v>3345</v>
      </c>
      <c r="D54">
        <v>19</v>
      </c>
    </row>
    <row r="55" spans="1:4" x14ac:dyDescent="0.25">
      <c r="A55" t="s">
        <v>80</v>
      </c>
      <c r="B55" t="s">
        <v>2842</v>
      </c>
      <c r="C55" t="s">
        <v>2367</v>
      </c>
      <c r="D55">
        <v>16</v>
      </c>
    </row>
    <row r="56" spans="1:4" x14ac:dyDescent="0.25">
      <c r="A56" t="s">
        <v>80</v>
      </c>
      <c r="B56" t="s">
        <v>56</v>
      </c>
      <c r="C56" t="s">
        <v>3133</v>
      </c>
      <c r="D56">
        <v>17</v>
      </c>
    </row>
    <row r="57" spans="1:4" x14ac:dyDescent="0.25">
      <c r="A57" t="s">
        <v>80</v>
      </c>
      <c r="B57" t="s">
        <v>56</v>
      </c>
      <c r="C57" t="s">
        <v>964</v>
      </c>
      <c r="D57">
        <v>18</v>
      </c>
    </row>
    <row r="58" spans="1:4" x14ac:dyDescent="0.25">
      <c r="A58" t="s">
        <v>80</v>
      </c>
      <c r="B58" t="s">
        <v>93</v>
      </c>
      <c r="C58" t="s">
        <v>2825</v>
      </c>
      <c r="D58">
        <v>21</v>
      </c>
    </row>
    <row r="59" spans="1:4" x14ac:dyDescent="0.25">
      <c r="A59" t="s">
        <v>80</v>
      </c>
      <c r="B59" t="s">
        <v>740</v>
      </c>
      <c r="C59" t="s">
        <v>2370</v>
      </c>
      <c r="D59">
        <v>19</v>
      </c>
    </row>
    <row r="60" spans="1:4" x14ac:dyDescent="0.25">
      <c r="A60" t="s">
        <v>80</v>
      </c>
      <c r="B60" t="s">
        <v>740</v>
      </c>
      <c r="C60" t="s">
        <v>3346</v>
      </c>
      <c r="D60">
        <v>18</v>
      </c>
    </row>
    <row r="61" spans="1:4" x14ac:dyDescent="0.25">
      <c r="A61" t="s">
        <v>80</v>
      </c>
      <c r="B61" t="s">
        <v>1090</v>
      </c>
      <c r="C61" t="s">
        <v>3347</v>
      </c>
      <c r="D61">
        <v>16</v>
      </c>
    </row>
    <row r="62" spans="1:4" x14ac:dyDescent="0.25">
      <c r="A62" t="s">
        <v>80</v>
      </c>
      <c r="B62" t="s">
        <v>663</v>
      </c>
      <c r="C62" t="s">
        <v>971</v>
      </c>
      <c r="D62">
        <v>19</v>
      </c>
    </row>
    <row r="63" spans="1:4" x14ac:dyDescent="0.25">
      <c r="A63" t="s">
        <v>80</v>
      </c>
      <c r="B63" t="s">
        <v>471</v>
      </c>
      <c r="C63" t="s">
        <v>2940</v>
      </c>
      <c r="D63">
        <v>17</v>
      </c>
    </row>
    <row r="64" spans="1:4" x14ac:dyDescent="0.25">
      <c r="A64" t="s">
        <v>80</v>
      </c>
      <c r="B64" t="s">
        <v>845</v>
      </c>
      <c r="C64" t="s">
        <v>3182</v>
      </c>
      <c r="D64">
        <v>18</v>
      </c>
    </row>
    <row r="65" spans="1:4" x14ac:dyDescent="0.25">
      <c r="A65" t="s">
        <v>80</v>
      </c>
      <c r="B65" t="s">
        <v>845</v>
      </c>
      <c r="C65" t="s">
        <v>974</v>
      </c>
      <c r="D65">
        <v>19</v>
      </c>
    </row>
    <row r="66" spans="1:4" x14ac:dyDescent="0.25">
      <c r="A66" t="s">
        <v>80</v>
      </c>
      <c r="B66" t="s">
        <v>146</v>
      </c>
      <c r="C66" t="s">
        <v>3348</v>
      </c>
      <c r="D66">
        <v>17</v>
      </c>
    </row>
    <row r="67" spans="1:4" x14ac:dyDescent="0.25">
      <c r="A67" t="s">
        <v>80</v>
      </c>
      <c r="B67" t="s">
        <v>813</v>
      </c>
      <c r="C67" t="s">
        <v>3349</v>
      </c>
      <c r="D67">
        <v>15</v>
      </c>
    </row>
    <row r="68" spans="1:4" x14ac:dyDescent="0.25">
      <c r="A68" t="s">
        <v>80</v>
      </c>
      <c r="B68" t="s">
        <v>392</v>
      </c>
      <c r="C68" t="s">
        <v>3350</v>
      </c>
      <c r="D68">
        <v>14</v>
      </c>
    </row>
    <row r="69" spans="1:4" x14ac:dyDescent="0.25">
      <c r="A69" t="s">
        <v>80</v>
      </c>
      <c r="B69" t="s">
        <v>392</v>
      </c>
      <c r="C69" t="s">
        <v>2885</v>
      </c>
      <c r="D69">
        <v>13</v>
      </c>
    </row>
    <row r="70" spans="1:4" x14ac:dyDescent="0.25">
      <c r="A70" t="s">
        <v>80</v>
      </c>
      <c r="B70" t="s">
        <v>202</v>
      </c>
      <c r="C70" t="s">
        <v>2870</v>
      </c>
      <c r="D70">
        <v>12</v>
      </c>
    </row>
    <row r="71" spans="1:4" x14ac:dyDescent="0.25">
      <c r="A71" t="s">
        <v>80</v>
      </c>
      <c r="B71" t="s">
        <v>202</v>
      </c>
      <c r="C71" t="s">
        <v>3351</v>
      </c>
      <c r="D71">
        <v>11</v>
      </c>
    </row>
    <row r="72" spans="1:4" x14ac:dyDescent="0.25">
      <c r="A72" t="s">
        <v>80</v>
      </c>
      <c r="B72" t="s">
        <v>298</v>
      </c>
      <c r="C72" t="s">
        <v>3352</v>
      </c>
      <c r="D72">
        <v>13</v>
      </c>
    </row>
    <row r="73" spans="1:4" x14ac:dyDescent="0.25">
      <c r="A73" t="s">
        <v>123</v>
      </c>
      <c r="B73" t="s">
        <v>1648</v>
      </c>
      <c r="C73" t="s">
        <v>3353</v>
      </c>
      <c r="D73">
        <v>16</v>
      </c>
    </row>
    <row r="74" spans="1:4" x14ac:dyDescent="0.25">
      <c r="A74" t="s">
        <v>123</v>
      </c>
      <c r="B74" t="s">
        <v>130</v>
      </c>
      <c r="C74" t="s">
        <v>2800</v>
      </c>
      <c r="D74">
        <v>18</v>
      </c>
    </row>
    <row r="75" spans="1:4" x14ac:dyDescent="0.25">
      <c r="A75" t="s">
        <v>123</v>
      </c>
      <c r="B75" t="s">
        <v>9</v>
      </c>
      <c r="C75" t="s">
        <v>3354</v>
      </c>
      <c r="D75">
        <v>21</v>
      </c>
    </row>
    <row r="76" spans="1:4" x14ac:dyDescent="0.25">
      <c r="A76" t="s">
        <v>123</v>
      </c>
      <c r="B76" t="s">
        <v>588</v>
      </c>
      <c r="C76" t="s">
        <v>3355</v>
      </c>
      <c r="D76">
        <v>19</v>
      </c>
    </row>
    <row r="77" spans="1:4" x14ac:dyDescent="0.25">
      <c r="A77" t="s">
        <v>123</v>
      </c>
      <c r="B77" t="s">
        <v>307</v>
      </c>
      <c r="C77" t="s">
        <v>3356</v>
      </c>
      <c r="D77">
        <v>16</v>
      </c>
    </row>
    <row r="78" spans="1:4" x14ac:dyDescent="0.25">
      <c r="A78" t="s">
        <v>123</v>
      </c>
      <c r="B78" t="s">
        <v>1105</v>
      </c>
      <c r="C78" t="s">
        <v>3357</v>
      </c>
      <c r="D78">
        <v>14</v>
      </c>
    </row>
    <row r="79" spans="1:4" x14ac:dyDescent="0.25">
      <c r="A79" t="s">
        <v>123</v>
      </c>
      <c r="B79" t="s">
        <v>539</v>
      </c>
      <c r="C79" t="s">
        <v>3358</v>
      </c>
      <c r="D79">
        <v>12</v>
      </c>
    </row>
    <row r="80" spans="1:4" x14ac:dyDescent="0.25">
      <c r="A80" t="s">
        <v>123</v>
      </c>
      <c r="B80" t="s">
        <v>987</v>
      </c>
      <c r="C80" t="s">
        <v>2194</v>
      </c>
      <c r="D80">
        <v>13</v>
      </c>
    </row>
    <row r="81" spans="1:4" x14ac:dyDescent="0.25">
      <c r="A81" t="s">
        <v>123</v>
      </c>
      <c r="B81" t="s">
        <v>987</v>
      </c>
      <c r="C81" t="s">
        <v>989</v>
      </c>
      <c r="D81">
        <v>14</v>
      </c>
    </row>
    <row r="82" spans="1:4" x14ac:dyDescent="0.25">
      <c r="A82" t="s">
        <v>123</v>
      </c>
      <c r="B82" t="s">
        <v>384</v>
      </c>
      <c r="C82" t="s">
        <v>992</v>
      </c>
      <c r="D82">
        <v>12</v>
      </c>
    </row>
    <row r="83" spans="1:4" x14ac:dyDescent="0.25">
      <c r="A83" t="s">
        <v>123</v>
      </c>
      <c r="B83" t="s">
        <v>196</v>
      </c>
      <c r="C83" t="s">
        <v>3359</v>
      </c>
      <c r="D83">
        <v>11</v>
      </c>
    </row>
    <row r="84" spans="1:4" x14ac:dyDescent="0.25">
      <c r="A84" t="s">
        <v>123</v>
      </c>
      <c r="B84" t="s">
        <v>196</v>
      </c>
      <c r="C84" t="s">
        <v>424</v>
      </c>
      <c r="D84">
        <v>10</v>
      </c>
    </row>
    <row r="85" spans="1:4" x14ac:dyDescent="0.25">
      <c r="A85" t="s">
        <v>123</v>
      </c>
      <c r="B85" t="s">
        <v>414</v>
      </c>
      <c r="C85" t="s">
        <v>1486</v>
      </c>
      <c r="D85">
        <v>12</v>
      </c>
    </row>
    <row r="86" spans="1:4" x14ac:dyDescent="0.25">
      <c r="A86" t="s">
        <v>123</v>
      </c>
      <c r="B86" t="s">
        <v>611</v>
      </c>
      <c r="C86" t="s">
        <v>995</v>
      </c>
      <c r="D86">
        <v>11</v>
      </c>
    </row>
    <row r="87" spans="1:4" x14ac:dyDescent="0.25">
      <c r="A87" t="s">
        <v>123</v>
      </c>
      <c r="B87" t="s">
        <v>612</v>
      </c>
      <c r="C87" t="s">
        <v>997</v>
      </c>
      <c r="D87">
        <v>13</v>
      </c>
    </row>
    <row r="88" spans="1:4" x14ac:dyDescent="0.25">
      <c r="A88" t="s">
        <v>123</v>
      </c>
      <c r="B88" t="s">
        <v>1646</v>
      </c>
      <c r="C88" t="s">
        <v>2197</v>
      </c>
      <c r="D88">
        <v>10</v>
      </c>
    </row>
    <row r="89" spans="1:4" x14ac:dyDescent="0.25">
      <c r="A89" t="s">
        <v>123</v>
      </c>
      <c r="B89" t="s">
        <v>38</v>
      </c>
      <c r="C89" t="s">
        <v>3360</v>
      </c>
      <c r="D89">
        <v>8</v>
      </c>
    </row>
    <row r="91" spans="1:4" x14ac:dyDescent="0.25">
      <c r="A91" s="2" t="s">
        <v>157</v>
      </c>
    </row>
    <row r="92" spans="1:4" x14ac:dyDescent="0.25">
      <c r="A92" t="s">
        <v>158</v>
      </c>
      <c r="D92">
        <f>AVERAGE(D2:D89)</f>
        <v>9.295454545454545</v>
      </c>
    </row>
    <row r="93" spans="1:4" x14ac:dyDescent="0.25">
      <c r="A93" t="s">
        <v>159</v>
      </c>
      <c r="D93">
        <f>MAX(D2:D89)</f>
        <v>21</v>
      </c>
    </row>
    <row r="94" spans="1:4" x14ac:dyDescent="0.25">
      <c r="A94" t="s">
        <v>160</v>
      </c>
      <c r="D94">
        <f>MIN(D2:D89)</f>
        <v>-3</v>
      </c>
    </row>
    <row r="95" spans="1:4" x14ac:dyDescent="0.25">
      <c r="A95" t="s">
        <v>161</v>
      </c>
      <c r="D95">
        <f>COUNTIF(D2:D89,"&gt;0")</f>
        <v>76</v>
      </c>
    </row>
    <row r="96" spans="1:4" x14ac:dyDescent="0.25">
      <c r="A96" t="s">
        <v>162</v>
      </c>
      <c r="D96">
        <f>COUNTIF(D2:D89,"=0")</f>
        <v>5</v>
      </c>
    </row>
    <row r="97" spans="1:4" x14ac:dyDescent="0.25">
      <c r="A97" t="s">
        <v>2150</v>
      </c>
      <c r="D97">
        <f>COUNTIF(D2:D89,"&lt;0")</f>
        <v>7</v>
      </c>
    </row>
    <row r="99" spans="1:4" x14ac:dyDescent="0.25">
      <c r="A99" s="2" t="s">
        <v>164</v>
      </c>
    </row>
    <row r="100" spans="1:4" x14ac:dyDescent="0.25">
      <c r="A100" t="s">
        <v>165</v>
      </c>
      <c r="D100">
        <f>AVERAGE(D2,D3,D4,D5,D6,D7,D8,D9,D10,D11,D12,D13,D14,D15,D16,D17,D18,D19,D20,D21,D22,D23)</f>
        <v>0.63636363636363635</v>
      </c>
    </row>
    <row r="101" spans="1:4" x14ac:dyDescent="0.25">
      <c r="A101" t="s">
        <v>166</v>
      </c>
      <c r="D101">
        <f>AVERAGE(D24,D25,D26,D27,D28,D29,D30,D31,D32,D33,D34,D35,D36,D37,D38,D39,D40,D41,D42,D43,D44,D45,D46,D47)</f>
        <v>7.416666666666667</v>
      </c>
    </row>
    <row r="102" spans="1:4" x14ac:dyDescent="0.25">
      <c r="A102" t="s">
        <v>167</v>
      </c>
      <c r="D102">
        <f>AVERAGE(D48,D49,D50,D51,D52,D53,D54,D55,D56,D57,D58,D59,D60,D61,D62,D63,D64,D65,D66,D67,D68,D69,D70,D71,D72)</f>
        <v>15.84</v>
      </c>
    </row>
    <row r="103" spans="1:4" x14ac:dyDescent="0.25">
      <c r="A103" t="s">
        <v>168</v>
      </c>
      <c r="D103">
        <f>AVERAGE(D73,D74,D75,D76,D77,D78,D79,D80,D81,D82,D83,D84,D85,D86,D87,D88,D89)</f>
        <v>13.529411764705882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907</v>
      </c>
      <c r="C2" t="s">
        <v>6</v>
      </c>
      <c r="D2">
        <v>2</v>
      </c>
    </row>
    <row r="3" spans="1:4" x14ac:dyDescent="0.25">
      <c r="A3" t="s">
        <v>4</v>
      </c>
      <c r="B3" t="s">
        <v>1543</v>
      </c>
      <c r="C3" t="s">
        <v>171</v>
      </c>
      <c r="D3">
        <v>3</v>
      </c>
    </row>
    <row r="4" spans="1:4" x14ac:dyDescent="0.25">
      <c r="A4" t="s">
        <v>4</v>
      </c>
      <c r="B4" t="s">
        <v>1543</v>
      </c>
      <c r="C4" t="s">
        <v>2353</v>
      </c>
      <c r="D4">
        <v>4</v>
      </c>
    </row>
    <row r="5" spans="1:4" x14ac:dyDescent="0.25">
      <c r="A5" t="s">
        <v>4</v>
      </c>
      <c r="B5" t="s">
        <v>2405</v>
      </c>
      <c r="C5" t="s">
        <v>690</v>
      </c>
      <c r="D5">
        <v>6</v>
      </c>
    </row>
    <row r="6" spans="1:4" x14ac:dyDescent="0.25">
      <c r="A6" t="s">
        <v>4</v>
      </c>
      <c r="B6" t="s">
        <v>1411</v>
      </c>
      <c r="C6" t="s">
        <v>2475</v>
      </c>
      <c r="D6">
        <v>9</v>
      </c>
    </row>
    <row r="7" spans="1:4" x14ac:dyDescent="0.25">
      <c r="A7" t="s">
        <v>4</v>
      </c>
      <c r="B7" t="s">
        <v>91</v>
      </c>
      <c r="C7" t="s">
        <v>2476</v>
      </c>
      <c r="D7">
        <v>11</v>
      </c>
    </row>
    <row r="8" spans="1:4" x14ac:dyDescent="0.25">
      <c r="A8" t="s">
        <v>4</v>
      </c>
      <c r="B8" t="s">
        <v>1693</v>
      </c>
      <c r="C8" t="s">
        <v>3361</v>
      </c>
      <c r="D8">
        <v>12</v>
      </c>
    </row>
    <row r="9" spans="1:4" x14ac:dyDescent="0.25">
      <c r="A9" t="s">
        <v>4</v>
      </c>
      <c r="B9" t="s">
        <v>1693</v>
      </c>
      <c r="C9" t="s">
        <v>2477</v>
      </c>
      <c r="D9">
        <v>13</v>
      </c>
    </row>
    <row r="10" spans="1:4" x14ac:dyDescent="0.25">
      <c r="A10" t="s">
        <v>4</v>
      </c>
      <c r="B10" t="s">
        <v>2431</v>
      </c>
      <c r="C10" t="s">
        <v>3362</v>
      </c>
      <c r="D10">
        <v>12</v>
      </c>
    </row>
    <row r="11" spans="1:4" x14ac:dyDescent="0.25">
      <c r="A11" t="s">
        <v>4</v>
      </c>
      <c r="B11" t="s">
        <v>2431</v>
      </c>
      <c r="C11" t="s">
        <v>2478</v>
      </c>
      <c r="D11">
        <v>11</v>
      </c>
    </row>
    <row r="12" spans="1:4" x14ac:dyDescent="0.25">
      <c r="A12" t="s">
        <v>4</v>
      </c>
      <c r="B12" t="s">
        <v>1775</v>
      </c>
      <c r="C12" t="s">
        <v>3363</v>
      </c>
      <c r="D12">
        <v>13</v>
      </c>
    </row>
    <row r="13" spans="1:4" x14ac:dyDescent="0.25">
      <c r="A13" t="s">
        <v>4</v>
      </c>
      <c r="B13" t="s">
        <v>1775</v>
      </c>
      <c r="C13" t="s">
        <v>3364</v>
      </c>
      <c r="D13">
        <v>14</v>
      </c>
    </row>
    <row r="14" spans="1:4" x14ac:dyDescent="0.25">
      <c r="A14" t="s">
        <v>4</v>
      </c>
      <c r="B14" t="s">
        <v>261</v>
      </c>
      <c r="C14" t="s">
        <v>3365</v>
      </c>
      <c r="D14">
        <v>16</v>
      </c>
    </row>
    <row r="15" spans="1:4" x14ac:dyDescent="0.25">
      <c r="A15" t="s">
        <v>4</v>
      </c>
      <c r="B15" t="s">
        <v>475</v>
      </c>
      <c r="C15" t="s">
        <v>3366</v>
      </c>
      <c r="D15">
        <v>18</v>
      </c>
    </row>
    <row r="16" spans="1:4" x14ac:dyDescent="0.25">
      <c r="A16" t="s">
        <v>4</v>
      </c>
      <c r="B16" t="s">
        <v>1339</v>
      </c>
      <c r="C16" t="s">
        <v>3367</v>
      </c>
      <c r="D16">
        <v>16</v>
      </c>
    </row>
    <row r="17" spans="1:4" x14ac:dyDescent="0.25">
      <c r="A17" t="s">
        <v>4</v>
      </c>
      <c r="B17" t="s">
        <v>880</v>
      </c>
      <c r="C17" t="s">
        <v>3368</v>
      </c>
      <c r="D17">
        <v>14</v>
      </c>
    </row>
    <row r="18" spans="1:4" x14ac:dyDescent="0.25">
      <c r="A18" t="s">
        <v>4</v>
      </c>
      <c r="B18" t="s">
        <v>348</v>
      </c>
      <c r="C18" t="s">
        <v>3369</v>
      </c>
      <c r="D18">
        <v>15</v>
      </c>
    </row>
    <row r="19" spans="1:4" x14ac:dyDescent="0.25">
      <c r="A19" t="s">
        <v>4</v>
      </c>
      <c r="B19" t="s">
        <v>348</v>
      </c>
      <c r="C19" t="s">
        <v>3370</v>
      </c>
      <c r="D19">
        <v>16</v>
      </c>
    </row>
    <row r="20" spans="1:4" x14ac:dyDescent="0.25">
      <c r="A20" t="s">
        <v>4</v>
      </c>
      <c r="B20" t="s">
        <v>235</v>
      </c>
      <c r="C20" t="s">
        <v>3371</v>
      </c>
      <c r="D20">
        <v>14</v>
      </c>
    </row>
    <row r="21" spans="1:4" x14ac:dyDescent="0.25">
      <c r="A21" t="s">
        <v>40</v>
      </c>
      <c r="B21" t="s">
        <v>128</v>
      </c>
      <c r="C21" t="s">
        <v>2893</v>
      </c>
      <c r="D21">
        <v>12</v>
      </c>
    </row>
    <row r="22" spans="1:4" x14ac:dyDescent="0.25">
      <c r="A22" t="s">
        <v>40</v>
      </c>
      <c r="B22" t="s">
        <v>83</v>
      </c>
      <c r="C22" t="s">
        <v>3372</v>
      </c>
      <c r="D22">
        <v>14</v>
      </c>
    </row>
    <row r="23" spans="1:4" x14ac:dyDescent="0.25">
      <c r="A23" t="s">
        <v>40</v>
      </c>
      <c r="B23" t="s">
        <v>244</v>
      </c>
      <c r="C23" t="s">
        <v>2519</v>
      </c>
      <c r="D23">
        <v>11</v>
      </c>
    </row>
    <row r="24" spans="1:4" x14ac:dyDescent="0.25">
      <c r="A24" t="s">
        <v>40</v>
      </c>
      <c r="B24" t="s">
        <v>935</v>
      </c>
      <c r="C24" t="s">
        <v>2924</v>
      </c>
      <c r="D24">
        <v>10</v>
      </c>
    </row>
    <row r="25" spans="1:4" x14ac:dyDescent="0.25">
      <c r="A25" t="s">
        <v>40</v>
      </c>
      <c r="B25" t="s">
        <v>1773</v>
      </c>
      <c r="C25" t="s">
        <v>2540</v>
      </c>
      <c r="D25">
        <v>8</v>
      </c>
    </row>
    <row r="26" spans="1:4" x14ac:dyDescent="0.25">
      <c r="A26" t="s">
        <v>40</v>
      </c>
      <c r="B26" t="s">
        <v>177</v>
      </c>
      <c r="C26" t="s">
        <v>204</v>
      </c>
      <c r="D26">
        <v>7</v>
      </c>
    </row>
    <row r="27" spans="1:4" x14ac:dyDescent="0.25">
      <c r="A27" t="s">
        <v>40</v>
      </c>
      <c r="B27" t="s">
        <v>254</v>
      </c>
      <c r="C27" t="s">
        <v>207</v>
      </c>
      <c r="D27">
        <v>5</v>
      </c>
    </row>
    <row r="28" spans="1:4" x14ac:dyDescent="0.25">
      <c r="A28" t="s">
        <v>40</v>
      </c>
      <c r="B28" t="s">
        <v>405</v>
      </c>
      <c r="C28" t="s">
        <v>210</v>
      </c>
      <c r="D28">
        <v>7</v>
      </c>
    </row>
    <row r="29" spans="1:4" x14ac:dyDescent="0.25">
      <c r="A29" t="s">
        <v>40</v>
      </c>
      <c r="B29" t="s">
        <v>870</v>
      </c>
      <c r="C29" t="s">
        <v>1930</v>
      </c>
      <c r="D29">
        <v>9</v>
      </c>
    </row>
    <row r="30" spans="1:4" x14ac:dyDescent="0.25">
      <c r="A30" t="s">
        <v>40</v>
      </c>
      <c r="B30" t="s">
        <v>870</v>
      </c>
      <c r="C30" t="s">
        <v>2927</v>
      </c>
      <c r="D30">
        <v>10</v>
      </c>
    </row>
    <row r="31" spans="1:4" x14ac:dyDescent="0.25">
      <c r="A31" t="s">
        <v>40</v>
      </c>
      <c r="B31" t="s">
        <v>1695</v>
      </c>
      <c r="C31" t="s">
        <v>2928</v>
      </c>
      <c r="D31">
        <v>12</v>
      </c>
    </row>
    <row r="32" spans="1:4" x14ac:dyDescent="0.25">
      <c r="A32" t="s">
        <v>40</v>
      </c>
      <c r="B32" t="s">
        <v>192</v>
      </c>
      <c r="C32" t="s">
        <v>3005</v>
      </c>
      <c r="D32">
        <v>14</v>
      </c>
    </row>
    <row r="33" spans="1:4" x14ac:dyDescent="0.25">
      <c r="A33" t="s">
        <v>40</v>
      </c>
      <c r="B33" t="s">
        <v>196</v>
      </c>
      <c r="C33" t="s">
        <v>2056</v>
      </c>
      <c r="D33">
        <v>16</v>
      </c>
    </row>
    <row r="34" spans="1:4" x14ac:dyDescent="0.25">
      <c r="A34" t="s">
        <v>40</v>
      </c>
      <c r="B34" t="s">
        <v>579</v>
      </c>
      <c r="C34" t="s">
        <v>1034</v>
      </c>
      <c r="D34">
        <v>13</v>
      </c>
    </row>
    <row r="35" spans="1:4" x14ac:dyDescent="0.25">
      <c r="A35" t="s">
        <v>40</v>
      </c>
      <c r="B35" t="s">
        <v>74</v>
      </c>
      <c r="C35" t="s">
        <v>2651</v>
      </c>
      <c r="D35">
        <v>15</v>
      </c>
    </row>
    <row r="36" spans="1:4" x14ac:dyDescent="0.25">
      <c r="A36" t="s">
        <v>40</v>
      </c>
      <c r="B36" t="s">
        <v>301</v>
      </c>
      <c r="C36" t="s">
        <v>2652</v>
      </c>
      <c r="D36">
        <v>13</v>
      </c>
    </row>
    <row r="37" spans="1:4" x14ac:dyDescent="0.25">
      <c r="A37" t="s">
        <v>80</v>
      </c>
      <c r="B37" t="s">
        <v>932</v>
      </c>
      <c r="C37" t="s">
        <v>2653</v>
      </c>
      <c r="D37">
        <v>15</v>
      </c>
    </row>
    <row r="38" spans="1:4" x14ac:dyDescent="0.25">
      <c r="A38" t="s">
        <v>80</v>
      </c>
      <c r="B38" t="s">
        <v>2570</v>
      </c>
      <c r="C38" t="s">
        <v>3373</v>
      </c>
      <c r="D38">
        <v>17</v>
      </c>
    </row>
    <row r="39" spans="1:4" x14ac:dyDescent="0.25">
      <c r="A39" t="s">
        <v>80</v>
      </c>
      <c r="B39" t="s">
        <v>2570</v>
      </c>
      <c r="C39" t="s">
        <v>1299</v>
      </c>
      <c r="D39">
        <v>18</v>
      </c>
    </row>
    <row r="40" spans="1:4" x14ac:dyDescent="0.25">
      <c r="A40" t="s">
        <v>80</v>
      </c>
      <c r="B40" t="s">
        <v>305</v>
      </c>
      <c r="C40" t="s">
        <v>2655</v>
      </c>
      <c r="D40">
        <v>16</v>
      </c>
    </row>
    <row r="41" spans="1:4" x14ac:dyDescent="0.25">
      <c r="A41" t="s">
        <v>80</v>
      </c>
      <c r="B41" t="s">
        <v>400</v>
      </c>
      <c r="C41" t="s">
        <v>2908</v>
      </c>
      <c r="D41">
        <v>14</v>
      </c>
    </row>
    <row r="42" spans="1:4" x14ac:dyDescent="0.25">
      <c r="A42" t="s">
        <v>80</v>
      </c>
      <c r="B42" t="s">
        <v>277</v>
      </c>
      <c r="C42" t="s">
        <v>3374</v>
      </c>
      <c r="D42">
        <v>15</v>
      </c>
    </row>
    <row r="43" spans="1:4" x14ac:dyDescent="0.25">
      <c r="A43" t="s">
        <v>80</v>
      </c>
      <c r="B43" t="s">
        <v>1498</v>
      </c>
      <c r="C43" t="s">
        <v>2657</v>
      </c>
      <c r="D43">
        <v>17</v>
      </c>
    </row>
    <row r="44" spans="1:4" x14ac:dyDescent="0.25">
      <c r="A44" t="s">
        <v>80</v>
      </c>
      <c r="B44" t="s">
        <v>740</v>
      </c>
      <c r="C44" t="s">
        <v>3012</v>
      </c>
      <c r="D44">
        <v>15</v>
      </c>
    </row>
    <row r="45" spans="1:4" x14ac:dyDescent="0.25">
      <c r="A45" t="s">
        <v>80</v>
      </c>
      <c r="B45" t="s">
        <v>1230</v>
      </c>
      <c r="C45" t="s">
        <v>2659</v>
      </c>
      <c r="D45">
        <v>17</v>
      </c>
    </row>
    <row r="46" spans="1:4" x14ac:dyDescent="0.25">
      <c r="A46" t="s">
        <v>80</v>
      </c>
      <c r="B46" t="s">
        <v>337</v>
      </c>
      <c r="C46" t="s">
        <v>3059</v>
      </c>
      <c r="D46">
        <v>20</v>
      </c>
    </row>
    <row r="47" spans="1:4" x14ac:dyDescent="0.25">
      <c r="A47" t="s">
        <v>80</v>
      </c>
      <c r="B47" t="s">
        <v>812</v>
      </c>
      <c r="C47" t="s">
        <v>2661</v>
      </c>
      <c r="D47">
        <v>18</v>
      </c>
    </row>
    <row r="48" spans="1:4" x14ac:dyDescent="0.25">
      <c r="A48" t="s">
        <v>80</v>
      </c>
      <c r="B48" t="s">
        <v>1043</v>
      </c>
      <c r="C48" t="s">
        <v>3375</v>
      </c>
      <c r="D48">
        <v>19</v>
      </c>
    </row>
    <row r="49" spans="1:4" x14ac:dyDescent="0.25">
      <c r="A49" t="s">
        <v>80</v>
      </c>
      <c r="B49" t="s">
        <v>1043</v>
      </c>
      <c r="C49" t="s">
        <v>2064</v>
      </c>
      <c r="D49">
        <v>20</v>
      </c>
    </row>
    <row r="50" spans="1:4" x14ac:dyDescent="0.25">
      <c r="A50" t="s">
        <v>80</v>
      </c>
      <c r="B50" t="s">
        <v>1422</v>
      </c>
      <c r="C50" t="s">
        <v>3376</v>
      </c>
      <c r="D50">
        <v>19</v>
      </c>
    </row>
    <row r="51" spans="1:4" x14ac:dyDescent="0.25">
      <c r="A51" t="s">
        <v>80</v>
      </c>
      <c r="B51" t="s">
        <v>1422</v>
      </c>
      <c r="C51" t="s">
        <v>2065</v>
      </c>
      <c r="D51">
        <v>18</v>
      </c>
    </row>
    <row r="52" spans="1:4" x14ac:dyDescent="0.25">
      <c r="A52" t="s">
        <v>80</v>
      </c>
      <c r="B52" t="s">
        <v>1132</v>
      </c>
      <c r="C52" t="s">
        <v>3377</v>
      </c>
      <c r="D52">
        <v>21</v>
      </c>
    </row>
    <row r="53" spans="1:4" x14ac:dyDescent="0.25">
      <c r="A53" t="s">
        <v>80</v>
      </c>
      <c r="B53" t="s">
        <v>2390</v>
      </c>
      <c r="C53" t="s">
        <v>3127</v>
      </c>
      <c r="D53">
        <v>19</v>
      </c>
    </row>
    <row r="54" spans="1:4" x14ac:dyDescent="0.25">
      <c r="A54" t="s">
        <v>80</v>
      </c>
      <c r="B54" t="s">
        <v>1222</v>
      </c>
      <c r="C54" t="s">
        <v>2070</v>
      </c>
      <c r="D54">
        <v>21</v>
      </c>
    </row>
    <row r="55" spans="1:4" x14ac:dyDescent="0.25">
      <c r="A55" t="s">
        <v>80</v>
      </c>
      <c r="B55" t="s">
        <v>296</v>
      </c>
      <c r="C55" t="s">
        <v>3062</v>
      </c>
      <c r="D55">
        <v>18</v>
      </c>
    </row>
    <row r="56" spans="1:4" x14ac:dyDescent="0.25">
      <c r="A56" t="s">
        <v>80</v>
      </c>
      <c r="B56" t="s">
        <v>582</v>
      </c>
      <c r="C56" t="s">
        <v>3063</v>
      </c>
      <c r="D56">
        <v>20</v>
      </c>
    </row>
    <row r="57" spans="1:4" x14ac:dyDescent="0.25">
      <c r="A57" t="s">
        <v>80</v>
      </c>
      <c r="B57" t="s">
        <v>930</v>
      </c>
      <c r="C57" t="s">
        <v>3064</v>
      </c>
      <c r="D57">
        <v>18</v>
      </c>
    </row>
    <row r="58" spans="1:4" x14ac:dyDescent="0.25">
      <c r="A58" t="s">
        <v>123</v>
      </c>
      <c r="B58" t="s">
        <v>126</v>
      </c>
      <c r="C58" t="s">
        <v>3378</v>
      </c>
      <c r="D58">
        <v>15</v>
      </c>
    </row>
    <row r="59" spans="1:4" x14ac:dyDescent="0.25">
      <c r="A59" t="s">
        <v>123</v>
      </c>
      <c r="B59" t="s">
        <v>1346</v>
      </c>
      <c r="C59" t="s">
        <v>964</v>
      </c>
      <c r="D59">
        <v>18</v>
      </c>
    </row>
    <row r="60" spans="1:4" x14ac:dyDescent="0.25">
      <c r="A60" t="s">
        <v>123</v>
      </c>
      <c r="B60" t="s">
        <v>2151</v>
      </c>
      <c r="C60" t="s">
        <v>3379</v>
      </c>
      <c r="D60">
        <v>15</v>
      </c>
    </row>
    <row r="61" spans="1:4" x14ac:dyDescent="0.25">
      <c r="A61" t="s">
        <v>123</v>
      </c>
      <c r="B61" t="s">
        <v>1958</v>
      </c>
      <c r="C61" t="s">
        <v>3346</v>
      </c>
      <c r="D61">
        <v>18</v>
      </c>
    </row>
    <row r="62" spans="1:4" x14ac:dyDescent="0.25">
      <c r="A62" t="s">
        <v>123</v>
      </c>
      <c r="B62" t="s">
        <v>56</v>
      </c>
      <c r="C62" t="s">
        <v>3347</v>
      </c>
      <c r="D62">
        <v>16</v>
      </c>
    </row>
    <row r="63" spans="1:4" x14ac:dyDescent="0.25">
      <c r="A63" t="s">
        <v>123</v>
      </c>
      <c r="B63" t="s">
        <v>1816</v>
      </c>
      <c r="C63" t="s">
        <v>3380</v>
      </c>
      <c r="D63">
        <v>18</v>
      </c>
    </row>
    <row r="64" spans="1:4" x14ac:dyDescent="0.25">
      <c r="A64" t="s">
        <v>123</v>
      </c>
      <c r="B64" t="s">
        <v>217</v>
      </c>
      <c r="C64" t="s">
        <v>3381</v>
      </c>
      <c r="D64">
        <v>16</v>
      </c>
    </row>
    <row r="65" spans="1:4" x14ac:dyDescent="0.25">
      <c r="A65" t="s">
        <v>123</v>
      </c>
      <c r="B65" t="s">
        <v>596</v>
      </c>
      <c r="C65" t="s">
        <v>974</v>
      </c>
      <c r="D65">
        <v>19</v>
      </c>
    </row>
    <row r="66" spans="1:4" x14ac:dyDescent="0.25">
      <c r="A66" t="s">
        <v>123</v>
      </c>
      <c r="B66" t="s">
        <v>221</v>
      </c>
      <c r="C66" t="s">
        <v>3382</v>
      </c>
      <c r="D66">
        <v>16</v>
      </c>
    </row>
    <row r="67" spans="1:4" x14ac:dyDescent="0.25">
      <c r="A67" t="s">
        <v>123</v>
      </c>
      <c r="B67" t="s">
        <v>315</v>
      </c>
      <c r="C67" t="s">
        <v>2376</v>
      </c>
      <c r="D67">
        <v>18</v>
      </c>
    </row>
    <row r="68" spans="1:4" x14ac:dyDescent="0.25">
      <c r="A68" t="s">
        <v>123</v>
      </c>
      <c r="B68" t="s">
        <v>1153</v>
      </c>
      <c r="C68" t="s">
        <v>2838</v>
      </c>
      <c r="D68">
        <v>21</v>
      </c>
    </row>
    <row r="69" spans="1:4" x14ac:dyDescent="0.25">
      <c r="A69" t="s">
        <v>123</v>
      </c>
      <c r="B69" t="s">
        <v>607</v>
      </c>
      <c r="C69" t="s">
        <v>3383</v>
      </c>
      <c r="D69">
        <v>19</v>
      </c>
    </row>
    <row r="70" spans="1:4" x14ac:dyDescent="0.25">
      <c r="A70" t="s">
        <v>123</v>
      </c>
      <c r="B70" t="s">
        <v>114</v>
      </c>
      <c r="C70" t="s">
        <v>3384</v>
      </c>
      <c r="D70">
        <v>22</v>
      </c>
    </row>
    <row r="71" spans="1:4" x14ac:dyDescent="0.25">
      <c r="A71" t="s">
        <v>123</v>
      </c>
      <c r="B71" t="s">
        <v>386</v>
      </c>
      <c r="C71" t="s">
        <v>3385</v>
      </c>
      <c r="D71">
        <v>20</v>
      </c>
    </row>
    <row r="72" spans="1:4" x14ac:dyDescent="0.25">
      <c r="A72" t="s">
        <v>123</v>
      </c>
      <c r="B72" t="s">
        <v>2147</v>
      </c>
      <c r="C72" t="s">
        <v>3386</v>
      </c>
      <c r="D72">
        <v>17</v>
      </c>
    </row>
    <row r="73" spans="1:4" x14ac:dyDescent="0.25">
      <c r="A73" t="s">
        <v>123</v>
      </c>
      <c r="B73" t="s">
        <v>1675</v>
      </c>
      <c r="C73" t="s">
        <v>2801</v>
      </c>
      <c r="D73">
        <v>18</v>
      </c>
    </row>
    <row r="74" spans="1:4" x14ac:dyDescent="0.25">
      <c r="A74" t="s">
        <v>123</v>
      </c>
      <c r="B74" t="s">
        <v>1675</v>
      </c>
      <c r="C74" t="s">
        <v>3355</v>
      </c>
      <c r="D74">
        <v>19</v>
      </c>
    </row>
    <row r="75" spans="1:4" x14ac:dyDescent="0.25">
      <c r="A75" t="s">
        <v>123</v>
      </c>
      <c r="B75" t="s">
        <v>322</v>
      </c>
      <c r="C75" t="s">
        <v>3387</v>
      </c>
      <c r="D75">
        <v>20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14.797297297297296</v>
      </c>
    </row>
    <row r="79" spans="1:4" x14ac:dyDescent="0.25">
      <c r="A79" t="s">
        <v>159</v>
      </c>
      <c r="D79">
        <f>MAX(D2:D75)</f>
        <v>22</v>
      </c>
    </row>
    <row r="80" spans="1:4" x14ac:dyDescent="0.25">
      <c r="A80" t="s">
        <v>160</v>
      </c>
      <c r="D80">
        <f>MIN(D2:D75)</f>
        <v>2</v>
      </c>
    </row>
    <row r="81" spans="1:4" x14ac:dyDescent="0.25">
      <c r="A81" t="s">
        <v>161</v>
      </c>
      <c r="D81">
        <f>COUNTIF(D2:D75,"&gt;0")</f>
        <v>74</v>
      </c>
    </row>
    <row r="82" spans="1:4" x14ac:dyDescent="0.25">
      <c r="A82" t="s">
        <v>162</v>
      </c>
      <c r="D82">
        <f>COUNTIF(D2:D75,"=0")</f>
        <v>0</v>
      </c>
    </row>
    <row r="83" spans="1:4" x14ac:dyDescent="0.25">
      <c r="A83" t="s">
        <v>2872</v>
      </c>
      <c r="D83">
        <f>COUNTIF(D2:D75,"&lt;0")</f>
        <v>0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AVERAGE(D2,D3,D4,D5,D6,D7,D8,D9,D10,D11,D12,D13,D14,D15,D16,D17,D18,D19,D20)</f>
        <v>11.526315789473685</v>
      </c>
    </row>
    <row r="87" spans="1:4" x14ac:dyDescent="0.25">
      <c r="A87" t="s">
        <v>166</v>
      </c>
      <c r="D87">
        <f>AVERAGE(D21,D22,D23,D24,D25,D26,D27,D28,D29,D30,D31,D32,D33,D34,D35,D36)</f>
        <v>11</v>
      </c>
    </row>
    <row r="88" spans="1:4" x14ac:dyDescent="0.25">
      <c r="A88" t="s">
        <v>167</v>
      </c>
      <c r="D88">
        <f>AVERAGE(D37,D38,D39,D40,D41,D42,D43,D44,D45,D46,D47,D48,D49,D50,D51,D52,D53,D54,D55,D56,D57)</f>
        <v>17.857142857142858</v>
      </c>
    </row>
    <row r="89" spans="1:4" x14ac:dyDescent="0.25">
      <c r="A89" t="s">
        <v>168</v>
      </c>
      <c r="D89">
        <f>AVERAGE(D58,D59,D60,D61,D62,D63,D64,D65,D66,D67,D68,D69,D70,D71,D72,D73,D74,D75)</f>
        <v>18.055555555555557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0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2044</v>
      </c>
    </row>
    <row r="2" spans="1:4" x14ac:dyDescent="0.25">
      <c r="A2" t="s">
        <v>4</v>
      </c>
      <c r="B2" t="s">
        <v>126</v>
      </c>
      <c r="C2" t="s">
        <v>6</v>
      </c>
      <c r="D2">
        <v>2</v>
      </c>
    </row>
    <row r="3" spans="1:4" x14ac:dyDescent="0.25">
      <c r="A3" t="s">
        <v>4</v>
      </c>
      <c r="B3" t="s">
        <v>1266</v>
      </c>
      <c r="C3" t="s">
        <v>306</v>
      </c>
      <c r="D3">
        <v>-1</v>
      </c>
    </row>
    <row r="4" spans="1:4" x14ac:dyDescent="0.25">
      <c r="A4" t="s">
        <v>4</v>
      </c>
      <c r="B4" t="s">
        <v>935</v>
      </c>
      <c r="C4" t="s">
        <v>1869</v>
      </c>
      <c r="D4">
        <v>-3</v>
      </c>
    </row>
    <row r="5" spans="1:4" x14ac:dyDescent="0.25">
      <c r="A5" t="s">
        <v>4</v>
      </c>
      <c r="B5" t="s">
        <v>2405</v>
      </c>
      <c r="C5" t="s">
        <v>2297</v>
      </c>
      <c r="D5">
        <v>-4</v>
      </c>
    </row>
    <row r="6" spans="1:4" x14ac:dyDescent="0.25">
      <c r="A6" t="s">
        <v>4</v>
      </c>
      <c r="B6" t="s">
        <v>208</v>
      </c>
      <c r="C6" t="s">
        <v>310</v>
      </c>
      <c r="D6">
        <v>-2</v>
      </c>
    </row>
    <row r="7" spans="1:4" x14ac:dyDescent="0.25">
      <c r="A7" t="s">
        <v>4</v>
      </c>
      <c r="B7" t="s">
        <v>1169</v>
      </c>
      <c r="C7" t="s">
        <v>2046</v>
      </c>
      <c r="D7">
        <v>0</v>
      </c>
    </row>
    <row r="8" spans="1:4" x14ac:dyDescent="0.25">
      <c r="A8" t="s">
        <v>4</v>
      </c>
      <c r="B8" t="s">
        <v>643</v>
      </c>
      <c r="C8" t="s">
        <v>2153</v>
      </c>
      <c r="D8">
        <v>-3</v>
      </c>
    </row>
    <row r="9" spans="1:4" x14ac:dyDescent="0.25">
      <c r="A9" t="s">
        <v>4</v>
      </c>
      <c r="B9" t="s">
        <v>1742</v>
      </c>
      <c r="C9" t="s">
        <v>571</v>
      </c>
      <c r="D9">
        <v>0</v>
      </c>
    </row>
    <row r="10" spans="1:4" x14ac:dyDescent="0.25">
      <c r="A10" t="s">
        <v>4</v>
      </c>
      <c r="B10" t="s">
        <v>1498</v>
      </c>
      <c r="C10" t="s">
        <v>1744</v>
      </c>
      <c r="D10">
        <v>-2</v>
      </c>
    </row>
    <row r="11" spans="1:4" x14ac:dyDescent="0.25">
      <c r="A11" t="s">
        <v>4</v>
      </c>
      <c r="B11" t="s">
        <v>280</v>
      </c>
      <c r="C11" t="s">
        <v>574</v>
      </c>
      <c r="D11">
        <v>0</v>
      </c>
    </row>
    <row r="12" spans="1:4" x14ac:dyDescent="0.25">
      <c r="A12" t="s">
        <v>4</v>
      </c>
      <c r="B12" t="s">
        <v>2266</v>
      </c>
      <c r="C12" t="s">
        <v>1818</v>
      </c>
      <c r="D12">
        <v>2</v>
      </c>
    </row>
    <row r="13" spans="1:4" x14ac:dyDescent="0.25">
      <c r="A13" t="s">
        <v>4</v>
      </c>
      <c r="B13" t="s">
        <v>2962</v>
      </c>
      <c r="C13" t="s">
        <v>2537</v>
      </c>
      <c r="D13">
        <v>4</v>
      </c>
    </row>
    <row r="14" spans="1:4" x14ac:dyDescent="0.25">
      <c r="A14" t="s">
        <v>4</v>
      </c>
      <c r="B14" t="s">
        <v>743</v>
      </c>
      <c r="C14" t="s">
        <v>2479</v>
      </c>
      <c r="D14">
        <v>6</v>
      </c>
    </row>
    <row r="15" spans="1:4" x14ac:dyDescent="0.25">
      <c r="A15" t="s">
        <v>4</v>
      </c>
      <c r="B15" t="s">
        <v>2562</v>
      </c>
      <c r="C15" t="s">
        <v>1357</v>
      </c>
      <c r="D15">
        <v>9</v>
      </c>
    </row>
    <row r="16" spans="1:4" x14ac:dyDescent="0.25">
      <c r="A16" t="s">
        <v>4</v>
      </c>
      <c r="B16" t="s">
        <v>192</v>
      </c>
      <c r="C16" t="s">
        <v>2539</v>
      </c>
      <c r="D16">
        <v>6</v>
      </c>
    </row>
    <row r="17" spans="1:4" x14ac:dyDescent="0.25">
      <c r="A17" t="s">
        <v>4</v>
      </c>
      <c r="B17" t="s">
        <v>1376</v>
      </c>
      <c r="C17" t="s">
        <v>3388</v>
      </c>
      <c r="D17">
        <v>8</v>
      </c>
    </row>
    <row r="18" spans="1:4" x14ac:dyDescent="0.25">
      <c r="A18" t="s">
        <v>4</v>
      </c>
      <c r="B18" t="s">
        <v>116</v>
      </c>
      <c r="C18" t="s">
        <v>1361</v>
      </c>
      <c r="D18">
        <v>11</v>
      </c>
    </row>
    <row r="19" spans="1:4" x14ac:dyDescent="0.25">
      <c r="A19" t="s">
        <v>4</v>
      </c>
      <c r="B19" t="s">
        <v>1339</v>
      </c>
      <c r="C19" t="s">
        <v>3227</v>
      </c>
      <c r="D19">
        <v>13</v>
      </c>
    </row>
    <row r="20" spans="1:4" x14ac:dyDescent="0.25">
      <c r="A20" t="s">
        <v>4</v>
      </c>
      <c r="B20" t="s">
        <v>1675</v>
      </c>
      <c r="C20" t="s">
        <v>3389</v>
      </c>
      <c r="D20">
        <v>10</v>
      </c>
    </row>
    <row r="21" spans="1:4" x14ac:dyDescent="0.25">
      <c r="A21" t="s">
        <v>4</v>
      </c>
      <c r="B21" t="s">
        <v>1050</v>
      </c>
      <c r="C21" t="s">
        <v>3390</v>
      </c>
      <c r="D21">
        <v>12</v>
      </c>
    </row>
    <row r="22" spans="1:4" x14ac:dyDescent="0.25">
      <c r="A22" t="s">
        <v>4</v>
      </c>
      <c r="B22" t="s">
        <v>33</v>
      </c>
      <c r="C22" t="s">
        <v>2053</v>
      </c>
      <c r="D22">
        <v>15</v>
      </c>
    </row>
    <row r="23" spans="1:4" x14ac:dyDescent="0.25">
      <c r="A23" t="s">
        <v>4</v>
      </c>
      <c r="B23" t="s">
        <v>1276</v>
      </c>
      <c r="C23" t="s">
        <v>2929</v>
      </c>
      <c r="D23">
        <v>13</v>
      </c>
    </row>
    <row r="24" spans="1:4" x14ac:dyDescent="0.25">
      <c r="A24" t="s">
        <v>4</v>
      </c>
      <c r="B24" t="s">
        <v>817</v>
      </c>
      <c r="C24" t="s">
        <v>3391</v>
      </c>
      <c r="D24">
        <v>15</v>
      </c>
    </row>
    <row r="25" spans="1:4" x14ac:dyDescent="0.25">
      <c r="A25" t="s">
        <v>40</v>
      </c>
      <c r="B25" t="s">
        <v>933</v>
      </c>
      <c r="C25" t="s">
        <v>2056</v>
      </c>
      <c r="D25">
        <v>16</v>
      </c>
    </row>
    <row r="26" spans="1:4" x14ac:dyDescent="0.25">
      <c r="A26" t="s">
        <v>40</v>
      </c>
      <c r="B26" t="s">
        <v>273</v>
      </c>
      <c r="C26" t="s">
        <v>3006</v>
      </c>
      <c r="D26">
        <v>14</v>
      </c>
    </row>
    <row r="27" spans="1:4" x14ac:dyDescent="0.25">
      <c r="A27" t="s">
        <v>40</v>
      </c>
      <c r="B27" t="s">
        <v>1192</v>
      </c>
      <c r="C27" t="s">
        <v>3392</v>
      </c>
      <c r="D27">
        <v>16</v>
      </c>
    </row>
    <row r="28" spans="1:4" x14ac:dyDescent="0.25">
      <c r="A28" t="s">
        <v>40</v>
      </c>
      <c r="B28" t="s">
        <v>645</v>
      </c>
      <c r="C28" t="s">
        <v>2651</v>
      </c>
      <c r="D28">
        <v>15</v>
      </c>
    </row>
    <row r="29" spans="1:4" x14ac:dyDescent="0.25">
      <c r="A29" t="s">
        <v>40</v>
      </c>
      <c r="B29" t="s">
        <v>645</v>
      </c>
      <c r="C29" t="s">
        <v>3393</v>
      </c>
      <c r="D29">
        <v>14</v>
      </c>
    </row>
    <row r="30" spans="1:4" x14ac:dyDescent="0.25">
      <c r="A30" t="s">
        <v>40</v>
      </c>
      <c r="B30" t="s">
        <v>1498</v>
      </c>
      <c r="C30" t="s">
        <v>2057</v>
      </c>
      <c r="D30">
        <v>15</v>
      </c>
    </row>
    <row r="31" spans="1:4" x14ac:dyDescent="0.25">
      <c r="A31" t="s">
        <v>40</v>
      </c>
      <c r="B31" t="s">
        <v>1498</v>
      </c>
      <c r="C31" t="s">
        <v>2905</v>
      </c>
      <c r="D31">
        <v>16</v>
      </c>
    </row>
    <row r="32" spans="1:4" x14ac:dyDescent="0.25">
      <c r="A32" t="s">
        <v>40</v>
      </c>
      <c r="B32" t="s">
        <v>181</v>
      </c>
      <c r="C32" t="s">
        <v>2653</v>
      </c>
      <c r="D32">
        <v>15</v>
      </c>
    </row>
    <row r="33" spans="1:4" x14ac:dyDescent="0.25">
      <c r="A33" t="s">
        <v>40</v>
      </c>
      <c r="B33" t="s">
        <v>651</v>
      </c>
      <c r="C33" t="s">
        <v>1299</v>
      </c>
      <c r="D33">
        <v>18</v>
      </c>
    </row>
    <row r="34" spans="1:4" x14ac:dyDescent="0.25">
      <c r="A34" t="s">
        <v>40</v>
      </c>
      <c r="B34" t="s">
        <v>594</v>
      </c>
      <c r="C34" t="s">
        <v>3011</v>
      </c>
      <c r="D34">
        <v>15</v>
      </c>
    </row>
    <row r="35" spans="1:4" x14ac:dyDescent="0.25">
      <c r="A35" t="s">
        <v>40</v>
      </c>
      <c r="B35" t="s">
        <v>700</v>
      </c>
      <c r="C35" t="s">
        <v>3394</v>
      </c>
      <c r="D35">
        <v>17</v>
      </c>
    </row>
    <row r="36" spans="1:4" x14ac:dyDescent="0.25">
      <c r="A36" t="s">
        <v>40</v>
      </c>
      <c r="B36" t="s">
        <v>519</v>
      </c>
      <c r="C36" t="s">
        <v>3163</v>
      </c>
      <c r="D36">
        <v>20</v>
      </c>
    </row>
    <row r="37" spans="1:4" x14ac:dyDescent="0.25">
      <c r="A37" t="s">
        <v>40</v>
      </c>
      <c r="B37" t="s">
        <v>1016</v>
      </c>
      <c r="C37" t="s">
        <v>3395</v>
      </c>
      <c r="D37">
        <v>18</v>
      </c>
    </row>
    <row r="38" spans="1:4" x14ac:dyDescent="0.25">
      <c r="A38" t="s">
        <v>40</v>
      </c>
      <c r="B38" t="s">
        <v>411</v>
      </c>
      <c r="C38" t="s">
        <v>3396</v>
      </c>
      <c r="D38">
        <v>19</v>
      </c>
    </row>
    <row r="39" spans="1:4" x14ac:dyDescent="0.25">
      <c r="A39" t="s">
        <v>40</v>
      </c>
      <c r="B39" t="s">
        <v>1217</v>
      </c>
      <c r="C39" t="s">
        <v>3397</v>
      </c>
      <c r="D39">
        <v>22</v>
      </c>
    </row>
    <row r="40" spans="1:4" x14ac:dyDescent="0.25">
      <c r="A40" t="s">
        <v>40</v>
      </c>
      <c r="B40" t="s">
        <v>876</v>
      </c>
      <c r="C40" t="s">
        <v>3398</v>
      </c>
      <c r="D40">
        <v>21</v>
      </c>
    </row>
    <row r="41" spans="1:4" x14ac:dyDescent="0.25">
      <c r="A41" t="s">
        <v>40</v>
      </c>
      <c r="B41" t="s">
        <v>417</v>
      </c>
      <c r="C41" t="s">
        <v>3375</v>
      </c>
      <c r="D41">
        <v>19</v>
      </c>
    </row>
    <row r="42" spans="1:4" x14ac:dyDescent="0.25">
      <c r="A42" t="s">
        <v>40</v>
      </c>
      <c r="B42" t="s">
        <v>389</v>
      </c>
      <c r="C42" t="s">
        <v>2064</v>
      </c>
      <c r="D42">
        <v>20</v>
      </c>
    </row>
    <row r="43" spans="1:4" x14ac:dyDescent="0.25">
      <c r="A43" t="s">
        <v>40</v>
      </c>
      <c r="B43" t="s">
        <v>31</v>
      </c>
      <c r="C43" t="s">
        <v>2065</v>
      </c>
      <c r="D43">
        <v>18</v>
      </c>
    </row>
    <row r="44" spans="1:4" x14ac:dyDescent="0.25">
      <c r="A44" t="s">
        <v>40</v>
      </c>
      <c r="B44" t="s">
        <v>31</v>
      </c>
      <c r="C44" t="s">
        <v>953</v>
      </c>
      <c r="D44">
        <v>17</v>
      </c>
    </row>
    <row r="45" spans="1:4" x14ac:dyDescent="0.25">
      <c r="A45" t="s">
        <v>40</v>
      </c>
      <c r="B45" t="s">
        <v>296</v>
      </c>
      <c r="C45" t="s">
        <v>955</v>
      </c>
      <c r="D45">
        <v>20</v>
      </c>
    </row>
    <row r="46" spans="1:4" x14ac:dyDescent="0.25">
      <c r="A46" t="s">
        <v>40</v>
      </c>
      <c r="B46" t="s">
        <v>1733</v>
      </c>
      <c r="C46" t="s">
        <v>956</v>
      </c>
      <c r="D46">
        <v>22</v>
      </c>
    </row>
    <row r="47" spans="1:4" x14ac:dyDescent="0.25">
      <c r="A47" t="s">
        <v>40</v>
      </c>
      <c r="B47" t="s">
        <v>78</v>
      </c>
      <c r="C47" t="s">
        <v>957</v>
      </c>
      <c r="D47">
        <v>23</v>
      </c>
    </row>
    <row r="48" spans="1:4" x14ac:dyDescent="0.25">
      <c r="A48" t="s">
        <v>40</v>
      </c>
      <c r="B48" t="s">
        <v>78</v>
      </c>
      <c r="C48" t="s">
        <v>3399</v>
      </c>
      <c r="D48">
        <v>24</v>
      </c>
    </row>
    <row r="49" spans="1:4" x14ac:dyDescent="0.25">
      <c r="A49" t="s">
        <v>80</v>
      </c>
      <c r="B49" t="s">
        <v>1022</v>
      </c>
      <c r="C49" t="s">
        <v>3400</v>
      </c>
      <c r="D49">
        <v>22</v>
      </c>
    </row>
    <row r="50" spans="1:4" x14ac:dyDescent="0.25">
      <c r="A50" t="s">
        <v>80</v>
      </c>
      <c r="B50" t="s">
        <v>126</v>
      </c>
      <c r="C50" t="s">
        <v>3401</v>
      </c>
      <c r="D50">
        <v>24</v>
      </c>
    </row>
    <row r="51" spans="1:4" x14ac:dyDescent="0.25">
      <c r="A51" t="s">
        <v>80</v>
      </c>
      <c r="B51" t="s">
        <v>126</v>
      </c>
      <c r="C51" t="s">
        <v>3402</v>
      </c>
      <c r="D51">
        <v>25</v>
      </c>
    </row>
    <row r="52" spans="1:4" x14ac:dyDescent="0.25">
      <c r="A52" t="s">
        <v>80</v>
      </c>
      <c r="B52" t="s">
        <v>716</v>
      </c>
      <c r="C52" t="s">
        <v>3403</v>
      </c>
      <c r="D52">
        <v>28</v>
      </c>
    </row>
    <row r="53" spans="1:4" x14ac:dyDescent="0.25">
      <c r="A53" t="s">
        <v>80</v>
      </c>
      <c r="B53" t="s">
        <v>693</v>
      </c>
      <c r="C53" t="s">
        <v>3404</v>
      </c>
      <c r="D53">
        <v>29</v>
      </c>
    </row>
    <row r="54" spans="1:4" x14ac:dyDescent="0.25">
      <c r="A54" t="s">
        <v>80</v>
      </c>
      <c r="B54" t="s">
        <v>693</v>
      </c>
      <c r="C54" t="s">
        <v>3405</v>
      </c>
      <c r="D54">
        <v>30</v>
      </c>
    </row>
    <row r="55" spans="1:4" x14ac:dyDescent="0.25">
      <c r="A55" t="s">
        <v>80</v>
      </c>
      <c r="B55" t="s">
        <v>1824</v>
      </c>
      <c r="C55" t="s">
        <v>2075</v>
      </c>
      <c r="D55">
        <v>31</v>
      </c>
    </row>
    <row r="56" spans="1:4" x14ac:dyDescent="0.25">
      <c r="A56" t="s">
        <v>80</v>
      </c>
      <c r="B56" t="s">
        <v>1824</v>
      </c>
      <c r="C56" t="s">
        <v>3406</v>
      </c>
      <c r="D56">
        <v>32</v>
      </c>
    </row>
    <row r="57" spans="1:4" x14ac:dyDescent="0.25">
      <c r="A57" t="s">
        <v>80</v>
      </c>
      <c r="B57" t="s">
        <v>1549</v>
      </c>
      <c r="C57" t="s">
        <v>3407</v>
      </c>
      <c r="D57">
        <v>30</v>
      </c>
    </row>
    <row r="58" spans="1:4" x14ac:dyDescent="0.25">
      <c r="A58" t="s">
        <v>80</v>
      </c>
      <c r="B58" t="s">
        <v>1432</v>
      </c>
      <c r="C58" t="s">
        <v>3246</v>
      </c>
      <c r="D58">
        <v>28</v>
      </c>
    </row>
    <row r="59" spans="1:4" x14ac:dyDescent="0.25">
      <c r="A59" t="s">
        <v>80</v>
      </c>
      <c r="B59" t="s">
        <v>648</v>
      </c>
      <c r="C59" t="s">
        <v>3408</v>
      </c>
      <c r="D59">
        <v>31</v>
      </c>
    </row>
    <row r="60" spans="1:4" x14ac:dyDescent="0.25">
      <c r="A60" t="s">
        <v>80</v>
      </c>
      <c r="B60" t="s">
        <v>1441</v>
      </c>
      <c r="C60" t="s">
        <v>3409</v>
      </c>
      <c r="D60">
        <v>33</v>
      </c>
    </row>
    <row r="61" spans="1:4" x14ac:dyDescent="0.25">
      <c r="A61" t="s">
        <v>80</v>
      </c>
      <c r="B61" t="s">
        <v>1288</v>
      </c>
      <c r="C61" t="s">
        <v>3410</v>
      </c>
      <c r="D61">
        <v>35</v>
      </c>
    </row>
    <row r="62" spans="1:4" x14ac:dyDescent="0.25">
      <c r="A62" t="s">
        <v>80</v>
      </c>
      <c r="B62" t="s">
        <v>874</v>
      </c>
      <c r="C62" t="s">
        <v>1405</v>
      </c>
      <c r="D62">
        <v>33</v>
      </c>
    </row>
    <row r="63" spans="1:4" x14ac:dyDescent="0.25">
      <c r="A63" t="s">
        <v>80</v>
      </c>
      <c r="B63" t="s">
        <v>1695</v>
      </c>
      <c r="C63" t="s">
        <v>1406</v>
      </c>
      <c r="D63">
        <v>35</v>
      </c>
    </row>
    <row r="64" spans="1:4" x14ac:dyDescent="0.25">
      <c r="A64" t="s">
        <v>80</v>
      </c>
      <c r="B64" t="s">
        <v>746</v>
      </c>
      <c r="C64" t="s">
        <v>1324</v>
      </c>
      <c r="D64">
        <v>34</v>
      </c>
    </row>
    <row r="65" spans="1:4" x14ac:dyDescent="0.25">
      <c r="A65" t="s">
        <v>80</v>
      </c>
      <c r="B65" t="s">
        <v>746</v>
      </c>
      <c r="C65" t="s">
        <v>1407</v>
      </c>
      <c r="D65">
        <v>33</v>
      </c>
    </row>
    <row r="66" spans="1:4" x14ac:dyDescent="0.25">
      <c r="A66" t="s">
        <v>80</v>
      </c>
      <c r="B66" t="s">
        <v>984</v>
      </c>
      <c r="C66" t="s">
        <v>3218</v>
      </c>
      <c r="D66">
        <v>35</v>
      </c>
    </row>
    <row r="67" spans="1:4" x14ac:dyDescent="0.25">
      <c r="A67" t="s">
        <v>80</v>
      </c>
      <c r="B67" t="s">
        <v>1335</v>
      </c>
      <c r="C67" t="s">
        <v>1327</v>
      </c>
      <c r="D67">
        <v>34</v>
      </c>
    </row>
    <row r="68" spans="1:4" x14ac:dyDescent="0.25">
      <c r="A68" t="s">
        <v>80</v>
      </c>
      <c r="B68" t="s">
        <v>1335</v>
      </c>
      <c r="C68" t="s">
        <v>3411</v>
      </c>
      <c r="D68">
        <v>33</v>
      </c>
    </row>
    <row r="69" spans="1:4" x14ac:dyDescent="0.25">
      <c r="A69" t="s">
        <v>80</v>
      </c>
      <c r="B69" t="s">
        <v>1843</v>
      </c>
      <c r="C69" t="s">
        <v>3412</v>
      </c>
      <c r="D69">
        <v>31</v>
      </c>
    </row>
    <row r="70" spans="1:4" x14ac:dyDescent="0.25">
      <c r="A70" t="s">
        <v>80</v>
      </c>
      <c r="B70" t="s">
        <v>1339</v>
      </c>
      <c r="C70" t="s">
        <v>1413</v>
      </c>
      <c r="D70">
        <v>30</v>
      </c>
    </row>
    <row r="71" spans="1:4" x14ac:dyDescent="0.25">
      <c r="A71" t="s">
        <v>80</v>
      </c>
      <c r="B71" t="s">
        <v>1622</v>
      </c>
      <c r="C71" t="s">
        <v>2024</v>
      </c>
      <c r="D71">
        <v>31</v>
      </c>
    </row>
    <row r="72" spans="1:4" x14ac:dyDescent="0.25">
      <c r="A72" t="s">
        <v>80</v>
      </c>
      <c r="B72" t="s">
        <v>1356</v>
      </c>
      <c r="C72" t="s">
        <v>3413</v>
      </c>
      <c r="D72">
        <v>29</v>
      </c>
    </row>
    <row r="73" spans="1:4" x14ac:dyDescent="0.25">
      <c r="A73" t="s">
        <v>80</v>
      </c>
      <c r="B73" t="s">
        <v>481</v>
      </c>
      <c r="C73" t="s">
        <v>3414</v>
      </c>
      <c r="D73">
        <v>26</v>
      </c>
    </row>
    <row r="74" spans="1:4" x14ac:dyDescent="0.25">
      <c r="A74" t="s">
        <v>80</v>
      </c>
      <c r="B74" t="s">
        <v>1733</v>
      </c>
      <c r="C74" t="s">
        <v>3415</v>
      </c>
      <c r="D74">
        <v>24</v>
      </c>
    </row>
    <row r="75" spans="1:4" x14ac:dyDescent="0.25">
      <c r="A75" t="s">
        <v>123</v>
      </c>
      <c r="B75" t="s">
        <v>325</v>
      </c>
      <c r="C75" t="s">
        <v>3148</v>
      </c>
      <c r="D75">
        <v>27</v>
      </c>
    </row>
    <row r="76" spans="1:4" x14ac:dyDescent="0.25">
      <c r="A76" t="s">
        <v>123</v>
      </c>
      <c r="B76" t="s">
        <v>1267</v>
      </c>
      <c r="C76" t="s">
        <v>3416</v>
      </c>
      <c r="D76">
        <v>29</v>
      </c>
    </row>
    <row r="77" spans="1:4" x14ac:dyDescent="0.25">
      <c r="A77" t="s">
        <v>123</v>
      </c>
      <c r="B77" t="s">
        <v>1666</v>
      </c>
      <c r="C77" t="s">
        <v>1340</v>
      </c>
      <c r="D77">
        <v>31</v>
      </c>
    </row>
    <row r="78" spans="1:4" x14ac:dyDescent="0.25">
      <c r="A78" t="s">
        <v>123</v>
      </c>
      <c r="B78" t="s">
        <v>912</v>
      </c>
      <c r="C78" t="s">
        <v>3417</v>
      </c>
      <c r="D78">
        <v>28</v>
      </c>
    </row>
    <row r="79" spans="1:4" x14ac:dyDescent="0.25">
      <c r="A79" t="s">
        <v>123</v>
      </c>
      <c r="B79" t="s">
        <v>1411</v>
      </c>
      <c r="C79" t="s">
        <v>3418</v>
      </c>
      <c r="D79">
        <v>30</v>
      </c>
    </row>
    <row r="80" spans="1:4" x14ac:dyDescent="0.25">
      <c r="A80" t="s">
        <v>123</v>
      </c>
      <c r="B80" t="s">
        <v>177</v>
      </c>
      <c r="C80" t="s">
        <v>3419</v>
      </c>
      <c r="D80">
        <v>32</v>
      </c>
    </row>
    <row r="81" spans="1:4" x14ac:dyDescent="0.25">
      <c r="A81" t="s">
        <v>123</v>
      </c>
      <c r="B81" t="s">
        <v>1498</v>
      </c>
      <c r="C81" t="s">
        <v>3420</v>
      </c>
      <c r="D81">
        <v>34</v>
      </c>
    </row>
    <row r="82" spans="1:4" x14ac:dyDescent="0.25">
      <c r="A82" t="s">
        <v>123</v>
      </c>
      <c r="B82" t="s">
        <v>405</v>
      </c>
      <c r="C82" t="s">
        <v>1426</v>
      </c>
      <c r="D82">
        <v>32</v>
      </c>
    </row>
    <row r="83" spans="1:4" x14ac:dyDescent="0.25">
      <c r="A83" t="s">
        <v>123</v>
      </c>
      <c r="B83" t="s">
        <v>1288</v>
      </c>
      <c r="C83" t="s">
        <v>3421</v>
      </c>
      <c r="D83">
        <v>34</v>
      </c>
    </row>
    <row r="84" spans="1:4" x14ac:dyDescent="0.25">
      <c r="A84" t="s">
        <v>123</v>
      </c>
      <c r="B84" t="s">
        <v>2250</v>
      </c>
      <c r="C84" t="s">
        <v>3422</v>
      </c>
      <c r="D84">
        <v>33</v>
      </c>
    </row>
    <row r="85" spans="1:4" x14ac:dyDescent="0.25">
      <c r="A85" t="s">
        <v>123</v>
      </c>
      <c r="B85" t="s">
        <v>661</v>
      </c>
      <c r="C85" t="s">
        <v>3423</v>
      </c>
      <c r="D85">
        <v>35</v>
      </c>
    </row>
    <row r="86" spans="1:4" x14ac:dyDescent="0.25">
      <c r="A86" t="s">
        <v>123</v>
      </c>
      <c r="B86" t="s">
        <v>746</v>
      </c>
      <c r="C86" t="s">
        <v>3424</v>
      </c>
      <c r="D86">
        <v>38</v>
      </c>
    </row>
    <row r="87" spans="1:4" x14ac:dyDescent="0.25">
      <c r="A87" t="s">
        <v>123</v>
      </c>
      <c r="B87" t="s">
        <v>984</v>
      </c>
      <c r="C87" t="s">
        <v>3425</v>
      </c>
      <c r="D87">
        <v>40</v>
      </c>
    </row>
    <row r="88" spans="1:4" x14ac:dyDescent="0.25">
      <c r="A88" t="s">
        <v>123</v>
      </c>
      <c r="B88" t="s">
        <v>1396</v>
      </c>
      <c r="C88" t="s">
        <v>3426</v>
      </c>
      <c r="D88">
        <v>38</v>
      </c>
    </row>
    <row r="89" spans="1:4" x14ac:dyDescent="0.25">
      <c r="A89" t="s">
        <v>123</v>
      </c>
      <c r="B89" t="s">
        <v>894</v>
      </c>
      <c r="C89" t="s">
        <v>3427</v>
      </c>
      <c r="D89">
        <v>41</v>
      </c>
    </row>
    <row r="90" spans="1:4" x14ac:dyDescent="0.25">
      <c r="A90" t="s">
        <v>123</v>
      </c>
      <c r="B90" t="s">
        <v>1640</v>
      </c>
      <c r="C90" t="s">
        <v>3428</v>
      </c>
      <c r="D90">
        <v>40</v>
      </c>
    </row>
    <row r="91" spans="1:4" x14ac:dyDescent="0.25">
      <c r="A91" t="s">
        <v>123</v>
      </c>
      <c r="B91" t="s">
        <v>1640</v>
      </c>
      <c r="C91" t="s">
        <v>3429</v>
      </c>
      <c r="D91">
        <v>39</v>
      </c>
    </row>
    <row r="92" spans="1:4" x14ac:dyDescent="0.25">
      <c r="A92" t="s">
        <v>123</v>
      </c>
      <c r="B92" t="s">
        <v>1113</v>
      </c>
      <c r="C92" t="s">
        <v>3430</v>
      </c>
      <c r="D92">
        <v>42</v>
      </c>
    </row>
    <row r="93" spans="1:4" x14ac:dyDescent="0.25">
      <c r="A93" t="s">
        <v>123</v>
      </c>
      <c r="B93" t="s">
        <v>394</v>
      </c>
      <c r="C93" t="s">
        <v>3431</v>
      </c>
      <c r="D93">
        <v>44</v>
      </c>
    </row>
    <row r="94" spans="1:4" x14ac:dyDescent="0.25">
      <c r="A94" t="s">
        <v>123</v>
      </c>
      <c r="B94" t="s">
        <v>930</v>
      </c>
      <c r="C94" t="s">
        <v>3432</v>
      </c>
      <c r="D94">
        <v>43</v>
      </c>
    </row>
    <row r="96" spans="1:4" x14ac:dyDescent="0.25">
      <c r="A96" s="2" t="s">
        <v>157</v>
      </c>
    </row>
    <row r="97" spans="1:4" x14ac:dyDescent="0.25">
      <c r="A97" t="s">
        <v>158</v>
      </c>
      <c r="D97">
        <f>AVERAGE(D2:D94)</f>
        <v>21.946236559139784</v>
      </c>
    </row>
    <row r="98" spans="1:4" x14ac:dyDescent="0.25">
      <c r="A98" t="s">
        <v>159</v>
      </c>
      <c r="D98">
        <f>MAX(D2:D94)</f>
        <v>44</v>
      </c>
    </row>
    <row r="99" spans="1:4" x14ac:dyDescent="0.25">
      <c r="A99" t="s">
        <v>160</v>
      </c>
      <c r="D99">
        <f>MIN(D2:D94)</f>
        <v>-4</v>
      </c>
    </row>
    <row r="100" spans="1:4" x14ac:dyDescent="0.25">
      <c r="A100" t="s">
        <v>161</v>
      </c>
      <c r="D100">
        <f>COUNTIF(D2:D94,"&gt;0")</f>
        <v>84</v>
      </c>
    </row>
    <row r="101" spans="1:4" x14ac:dyDescent="0.25">
      <c r="A101" t="s">
        <v>162</v>
      </c>
      <c r="D101">
        <f>COUNTIF(D2:D94,"=0")</f>
        <v>3</v>
      </c>
    </row>
    <row r="102" spans="1:4" x14ac:dyDescent="0.25">
      <c r="A102" t="s">
        <v>2116</v>
      </c>
      <c r="D102">
        <f>COUNTIF(D2:D94,"&lt;0")</f>
        <v>6</v>
      </c>
    </row>
    <row r="104" spans="1:4" x14ac:dyDescent="0.25">
      <c r="A104" s="2" t="s">
        <v>164</v>
      </c>
    </row>
    <row r="105" spans="1:4" x14ac:dyDescent="0.25">
      <c r="A105" t="s">
        <v>165</v>
      </c>
      <c r="D105">
        <f>AVERAGE(D2,D3,D4,D5,D6,D7,D8,D9,D10,D11,D12,D13,D14,D15,D16,D17,D18,D19,D20,D21,D22,D23,D24)</f>
        <v>4.8260869565217392</v>
      </c>
    </row>
    <row r="106" spans="1:4" x14ac:dyDescent="0.25">
      <c r="A106" t="s">
        <v>166</v>
      </c>
      <c r="D106">
        <f>AVERAGE(D25,D26,D27,D28,D29,D30,D31,D32,D33,D34,D35,D36,D37,D38,D39,D40,D41,D42,D43,D44,D45,D46,D47,D48)</f>
        <v>18.083333333333332</v>
      </c>
    </row>
    <row r="107" spans="1:4" x14ac:dyDescent="0.25">
      <c r="A107" t="s">
        <v>167</v>
      </c>
      <c r="D107">
        <f>AVERAGE(D49,D50,D51,D52,D53,D54,D55,D56,D57,D58,D59,D60,D61,D62,D63,D64,D65,D66,D67,D68,D69,D70,D71,D72,D73,D74)</f>
        <v>30.23076923076923</v>
      </c>
    </row>
    <row r="108" spans="1:4" x14ac:dyDescent="0.25">
      <c r="A108" t="s">
        <v>168</v>
      </c>
      <c r="D108">
        <f>AVERAGE(D75,D76,D77,D78,D79,D80,D81,D82,D83,D84,D85,D86,D87,D88,D89,D90,D91,D92,D93,D94)</f>
        <v>35.5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776</v>
      </c>
    </row>
    <row r="2" spans="1:4" x14ac:dyDescent="0.25">
      <c r="A2" t="s">
        <v>4</v>
      </c>
      <c r="B2" t="s">
        <v>907</v>
      </c>
      <c r="C2" t="s">
        <v>6</v>
      </c>
      <c r="D2">
        <v>2</v>
      </c>
    </row>
    <row r="3" spans="1:4" x14ac:dyDescent="0.25">
      <c r="A3" t="s">
        <v>4</v>
      </c>
      <c r="B3" t="s">
        <v>1735</v>
      </c>
      <c r="C3" t="s">
        <v>306</v>
      </c>
      <c r="D3">
        <v>-1</v>
      </c>
    </row>
    <row r="4" spans="1:4" x14ac:dyDescent="0.25">
      <c r="A4" t="s">
        <v>4</v>
      </c>
      <c r="B4" t="s">
        <v>355</v>
      </c>
      <c r="C4" t="s">
        <v>1869</v>
      </c>
      <c r="D4">
        <v>-3</v>
      </c>
    </row>
    <row r="5" spans="1:4" x14ac:dyDescent="0.25">
      <c r="A5" t="s">
        <v>4</v>
      </c>
      <c r="B5" t="s">
        <v>357</v>
      </c>
      <c r="C5" t="s">
        <v>2430</v>
      </c>
      <c r="D5">
        <v>0</v>
      </c>
    </row>
    <row r="6" spans="1:4" x14ac:dyDescent="0.25">
      <c r="A6" t="s">
        <v>4</v>
      </c>
      <c r="B6" t="s">
        <v>1146</v>
      </c>
      <c r="C6" t="s">
        <v>913</v>
      </c>
      <c r="D6">
        <v>-2</v>
      </c>
    </row>
    <row r="7" spans="1:4" x14ac:dyDescent="0.25">
      <c r="A7" t="s">
        <v>4</v>
      </c>
      <c r="B7" t="s">
        <v>179</v>
      </c>
      <c r="C7" t="s">
        <v>567</v>
      </c>
      <c r="D7">
        <v>0</v>
      </c>
    </row>
    <row r="8" spans="1:4" x14ac:dyDescent="0.25">
      <c r="A8" t="s">
        <v>4</v>
      </c>
      <c r="B8" t="s">
        <v>651</v>
      </c>
      <c r="C8" t="s">
        <v>569</v>
      </c>
      <c r="D8">
        <v>2</v>
      </c>
    </row>
    <row r="9" spans="1:4" x14ac:dyDescent="0.25">
      <c r="A9" t="s">
        <v>4</v>
      </c>
      <c r="B9" t="s">
        <v>654</v>
      </c>
      <c r="C9" t="s">
        <v>438</v>
      </c>
      <c r="D9">
        <v>-1</v>
      </c>
    </row>
    <row r="10" spans="1:4" x14ac:dyDescent="0.25">
      <c r="A10" t="s">
        <v>4</v>
      </c>
      <c r="B10" t="s">
        <v>1725</v>
      </c>
      <c r="C10" t="s">
        <v>439</v>
      </c>
      <c r="D10">
        <v>1</v>
      </c>
    </row>
    <row r="11" spans="1:4" x14ac:dyDescent="0.25">
      <c r="A11" t="s">
        <v>4</v>
      </c>
      <c r="B11" t="s">
        <v>628</v>
      </c>
      <c r="C11" t="s">
        <v>918</v>
      </c>
      <c r="D11">
        <v>3</v>
      </c>
    </row>
    <row r="12" spans="1:4" x14ac:dyDescent="0.25">
      <c r="A12" t="s">
        <v>4</v>
      </c>
      <c r="B12" t="s">
        <v>284</v>
      </c>
      <c r="C12" t="s">
        <v>919</v>
      </c>
      <c r="D12">
        <v>1</v>
      </c>
    </row>
    <row r="13" spans="1:4" x14ac:dyDescent="0.25">
      <c r="A13" t="s">
        <v>4</v>
      </c>
      <c r="B13" t="s">
        <v>1536</v>
      </c>
      <c r="C13" t="s">
        <v>920</v>
      </c>
      <c r="D13">
        <v>3</v>
      </c>
    </row>
    <row r="14" spans="1:4" x14ac:dyDescent="0.25">
      <c r="A14" t="s">
        <v>4</v>
      </c>
      <c r="B14" t="s">
        <v>2048</v>
      </c>
      <c r="C14" t="s">
        <v>921</v>
      </c>
      <c r="D14">
        <v>1</v>
      </c>
    </row>
    <row r="15" spans="1:4" x14ac:dyDescent="0.25">
      <c r="A15" t="s">
        <v>4</v>
      </c>
      <c r="B15" t="s">
        <v>2048</v>
      </c>
      <c r="C15" t="s">
        <v>2121</v>
      </c>
      <c r="D15">
        <v>0</v>
      </c>
    </row>
    <row r="16" spans="1:4" x14ac:dyDescent="0.25">
      <c r="A16" t="s">
        <v>4</v>
      </c>
      <c r="B16" t="s">
        <v>1202</v>
      </c>
      <c r="C16" t="s">
        <v>1876</v>
      </c>
      <c r="D16">
        <v>3</v>
      </c>
    </row>
    <row r="17" spans="1:4" x14ac:dyDescent="0.25">
      <c r="A17" t="s">
        <v>4</v>
      </c>
      <c r="B17" t="s">
        <v>709</v>
      </c>
      <c r="C17" t="s">
        <v>2122</v>
      </c>
      <c r="D17">
        <v>1</v>
      </c>
    </row>
    <row r="18" spans="1:4" x14ac:dyDescent="0.25">
      <c r="A18" t="s">
        <v>4</v>
      </c>
      <c r="B18" t="s">
        <v>732</v>
      </c>
      <c r="C18" t="s">
        <v>449</v>
      </c>
      <c r="D18">
        <v>2</v>
      </c>
    </row>
    <row r="19" spans="1:4" x14ac:dyDescent="0.25">
      <c r="A19" t="s">
        <v>4</v>
      </c>
      <c r="B19" t="s">
        <v>732</v>
      </c>
      <c r="C19" t="s">
        <v>450</v>
      </c>
      <c r="D19">
        <v>3</v>
      </c>
    </row>
    <row r="20" spans="1:4" x14ac:dyDescent="0.25">
      <c r="A20" t="s">
        <v>4</v>
      </c>
      <c r="B20" t="s">
        <v>505</v>
      </c>
      <c r="C20" t="s">
        <v>791</v>
      </c>
      <c r="D20">
        <v>2</v>
      </c>
    </row>
    <row r="21" spans="1:4" x14ac:dyDescent="0.25">
      <c r="A21" t="s">
        <v>4</v>
      </c>
      <c r="B21" t="s">
        <v>531</v>
      </c>
      <c r="C21" t="s">
        <v>1120</v>
      </c>
      <c r="D21">
        <v>4</v>
      </c>
    </row>
    <row r="22" spans="1:4" x14ac:dyDescent="0.25">
      <c r="A22" t="s">
        <v>4</v>
      </c>
      <c r="B22" t="s">
        <v>1180</v>
      </c>
      <c r="C22" t="s">
        <v>586</v>
      </c>
      <c r="D22">
        <v>3</v>
      </c>
    </row>
    <row r="23" spans="1:4" x14ac:dyDescent="0.25">
      <c r="A23" t="s">
        <v>4</v>
      </c>
      <c r="B23" t="s">
        <v>33</v>
      </c>
      <c r="C23" t="s">
        <v>207</v>
      </c>
      <c r="D23">
        <v>5</v>
      </c>
    </row>
    <row r="24" spans="1:4" x14ac:dyDescent="0.25">
      <c r="A24" t="s">
        <v>4</v>
      </c>
      <c r="B24" t="s">
        <v>537</v>
      </c>
      <c r="C24" t="s">
        <v>1122</v>
      </c>
      <c r="D24">
        <v>4</v>
      </c>
    </row>
    <row r="25" spans="1:4" x14ac:dyDescent="0.25">
      <c r="A25" t="s">
        <v>40</v>
      </c>
      <c r="B25" t="s">
        <v>932</v>
      </c>
      <c r="C25" t="s">
        <v>1751</v>
      </c>
      <c r="D25">
        <v>2</v>
      </c>
    </row>
    <row r="26" spans="1:4" x14ac:dyDescent="0.25">
      <c r="A26" t="s">
        <v>40</v>
      </c>
      <c r="B26" t="s">
        <v>128</v>
      </c>
      <c r="C26" t="s">
        <v>1752</v>
      </c>
      <c r="D26">
        <v>4</v>
      </c>
    </row>
    <row r="27" spans="1:4" x14ac:dyDescent="0.25">
      <c r="A27" t="s">
        <v>40</v>
      </c>
      <c r="B27" t="s">
        <v>2151</v>
      </c>
      <c r="C27" t="s">
        <v>928</v>
      </c>
      <c r="D27">
        <v>5</v>
      </c>
    </row>
    <row r="28" spans="1:4" x14ac:dyDescent="0.25">
      <c r="A28" t="s">
        <v>40</v>
      </c>
      <c r="B28" t="s">
        <v>329</v>
      </c>
      <c r="C28" t="s">
        <v>929</v>
      </c>
      <c r="D28">
        <v>3</v>
      </c>
    </row>
    <row r="29" spans="1:4" x14ac:dyDescent="0.25">
      <c r="A29" t="s">
        <v>40</v>
      </c>
      <c r="B29" t="s">
        <v>693</v>
      </c>
      <c r="C29" t="s">
        <v>338</v>
      </c>
      <c r="D29">
        <v>4</v>
      </c>
    </row>
    <row r="30" spans="1:4" x14ac:dyDescent="0.25">
      <c r="A30" t="s">
        <v>40</v>
      </c>
      <c r="B30" t="s">
        <v>693</v>
      </c>
      <c r="C30" t="s">
        <v>931</v>
      </c>
      <c r="D30">
        <v>5</v>
      </c>
    </row>
    <row r="31" spans="1:4" x14ac:dyDescent="0.25">
      <c r="A31" t="s">
        <v>40</v>
      </c>
      <c r="B31" t="s">
        <v>1755</v>
      </c>
      <c r="C31" t="s">
        <v>3433</v>
      </c>
      <c r="D31">
        <v>7</v>
      </c>
    </row>
    <row r="32" spans="1:4" x14ac:dyDescent="0.25">
      <c r="A32" t="s">
        <v>40</v>
      </c>
      <c r="B32" t="s">
        <v>914</v>
      </c>
      <c r="C32" t="s">
        <v>934</v>
      </c>
      <c r="D32">
        <v>5</v>
      </c>
    </row>
    <row r="33" spans="1:4" x14ac:dyDescent="0.25">
      <c r="A33" t="s">
        <v>40</v>
      </c>
      <c r="B33" t="s">
        <v>465</v>
      </c>
      <c r="C33" t="s">
        <v>2160</v>
      </c>
      <c r="D33">
        <v>8</v>
      </c>
    </row>
    <row r="34" spans="1:4" x14ac:dyDescent="0.25">
      <c r="A34" t="s">
        <v>40</v>
      </c>
      <c r="B34" t="s">
        <v>740</v>
      </c>
      <c r="C34" t="s">
        <v>2934</v>
      </c>
      <c r="D34">
        <v>10</v>
      </c>
    </row>
    <row r="35" spans="1:4" x14ac:dyDescent="0.25">
      <c r="A35" t="s">
        <v>40</v>
      </c>
      <c r="B35" t="s">
        <v>762</v>
      </c>
      <c r="C35" t="s">
        <v>2542</v>
      </c>
      <c r="D35">
        <v>11</v>
      </c>
    </row>
    <row r="36" spans="1:4" x14ac:dyDescent="0.25">
      <c r="A36" t="s">
        <v>40</v>
      </c>
      <c r="B36" t="s">
        <v>943</v>
      </c>
      <c r="C36" t="s">
        <v>3434</v>
      </c>
      <c r="D36">
        <v>13</v>
      </c>
    </row>
    <row r="37" spans="1:4" x14ac:dyDescent="0.25">
      <c r="A37" t="s">
        <v>40</v>
      </c>
      <c r="B37" t="s">
        <v>1038</v>
      </c>
      <c r="C37" t="s">
        <v>2815</v>
      </c>
      <c r="D37">
        <v>11</v>
      </c>
    </row>
    <row r="38" spans="1:4" x14ac:dyDescent="0.25">
      <c r="A38" t="s">
        <v>40</v>
      </c>
      <c r="B38" t="s">
        <v>2120</v>
      </c>
      <c r="C38" t="s">
        <v>2978</v>
      </c>
      <c r="D38">
        <v>13</v>
      </c>
    </row>
    <row r="39" spans="1:4" x14ac:dyDescent="0.25">
      <c r="A39" t="s">
        <v>40</v>
      </c>
      <c r="B39" t="s">
        <v>1073</v>
      </c>
      <c r="C39" t="s">
        <v>1939</v>
      </c>
      <c r="D39">
        <v>10</v>
      </c>
    </row>
    <row r="40" spans="1:4" x14ac:dyDescent="0.25">
      <c r="A40" t="s">
        <v>40</v>
      </c>
      <c r="B40" t="s">
        <v>1882</v>
      </c>
      <c r="C40" t="s">
        <v>2935</v>
      </c>
      <c r="D40">
        <v>11</v>
      </c>
    </row>
    <row r="41" spans="1:4" x14ac:dyDescent="0.25">
      <c r="A41" t="s">
        <v>40</v>
      </c>
      <c r="B41" t="s">
        <v>1180</v>
      </c>
      <c r="C41" t="s">
        <v>3435</v>
      </c>
      <c r="D41">
        <v>13</v>
      </c>
    </row>
    <row r="42" spans="1:4" x14ac:dyDescent="0.25">
      <c r="A42" t="s">
        <v>40</v>
      </c>
      <c r="B42" t="s">
        <v>584</v>
      </c>
      <c r="C42" t="s">
        <v>3436</v>
      </c>
      <c r="D42">
        <v>16</v>
      </c>
    </row>
    <row r="43" spans="1:4" x14ac:dyDescent="0.25">
      <c r="A43" t="s">
        <v>80</v>
      </c>
      <c r="B43" t="s">
        <v>795</v>
      </c>
      <c r="C43" t="s">
        <v>3437</v>
      </c>
      <c r="D43">
        <v>14</v>
      </c>
    </row>
    <row r="44" spans="1:4" x14ac:dyDescent="0.25">
      <c r="A44" t="s">
        <v>80</v>
      </c>
      <c r="B44" t="s">
        <v>795</v>
      </c>
      <c r="C44" t="s">
        <v>2816</v>
      </c>
      <c r="D44">
        <v>13</v>
      </c>
    </row>
    <row r="45" spans="1:4" x14ac:dyDescent="0.25">
      <c r="A45" t="s">
        <v>80</v>
      </c>
      <c r="B45" t="s">
        <v>1408</v>
      </c>
      <c r="C45" t="s">
        <v>1944</v>
      </c>
      <c r="D45">
        <v>11</v>
      </c>
    </row>
    <row r="46" spans="1:4" x14ac:dyDescent="0.25">
      <c r="A46" t="s">
        <v>80</v>
      </c>
      <c r="B46" t="s">
        <v>357</v>
      </c>
      <c r="C46" t="s">
        <v>1145</v>
      </c>
      <c r="D46">
        <v>9</v>
      </c>
    </row>
    <row r="47" spans="1:4" x14ac:dyDescent="0.25">
      <c r="A47" t="s">
        <v>80</v>
      </c>
      <c r="B47" t="s">
        <v>431</v>
      </c>
      <c r="C47" t="s">
        <v>3016</v>
      </c>
      <c r="D47">
        <v>12</v>
      </c>
    </row>
    <row r="48" spans="1:4" x14ac:dyDescent="0.25">
      <c r="A48" t="s">
        <v>80</v>
      </c>
      <c r="B48" t="s">
        <v>333</v>
      </c>
      <c r="C48" t="s">
        <v>2338</v>
      </c>
      <c r="D48">
        <v>9</v>
      </c>
    </row>
    <row r="49" spans="1:4" x14ac:dyDescent="0.25">
      <c r="A49" t="s">
        <v>80</v>
      </c>
      <c r="B49" t="s">
        <v>2266</v>
      </c>
      <c r="C49" t="s">
        <v>3438</v>
      </c>
      <c r="D49">
        <v>8</v>
      </c>
    </row>
    <row r="50" spans="1:4" x14ac:dyDescent="0.25">
      <c r="A50" t="s">
        <v>80</v>
      </c>
      <c r="B50" t="s">
        <v>2266</v>
      </c>
      <c r="C50" t="s">
        <v>2531</v>
      </c>
      <c r="D50">
        <v>7</v>
      </c>
    </row>
    <row r="51" spans="1:4" x14ac:dyDescent="0.25">
      <c r="A51" t="s">
        <v>80</v>
      </c>
      <c r="B51" t="s">
        <v>1441</v>
      </c>
      <c r="C51" t="s">
        <v>2599</v>
      </c>
      <c r="D51">
        <v>8</v>
      </c>
    </row>
    <row r="52" spans="1:4" x14ac:dyDescent="0.25">
      <c r="A52" t="s">
        <v>80</v>
      </c>
      <c r="B52" t="s">
        <v>1441</v>
      </c>
      <c r="C52" t="s">
        <v>3439</v>
      </c>
      <c r="D52">
        <v>9</v>
      </c>
    </row>
    <row r="53" spans="1:4" x14ac:dyDescent="0.25">
      <c r="A53" t="s">
        <v>80</v>
      </c>
      <c r="B53" t="s">
        <v>1533</v>
      </c>
      <c r="C53" t="s">
        <v>1600</v>
      </c>
      <c r="D53">
        <v>8</v>
      </c>
    </row>
    <row r="54" spans="1:4" x14ac:dyDescent="0.25">
      <c r="A54" t="s">
        <v>80</v>
      </c>
      <c r="B54" t="s">
        <v>1533</v>
      </c>
      <c r="C54" t="s">
        <v>2912</v>
      </c>
      <c r="D54">
        <v>7</v>
      </c>
    </row>
    <row r="55" spans="1:4" x14ac:dyDescent="0.25">
      <c r="A55" t="s">
        <v>80</v>
      </c>
      <c r="B55" t="s">
        <v>598</v>
      </c>
      <c r="C55" t="s">
        <v>2339</v>
      </c>
      <c r="D55">
        <v>6</v>
      </c>
    </row>
    <row r="56" spans="1:4" x14ac:dyDescent="0.25">
      <c r="A56" t="s">
        <v>80</v>
      </c>
      <c r="B56" t="s">
        <v>598</v>
      </c>
      <c r="C56" t="s">
        <v>3440</v>
      </c>
      <c r="D56">
        <v>5</v>
      </c>
    </row>
    <row r="57" spans="1:4" x14ac:dyDescent="0.25">
      <c r="A57" t="s">
        <v>80</v>
      </c>
      <c r="B57" t="s">
        <v>922</v>
      </c>
      <c r="C57" t="s">
        <v>3441</v>
      </c>
      <c r="D57">
        <v>8</v>
      </c>
    </row>
    <row r="58" spans="1:4" x14ac:dyDescent="0.25">
      <c r="A58" t="s">
        <v>80</v>
      </c>
      <c r="B58" t="s">
        <v>341</v>
      </c>
      <c r="C58" t="s">
        <v>493</v>
      </c>
      <c r="D58">
        <v>6</v>
      </c>
    </row>
    <row r="59" spans="1:4" x14ac:dyDescent="0.25">
      <c r="A59" t="s">
        <v>80</v>
      </c>
      <c r="B59" t="s">
        <v>467</v>
      </c>
      <c r="C59" t="s">
        <v>1603</v>
      </c>
      <c r="D59">
        <v>7</v>
      </c>
    </row>
    <row r="60" spans="1:4" x14ac:dyDescent="0.25">
      <c r="A60" t="s">
        <v>80</v>
      </c>
      <c r="B60" t="s">
        <v>467</v>
      </c>
      <c r="C60" t="s">
        <v>2274</v>
      </c>
      <c r="D60">
        <v>8</v>
      </c>
    </row>
    <row r="61" spans="1:4" x14ac:dyDescent="0.25">
      <c r="A61" t="s">
        <v>80</v>
      </c>
      <c r="B61" t="s">
        <v>317</v>
      </c>
      <c r="C61" t="s">
        <v>2175</v>
      </c>
      <c r="D61">
        <v>6</v>
      </c>
    </row>
    <row r="62" spans="1:4" x14ac:dyDescent="0.25">
      <c r="A62" t="s">
        <v>80</v>
      </c>
      <c r="B62" t="s">
        <v>1200</v>
      </c>
      <c r="C62" t="s">
        <v>2277</v>
      </c>
      <c r="D62">
        <v>9</v>
      </c>
    </row>
    <row r="63" spans="1:4" x14ac:dyDescent="0.25">
      <c r="A63" t="s">
        <v>80</v>
      </c>
      <c r="B63" t="s">
        <v>990</v>
      </c>
      <c r="C63" t="s">
        <v>1164</v>
      </c>
      <c r="D63">
        <v>6</v>
      </c>
    </row>
    <row r="64" spans="1:4" x14ac:dyDescent="0.25">
      <c r="A64" t="s">
        <v>80</v>
      </c>
      <c r="B64" t="s">
        <v>503</v>
      </c>
      <c r="C64" t="s">
        <v>2179</v>
      </c>
      <c r="D64">
        <v>4</v>
      </c>
    </row>
    <row r="65" spans="1:4" x14ac:dyDescent="0.25">
      <c r="A65" t="s">
        <v>80</v>
      </c>
      <c r="B65" t="s">
        <v>2317</v>
      </c>
      <c r="C65" t="s">
        <v>1607</v>
      </c>
      <c r="D65">
        <v>5</v>
      </c>
    </row>
    <row r="66" spans="1:4" x14ac:dyDescent="0.25">
      <c r="A66" t="s">
        <v>80</v>
      </c>
      <c r="B66" t="s">
        <v>898</v>
      </c>
      <c r="C66" t="s">
        <v>637</v>
      </c>
      <c r="D66">
        <v>6</v>
      </c>
    </row>
    <row r="67" spans="1:4" x14ac:dyDescent="0.25">
      <c r="A67" t="s">
        <v>80</v>
      </c>
      <c r="B67" t="s">
        <v>120</v>
      </c>
      <c r="C67" t="s">
        <v>1609</v>
      </c>
      <c r="D67">
        <v>8</v>
      </c>
    </row>
    <row r="68" spans="1:4" x14ac:dyDescent="0.25">
      <c r="A68" t="s">
        <v>80</v>
      </c>
      <c r="B68" t="s">
        <v>1990</v>
      </c>
      <c r="C68" t="s">
        <v>2797</v>
      </c>
      <c r="D68">
        <v>11</v>
      </c>
    </row>
    <row r="69" spans="1:4" x14ac:dyDescent="0.25">
      <c r="A69" t="s">
        <v>123</v>
      </c>
      <c r="B69" t="s">
        <v>2151</v>
      </c>
      <c r="C69" t="s">
        <v>2674</v>
      </c>
      <c r="D69">
        <v>13</v>
      </c>
    </row>
    <row r="70" spans="1:4" x14ac:dyDescent="0.25">
      <c r="A70" t="s">
        <v>123</v>
      </c>
      <c r="B70" t="s">
        <v>719</v>
      </c>
      <c r="C70" t="s">
        <v>2869</v>
      </c>
      <c r="D70">
        <v>11</v>
      </c>
    </row>
    <row r="71" spans="1:4" x14ac:dyDescent="0.25">
      <c r="A71" t="s">
        <v>123</v>
      </c>
      <c r="B71" t="s">
        <v>211</v>
      </c>
      <c r="C71" t="s">
        <v>3442</v>
      </c>
      <c r="D71">
        <v>10</v>
      </c>
    </row>
    <row r="72" spans="1:4" x14ac:dyDescent="0.25">
      <c r="A72" t="s">
        <v>123</v>
      </c>
      <c r="B72" t="s">
        <v>1119</v>
      </c>
      <c r="C72" t="s">
        <v>1471</v>
      </c>
      <c r="D72">
        <v>12</v>
      </c>
    </row>
    <row r="73" spans="1:4" x14ac:dyDescent="0.25">
      <c r="A73" t="s">
        <v>123</v>
      </c>
      <c r="B73" t="s">
        <v>1683</v>
      </c>
      <c r="C73" t="s">
        <v>2992</v>
      </c>
      <c r="D73">
        <v>10</v>
      </c>
    </row>
    <row r="74" spans="1:4" x14ac:dyDescent="0.25">
      <c r="A74" t="s">
        <v>123</v>
      </c>
      <c r="B74" t="s">
        <v>1033</v>
      </c>
      <c r="C74" t="s">
        <v>3443</v>
      </c>
      <c r="D74">
        <v>12</v>
      </c>
    </row>
    <row r="75" spans="1:4" x14ac:dyDescent="0.25">
      <c r="A75" t="s">
        <v>123</v>
      </c>
      <c r="B75" t="s">
        <v>221</v>
      </c>
      <c r="C75" t="s">
        <v>3444</v>
      </c>
      <c r="D75">
        <v>15</v>
      </c>
    </row>
    <row r="76" spans="1:4" x14ac:dyDescent="0.25">
      <c r="A76" t="s">
        <v>123</v>
      </c>
      <c r="B76" t="s">
        <v>922</v>
      </c>
      <c r="C76" t="s">
        <v>2801</v>
      </c>
      <c r="D76">
        <v>18</v>
      </c>
    </row>
    <row r="77" spans="1:4" x14ac:dyDescent="0.25">
      <c r="A77" t="s">
        <v>123</v>
      </c>
      <c r="B77" t="s">
        <v>2120</v>
      </c>
      <c r="C77" t="s">
        <v>2802</v>
      </c>
      <c r="D77">
        <v>16</v>
      </c>
    </row>
    <row r="78" spans="1:4" x14ac:dyDescent="0.25">
      <c r="A78" t="s">
        <v>123</v>
      </c>
      <c r="B78" t="s">
        <v>442</v>
      </c>
      <c r="C78" t="s">
        <v>2843</v>
      </c>
      <c r="D78">
        <v>18</v>
      </c>
    </row>
    <row r="79" spans="1:4" x14ac:dyDescent="0.25">
      <c r="A79" t="s">
        <v>123</v>
      </c>
      <c r="B79" t="s">
        <v>320</v>
      </c>
      <c r="C79" t="s">
        <v>3445</v>
      </c>
      <c r="D79">
        <v>17</v>
      </c>
    </row>
    <row r="80" spans="1:4" x14ac:dyDescent="0.25">
      <c r="A80" t="s">
        <v>123</v>
      </c>
      <c r="B80" t="s">
        <v>320</v>
      </c>
      <c r="C80" t="s">
        <v>2193</v>
      </c>
      <c r="D80">
        <v>16</v>
      </c>
    </row>
    <row r="81" spans="1:4" x14ac:dyDescent="0.25">
      <c r="A81" t="s">
        <v>123</v>
      </c>
      <c r="B81" t="s">
        <v>1113</v>
      </c>
      <c r="C81" t="s">
        <v>3446</v>
      </c>
      <c r="D81">
        <v>18</v>
      </c>
    </row>
    <row r="82" spans="1:4" x14ac:dyDescent="0.25">
      <c r="A82" t="s">
        <v>123</v>
      </c>
      <c r="B82" t="s">
        <v>1113</v>
      </c>
      <c r="C82" t="s">
        <v>2845</v>
      </c>
      <c r="D82">
        <v>19</v>
      </c>
    </row>
    <row r="83" spans="1:4" x14ac:dyDescent="0.25">
      <c r="A83" t="s">
        <v>123</v>
      </c>
      <c r="B83" t="s">
        <v>481</v>
      </c>
      <c r="C83" t="s">
        <v>3190</v>
      </c>
      <c r="D83">
        <v>16</v>
      </c>
    </row>
    <row r="84" spans="1:4" x14ac:dyDescent="0.25">
      <c r="A84" t="s">
        <v>123</v>
      </c>
      <c r="B84" t="s">
        <v>683</v>
      </c>
      <c r="C84" t="s">
        <v>2287</v>
      </c>
      <c r="D84">
        <v>13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7.5662650602409638</v>
      </c>
    </row>
    <row r="88" spans="1:4" x14ac:dyDescent="0.25">
      <c r="A88" t="s">
        <v>159</v>
      </c>
      <c r="D88">
        <f>MAX(D2:D84)</f>
        <v>19</v>
      </c>
    </row>
    <row r="89" spans="1:4" x14ac:dyDescent="0.25">
      <c r="A89" t="s">
        <v>160</v>
      </c>
      <c r="D89">
        <f>MIN(D2:D84)</f>
        <v>-3</v>
      </c>
    </row>
    <row r="90" spans="1:4" x14ac:dyDescent="0.25">
      <c r="A90" t="s">
        <v>161</v>
      </c>
      <c r="D90">
        <f>COUNTIF(D2:D84,"&gt;0")</f>
        <v>76</v>
      </c>
    </row>
    <row r="91" spans="1:4" x14ac:dyDescent="0.25">
      <c r="A91" t="s">
        <v>162</v>
      </c>
      <c r="D91">
        <f>COUNTIF(D2:D84,"=0")</f>
        <v>3</v>
      </c>
    </row>
    <row r="92" spans="1:4" x14ac:dyDescent="0.25">
      <c r="A92" t="s">
        <v>905</v>
      </c>
      <c r="D92">
        <f>COUNTIF(D2:D84,"&lt;0")</f>
        <v>4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AVERAGE(D2,D3,D4,D5,D6,D7,D8,D9,D10,D11,D12,D13,D14,D15,D16,D17,D18,D19,D20,D21,D22,D23,D24)</f>
        <v>1.4347826086956521</v>
      </c>
    </row>
    <row r="96" spans="1:4" x14ac:dyDescent="0.25">
      <c r="A96" t="s">
        <v>166</v>
      </c>
      <c r="D96">
        <f>AVERAGE(D25,D26,D27,D28,D29,D30,D31,D32,D33,D34,D35,D36,D37,D38,D39,D40,D41,D42)</f>
        <v>8.3888888888888893</v>
      </c>
    </row>
    <row r="97" spans="1:4" x14ac:dyDescent="0.25">
      <c r="A97" t="s">
        <v>167</v>
      </c>
      <c r="D97">
        <f>AVERAGE(D43,D44,D45,D46,D47,D48,D49,D50,D51,D52,D53,D54,D55,D56,D57,D58,D59,D60,D61,D62,D63,D64,D65,D66,D67,D68)</f>
        <v>8.0769230769230766</v>
      </c>
    </row>
    <row r="98" spans="1:4" x14ac:dyDescent="0.25">
      <c r="A98" t="s">
        <v>168</v>
      </c>
      <c r="D98">
        <f>AVERAGE(D69,D70,D71,D72,D73,D74,D75,D76,D77,D78,D79,D80,D81,D82,D83,D84)</f>
        <v>14.625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1704</v>
      </c>
      <c r="C2" t="s">
        <v>171</v>
      </c>
      <c r="D2">
        <v>3</v>
      </c>
    </row>
    <row r="3" spans="1:4" x14ac:dyDescent="0.25">
      <c r="A3" t="s">
        <v>4</v>
      </c>
      <c r="B3" t="s">
        <v>1924</v>
      </c>
      <c r="C3" t="s">
        <v>174</v>
      </c>
      <c r="D3">
        <v>1</v>
      </c>
    </row>
    <row r="4" spans="1:4" x14ac:dyDescent="0.25">
      <c r="A4" t="s">
        <v>4</v>
      </c>
      <c r="B4" t="s">
        <v>933</v>
      </c>
      <c r="C4" t="s">
        <v>176</v>
      </c>
      <c r="D4">
        <v>4</v>
      </c>
    </row>
    <row r="5" spans="1:4" x14ac:dyDescent="0.25">
      <c r="A5" t="s">
        <v>4</v>
      </c>
      <c r="B5" t="s">
        <v>1431</v>
      </c>
      <c r="C5" t="s">
        <v>178</v>
      </c>
      <c r="D5">
        <v>2</v>
      </c>
    </row>
    <row r="6" spans="1:4" x14ac:dyDescent="0.25">
      <c r="A6" t="s">
        <v>4</v>
      </c>
      <c r="B6" t="s">
        <v>859</v>
      </c>
      <c r="C6" t="s">
        <v>182</v>
      </c>
      <c r="D6">
        <v>5</v>
      </c>
    </row>
    <row r="7" spans="1:4" x14ac:dyDescent="0.25">
      <c r="A7" t="s">
        <v>4</v>
      </c>
      <c r="B7" t="s">
        <v>590</v>
      </c>
      <c r="C7" t="s">
        <v>2559</v>
      </c>
      <c r="D7">
        <v>3</v>
      </c>
    </row>
    <row r="8" spans="1:4" x14ac:dyDescent="0.25">
      <c r="A8" t="s">
        <v>4</v>
      </c>
      <c r="B8" t="s">
        <v>177</v>
      </c>
      <c r="C8" t="s">
        <v>185</v>
      </c>
      <c r="D8">
        <v>4</v>
      </c>
    </row>
    <row r="9" spans="1:4" x14ac:dyDescent="0.25">
      <c r="A9" t="s">
        <v>4</v>
      </c>
      <c r="B9" t="s">
        <v>177</v>
      </c>
      <c r="C9" t="s">
        <v>2560</v>
      </c>
      <c r="D9">
        <v>5</v>
      </c>
    </row>
    <row r="10" spans="1:4" x14ac:dyDescent="0.25">
      <c r="A10" t="s">
        <v>4</v>
      </c>
      <c r="B10" t="s">
        <v>364</v>
      </c>
      <c r="C10" t="s">
        <v>316</v>
      </c>
      <c r="D10">
        <v>8</v>
      </c>
    </row>
    <row r="11" spans="1:4" x14ac:dyDescent="0.25">
      <c r="A11" t="s">
        <v>4</v>
      </c>
      <c r="B11" t="s">
        <v>1598</v>
      </c>
      <c r="C11" t="s">
        <v>318</v>
      </c>
      <c r="D11">
        <v>6</v>
      </c>
    </row>
    <row r="12" spans="1:4" x14ac:dyDescent="0.25">
      <c r="A12" t="s">
        <v>4</v>
      </c>
      <c r="B12" t="s">
        <v>312</v>
      </c>
      <c r="C12" t="s">
        <v>1015</v>
      </c>
      <c r="D12">
        <v>9</v>
      </c>
    </row>
    <row r="13" spans="1:4" x14ac:dyDescent="0.25">
      <c r="A13" t="s">
        <v>4</v>
      </c>
      <c r="B13" t="s">
        <v>1090</v>
      </c>
      <c r="C13" t="s">
        <v>2516</v>
      </c>
      <c r="D13">
        <v>11</v>
      </c>
    </row>
    <row r="14" spans="1:4" x14ac:dyDescent="0.25">
      <c r="A14" t="s">
        <v>4</v>
      </c>
      <c r="B14" t="s">
        <v>1108</v>
      </c>
      <c r="C14" t="s">
        <v>2921</v>
      </c>
      <c r="D14">
        <v>8</v>
      </c>
    </row>
    <row r="15" spans="1:4" x14ac:dyDescent="0.25">
      <c r="A15" t="s">
        <v>4</v>
      </c>
      <c r="B15" t="s">
        <v>1016</v>
      </c>
      <c r="C15" t="s">
        <v>1358</v>
      </c>
      <c r="D15">
        <v>10</v>
      </c>
    </row>
    <row r="16" spans="1:4" x14ac:dyDescent="0.25">
      <c r="A16" t="s">
        <v>4</v>
      </c>
      <c r="B16" t="s">
        <v>605</v>
      </c>
      <c r="C16" t="s">
        <v>327</v>
      </c>
      <c r="D16">
        <v>9</v>
      </c>
    </row>
    <row r="17" spans="1:4" x14ac:dyDescent="0.25">
      <c r="A17" t="s">
        <v>4</v>
      </c>
      <c r="B17" t="s">
        <v>605</v>
      </c>
      <c r="C17" t="s">
        <v>2047</v>
      </c>
      <c r="D17">
        <v>8</v>
      </c>
    </row>
    <row r="18" spans="1:4" x14ac:dyDescent="0.25">
      <c r="A18" t="s">
        <v>4</v>
      </c>
      <c r="B18" t="s">
        <v>524</v>
      </c>
      <c r="C18" t="s">
        <v>2519</v>
      </c>
      <c r="D18">
        <v>11</v>
      </c>
    </row>
    <row r="19" spans="1:4" x14ac:dyDescent="0.25">
      <c r="A19" t="s">
        <v>4</v>
      </c>
      <c r="B19" t="s">
        <v>27</v>
      </c>
      <c r="C19" t="s">
        <v>3050</v>
      </c>
      <c r="D19">
        <v>14</v>
      </c>
    </row>
    <row r="20" spans="1:4" x14ac:dyDescent="0.25">
      <c r="A20" t="s">
        <v>4</v>
      </c>
      <c r="B20" t="s">
        <v>1402</v>
      </c>
      <c r="C20" t="s">
        <v>2049</v>
      </c>
      <c r="D20">
        <v>12</v>
      </c>
    </row>
    <row r="21" spans="1:4" x14ac:dyDescent="0.25">
      <c r="A21" t="s">
        <v>4</v>
      </c>
      <c r="B21" t="s">
        <v>1402</v>
      </c>
      <c r="C21" t="s">
        <v>3447</v>
      </c>
      <c r="D21">
        <v>11</v>
      </c>
    </row>
    <row r="22" spans="1:4" x14ac:dyDescent="0.25">
      <c r="A22" t="s">
        <v>4</v>
      </c>
      <c r="B22" t="s">
        <v>1115</v>
      </c>
      <c r="C22" t="s">
        <v>3448</v>
      </c>
      <c r="D22">
        <v>13</v>
      </c>
    </row>
    <row r="23" spans="1:4" x14ac:dyDescent="0.25">
      <c r="A23" t="s">
        <v>4</v>
      </c>
      <c r="B23" t="s">
        <v>394</v>
      </c>
      <c r="C23" t="s">
        <v>2648</v>
      </c>
      <c r="D23">
        <v>11</v>
      </c>
    </row>
    <row r="24" spans="1:4" x14ac:dyDescent="0.25">
      <c r="A24" t="s">
        <v>4</v>
      </c>
      <c r="B24" t="s">
        <v>930</v>
      </c>
      <c r="C24" t="s">
        <v>2649</v>
      </c>
      <c r="D24">
        <v>13</v>
      </c>
    </row>
    <row r="25" spans="1:4" x14ac:dyDescent="0.25">
      <c r="A25" t="s">
        <v>4</v>
      </c>
      <c r="B25" t="s">
        <v>78</v>
      </c>
      <c r="C25" t="s">
        <v>2928</v>
      </c>
      <c r="D25">
        <v>12</v>
      </c>
    </row>
    <row r="26" spans="1:4" x14ac:dyDescent="0.25">
      <c r="A26" t="s">
        <v>4</v>
      </c>
      <c r="B26" t="s">
        <v>78</v>
      </c>
      <c r="C26" t="s">
        <v>2524</v>
      </c>
      <c r="D26">
        <v>11</v>
      </c>
    </row>
    <row r="27" spans="1:4" x14ac:dyDescent="0.25">
      <c r="A27" t="s">
        <v>40</v>
      </c>
      <c r="B27" t="s">
        <v>428</v>
      </c>
      <c r="C27" t="s">
        <v>2159</v>
      </c>
      <c r="D27">
        <v>8</v>
      </c>
    </row>
    <row r="28" spans="1:4" x14ac:dyDescent="0.25">
      <c r="A28" t="s">
        <v>40</v>
      </c>
      <c r="B28" t="s">
        <v>1573</v>
      </c>
      <c r="C28" t="s">
        <v>3122</v>
      </c>
      <c r="D28">
        <v>10</v>
      </c>
    </row>
    <row r="29" spans="1:4" x14ac:dyDescent="0.25">
      <c r="A29" t="s">
        <v>40</v>
      </c>
      <c r="B29" t="s">
        <v>1169</v>
      </c>
      <c r="C29" t="s">
        <v>2904</v>
      </c>
      <c r="D29">
        <v>13</v>
      </c>
    </row>
    <row r="30" spans="1:4" x14ac:dyDescent="0.25">
      <c r="A30" t="s">
        <v>40</v>
      </c>
      <c r="B30" t="s">
        <v>865</v>
      </c>
      <c r="C30" t="s">
        <v>2934</v>
      </c>
      <c r="D30">
        <v>10</v>
      </c>
    </row>
    <row r="31" spans="1:4" x14ac:dyDescent="0.25">
      <c r="A31" t="s">
        <v>40</v>
      </c>
      <c r="B31" t="s">
        <v>700</v>
      </c>
      <c r="C31" t="s">
        <v>3434</v>
      </c>
      <c r="D31">
        <v>13</v>
      </c>
    </row>
    <row r="32" spans="1:4" x14ac:dyDescent="0.25">
      <c r="A32" t="s">
        <v>40</v>
      </c>
      <c r="B32" t="s">
        <v>577</v>
      </c>
      <c r="C32" t="s">
        <v>3449</v>
      </c>
      <c r="D32">
        <v>15</v>
      </c>
    </row>
    <row r="33" spans="1:4" x14ac:dyDescent="0.25">
      <c r="A33" t="s">
        <v>40</v>
      </c>
      <c r="B33" t="s">
        <v>1517</v>
      </c>
      <c r="C33" t="s">
        <v>2978</v>
      </c>
      <c r="D33">
        <v>13</v>
      </c>
    </row>
    <row r="34" spans="1:4" x14ac:dyDescent="0.25">
      <c r="A34" t="s">
        <v>40</v>
      </c>
      <c r="B34" t="s">
        <v>1402</v>
      </c>
      <c r="C34" t="s">
        <v>2979</v>
      </c>
      <c r="D34">
        <v>11</v>
      </c>
    </row>
    <row r="35" spans="1:4" x14ac:dyDescent="0.25">
      <c r="A35" t="s">
        <v>40</v>
      </c>
      <c r="B35" t="s">
        <v>392</v>
      </c>
      <c r="C35" t="s">
        <v>1939</v>
      </c>
      <c r="D35">
        <v>10</v>
      </c>
    </row>
    <row r="36" spans="1:4" x14ac:dyDescent="0.25">
      <c r="A36" t="s">
        <v>40</v>
      </c>
      <c r="B36" t="s">
        <v>392</v>
      </c>
      <c r="C36" t="s">
        <v>2980</v>
      </c>
      <c r="D36">
        <v>9</v>
      </c>
    </row>
    <row r="37" spans="1:4" x14ac:dyDescent="0.25">
      <c r="A37" t="s">
        <v>40</v>
      </c>
      <c r="B37" t="s">
        <v>233</v>
      </c>
      <c r="C37" t="s">
        <v>1670</v>
      </c>
      <c r="D37">
        <v>7</v>
      </c>
    </row>
    <row r="38" spans="1:4" x14ac:dyDescent="0.25">
      <c r="A38" t="s">
        <v>40</v>
      </c>
      <c r="B38" t="s">
        <v>1874</v>
      </c>
      <c r="C38" t="s">
        <v>1140</v>
      </c>
      <c r="D38">
        <v>9</v>
      </c>
    </row>
    <row r="39" spans="1:4" x14ac:dyDescent="0.25">
      <c r="A39" t="s">
        <v>40</v>
      </c>
      <c r="B39" t="s">
        <v>1627</v>
      </c>
      <c r="C39" t="s">
        <v>2165</v>
      </c>
      <c r="D39">
        <v>8</v>
      </c>
    </row>
    <row r="40" spans="1:4" x14ac:dyDescent="0.25">
      <c r="A40" t="s">
        <v>40</v>
      </c>
      <c r="B40" t="s">
        <v>817</v>
      </c>
      <c r="C40" t="s">
        <v>3340</v>
      </c>
      <c r="D40">
        <v>9</v>
      </c>
    </row>
    <row r="41" spans="1:4" x14ac:dyDescent="0.25">
      <c r="A41" t="s">
        <v>40</v>
      </c>
      <c r="B41" t="s">
        <v>817</v>
      </c>
      <c r="C41" t="s">
        <v>2783</v>
      </c>
      <c r="D41">
        <v>10</v>
      </c>
    </row>
    <row r="42" spans="1:4" x14ac:dyDescent="0.25">
      <c r="A42" t="s">
        <v>40</v>
      </c>
      <c r="B42" t="s">
        <v>817</v>
      </c>
      <c r="C42" t="s">
        <v>949</v>
      </c>
      <c r="D42">
        <v>11</v>
      </c>
    </row>
    <row r="43" spans="1:4" x14ac:dyDescent="0.25">
      <c r="A43" t="s">
        <v>80</v>
      </c>
      <c r="B43" t="s">
        <v>3450</v>
      </c>
      <c r="C43" t="s">
        <v>3341</v>
      </c>
      <c r="D43">
        <v>12</v>
      </c>
    </row>
    <row r="44" spans="1:4" x14ac:dyDescent="0.25">
      <c r="A44" t="s">
        <v>80</v>
      </c>
      <c r="B44" t="s">
        <v>1431</v>
      </c>
      <c r="C44" t="s">
        <v>951</v>
      </c>
      <c r="D44">
        <v>14</v>
      </c>
    </row>
    <row r="45" spans="1:4" x14ac:dyDescent="0.25">
      <c r="A45" t="s">
        <v>80</v>
      </c>
      <c r="B45" t="s">
        <v>89</v>
      </c>
      <c r="C45" t="s">
        <v>2785</v>
      </c>
      <c r="D45">
        <v>12</v>
      </c>
    </row>
    <row r="46" spans="1:4" x14ac:dyDescent="0.25">
      <c r="A46" t="s">
        <v>80</v>
      </c>
      <c r="B46" t="s">
        <v>1742</v>
      </c>
      <c r="C46" t="s">
        <v>1148</v>
      </c>
      <c r="D46">
        <v>9</v>
      </c>
    </row>
    <row r="47" spans="1:4" x14ac:dyDescent="0.25">
      <c r="A47" t="s">
        <v>80</v>
      </c>
      <c r="B47" t="s">
        <v>834</v>
      </c>
      <c r="C47" t="s">
        <v>1149</v>
      </c>
      <c r="D47">
        <v>11</v>
      </c>
    </row>
    <row r="48" spans="1:4" x14ac:dyDescent="0.25">
      <c r="A48" t="s">
        <v>80</v>
      </c>
      <c r="B48" t="s">
        <v>1230</v>
      </c>
      <c r="C48" t="s">
        <v>2862</v>
      </c>
      <c r="D48">
        <v>13</v>
      </c>
    </row>
    <row r="49" spans="1:4" x14ac:dyDescent="0.25">
      <c r="A49" t="s">
        <v>80</v>
      </c>
      <c r="B49" t="s">
        <v>190</v>
      </c>
      <c r="C49" t="s">
        <v>1950</v>
      </c>
      <c r="D49">
        <v>16</v>
      </c>
    </row>
    <row r="50" spans="1:4" x14ac:dyDescent="0.25">
      <c r="A50" t="s">
        <v>80</v>
      </c>
      <c r="B50" t="s">
        <v>285</v>
      </c>
      <c r="C50" t="s">
        <v>1951</v>
      </c>
      <c r="D50">
        <v>13</v>
      </c>
    </row>
    <row r="51" spans="1:4" x14ac:dyDescent="0.25">
      <c r="A51" t="s">
        <v>80</v>
      </c>
      <c r="B51" t="s">
        <v>118</v>
      </c>
      <c r="C51" t="s">
        <v>3017</v>
      </c>
      <c r="D51">
        <v>15</v>
      </c>
    </row>
    <row r="52" spans="1:4" x14ac:dyDescent="0.25">
      <c r="A52" t="s">
        <v>80</v>
      </c>
      <c r="B52" t="s">
        <v>120</v>
      </c>
      <c r="C52" t="s">
        <v>3451</v>
      </c>
      <c r="D52">
        <v>14</v>
      </c>
    </row>
    <row r="53" spans="1:4" x14ac:dyDescent="0.25">
      <c r="A53" t="s">
        <v>80</v>
      </c>
      <c r="B53" t="s">
        <v>120</v>
      </c>
      <c r="C53" t="s">
        <v>1953</v>
      </c>
      <c r="D53">
        <v>13</v>
      </c>
    </row>
    <row r="54" spans="1:4" x14ac:dyDescent="0.25">
      <c r="A54" t="s">
        <v>80</v>
      </c>
      <c r="B54" t="s">
        <v>1180</v>
      </c>
      <c r="C54" t="s">
        <v>3018</v>
      </c>
      <c r="D54">
        <v>11</v>
      </c>
    </row>
    <row r="55" spans="1:4" x14ac:dyDescent="0.25">
      <c r="A55" t="s">
        <v>80</v>
      </c>
      <c r="B55" t="s">
        <v>508</v>
      </c>
      <c r="C55" t="s">
        <v>2881</v>
      </c>
      <c r="D55">
        <v>9</v>
      </c>
    </row>
    <row r="56" spans="1:4" x14ac:dyDescent="0.25">
      <c r="A56" t="s">
        <v>123</v>
      </c>
      <c r="B56" t="s">
        <v>427</v>
      </c>
      <c r="C56" t="s">
        <v>1838</v>
      </c>
      <c r="D56">
        <v>6</v>
      </c>
    </row>
    <row r="57" spans="1:4" x14ac:dyDescent="0.25">
      <c r="A57" t="s">
        <v>123</v>
      </c>
      <c r="B57" t="s">
        <v>1573</v>
      </c>
      <c r="C57" t="s">
        <v>1839</v>
      </c>
      <c r="D57">
        <v>4</v>
      </c>
    </row>
    <row r="58" spans="1:4" x14ac:dyDescent="0.25">
      <c r="A58" t="s">
        <v>123</v>
      </c>
      <c r="B58" t="s">
        <v>1280</v>
      </c>
      <c r="C58" t="s">
        <v>1164</v>
      </c>
      <c r="D58">
        <v>6</v>
      </c>
    </row>
    <row r="59" spans="1:4" x14ac:dyDescent="0.25">
      <c r="A59" t="s">
        <v>123</v>
      </c>
      <c r="B59" t="s">
        <v>1771</v>
      </c>
      <c r="C59" t="s">
        <v>1606</v>
      </c>
      <c r="D59">
        <v>7</v>
      </c>
    </row>
    <row r="60" spans="1:4" x14ac:dyDescent="0.25">
      <c r="A60" t="s">
        <v>123</v>
      </c>
      <c r="B60" t="s">
        <v>1771</v>
      </c>
      <c r="C60" t="s">
        <v>1165</v>
      </c>
      <c r="D60">
        <v>8</v>
      </c>
    </row>
    <row r="61" spans="1:4" x14ac:dyDescent="0.25">
      <c r="A61" t="s">
        <v>123</v>
      </c>
      <c r="B61" t="s">
        <v>56</v>
      </c>
      <c r="C61" t="s">
        <v>2884</v>
      </c>
      <c r="D61">
        <v>10</v>
      </c>
    </row>
    <row r="62" spans="1:4" x14ac:dyDescent="0.25">
      <c r="A62" t="s">
        <v>123</v>
      </c>
      <c r="B62" t="s">
        <v>517</v>
      </c>
      <c r="C62" t="s">
        <v>1168</v>
      </c>
      <c r="D62">
        <v>7</v>
      </c>
    </row>
    <row r="63" spans="1:4" x14ac:dyDescent="0.25">
      <c r="A63" t="s">
        <v>123</v>
      </c>
      <c r="B63" t="s">
        <v>2962</v>
      </c>
      <c r="C63" t="s">
        <v>1610</v>
      </c>
      <c r="D63">
        <v>5</v>
      </c>
    </row>
    <row r="64" spans="1:4" x14ac:dyDescent="0.25">
      <c r="A64" t="s">
        <v>123</v>
      </c>
      <c r="B64" t="s">
        <v>519</v>
      </c>
      <c r="C64" t="s">
        <v>2915</v>
      </c>
      <c r="D64">
        <v>3</v>
      </c>
    </row>
    <row r="65" spans="1:4" x14ac:dyDescent="0.25">
      <c r="A65" t="s">
        <v>123</v>
      </c>
      <c r="B65" t="s">
        <v>519</v>
      </c>
      <c r="C65" t="s">
        <v>642</v>
      </c>
      <c r="D65">
        <v>2</v>
      </c>
    </row>
    <row r="66" spans="1:4" x14ac:dyDescent="0.25">
      <c r="A66" t="s">
        <v>123</v>
      </c>
      <c r="B66" t="s">
        <v>2629</v>
      </c>
      <c r="C66" t="s">
        <v>644</v>
      </c>
      <c r="D66">
        <v>4</v>
      </c>
    </row>
    <row r="67" spans="1:4" x14ac:dyDescent="0.25">
      <c r="A67" t="s">
        <v>123</v>
      </c>
      <c r="B67" t="s">
        <v>2629</v>
      </c>
      <c r="C67" t="s">
        <v>1173</v>
      </c>
      <c r="D67">
        <v>5</v>
      </c>
    </row>
    <row r="68" spans="1:4" x14ac:dyDescent="0.25">
      <c r="A68" t="s">
        <v>123</v>
      </c>
      <c r="B68" t="s">
        <v>1153</v>
      </c>
      <c r="C68" t="s">
        <v>2185</v>
      </c>
      <c r="D68">
        <v>7</v>
      </c>
    </row>
    <row r="69" spans="1:4" x14ac:dyDescent="0.25">
      <c r="A69" t="s">
        <v>123</v>
      </c>
      <c r="B69" t="s">
        <v>1177</v>
      </c>
      <c r="C69" t="s">
        <v>2279</v>
      </c>
      <c r="D69">
        <v>9</v>
      </c>
    </row>
    <row r="70" spans="1:4" x14ac:dyDescent="0.25">
      <c r="A70" t="s">
        <v>123</v>
      </c>
      <c r="B70" t="s">
        <v>481</v>
      </c>
      <c r="C70" t="s">
        <v>3452</v>
      </c>
      <c r="D70">
        <v>7</v>
      </c>
    </row>
    <row r="71" spans="1:4" x14ac:dyDescent="0.25">
      <c r="A71" t="s">
        <v>123</v>
      </c>
      <c r="B71" t="s">
        <v>322</v>
      </c>
      <c r="C71" t="s">
        <v>3453</v>
      </c>
      <c r="D71">
        <v>8</v>
      </c>
    </row>
    <row r="72" spans="1:4" x14ac:dyDescent="0.25">
      <c r="A72" t="s">
        <v>123</v>
      </c>
      <c r="B72" t="s">
        <v>793</v>
      </c>
      <c r="C72" t="s">
        <v>1179</v>
      </c>
      <c r="D72">
        <v>6</v>
      </c>
    </row>
    <row r="73" spans="1:4" x14ac:dyDescent="0.25">
      <c r="A73" t="s">
        <v>123</v>
      </c>
      <c r="B73" t="s">
        <v>793</v>
      </c>
      <c r="C73" t="s">
        <v>410</v>
      </c>
      <c r="D73">
        <v>5</v>
      </c>
    </row>
    <row r="74" spans="1:4" x14ac:dyDescent="0.25">
      <c r="A74" t="s">
        <v>123</v>
      </c>
      <c r="B74" t="s">
        <v>350</v>
      </c>
      <c r="C74" t="s">
        <v>2732</v>
      </c>
      <c r="D74">
        <v>3</v>
      </c>
    </row>
    <row r="75" spans="1:4" x14ac:dyDescent="0.25">
      <c r="A75" t="s">
        <v>123</v>
      </c>
      <c r="B75" t="s">
        <v>451</v>
      </c>
      <c r="C75" t="s">
        <v>1961</v>
      </c>
      <c r="D75">
        <v>4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8.7567567567567561</v>
      </c>
    </row>
    <row r="79" spans="1:4" x14ac:dyDescent="0.25">
      <c r="A79" t="s">
        <v>159</v>
      </c>
      <c r="D79">
        <f>MAX(D2:D75)</f>
        <v>16</v>
      </c>
    </row>
    <row r="80" spans="1:4" x14ac:dyDescent="0.25">
      <c r="A80" t="s">
        <v>160</v>
      </c>
      <c r="D80">
        <f>MIN(D2:D75)</f>
        <v>1</v>
      </c>
    </row>
    <row r="81" spans="1:4" x14ac:dyDescent="0.25">
      <c r="A81" t="s">
        <v>161</v>
      </c>
      <c r="D81">
        <f>COUNTIF(D2:D75,"&gt;0")</f>
        <v>74</v>
      </c>
    </row>
    <row r="82" spans="1:4" x14ac:dyDescent="0.25">
      <c r="A82" t="s">
        <v>162</v>
      </c>
      <c r="D82">
        <f>COUNTIF(D2:D75,"=0")</f>
        <v>0</v>
      </c>
    </row>
    <row r="83" spans="1:4" x14ac:dyDescent="0.25">
      <c r="A83" t="s">
        <v>1186</v>
      </c>
      <c r="D83">
        <f>COUNTIF(D2:D75,"&lt;0")</f>
        <v>0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AVERAGE(D2,D3,D4,D5,D6,D7,D8,D9,D10,D11,D12,D13,D14,D15,D16,D17,D18,D19,D20,D21,D22,D23,D24,D25,D26)</f>
        <v>8.16</v>
      </c>
    </row>
    <row r="87" spans="1:4" x14ac:dyDescent="0.25">
      <c r="A87" t="s">
        <v>166</v>
      </c>
      <c r="D87">
        <f>AVERAGE(D27,D28,D29,D30,D31,D32,D33,D34,D35,D36,D37,D38,D39,D40,D41,D42)</f>
        <v>10.375</v>
      </c>
    </row>
    <row r="88" spans="1:4" x14ac:dyDescent="0.25">
      <c r="A88" t="s">
        <v>167</v>
      </c>
      <c r="D88">
        <f>AVERAGE(D43,D44,D45,D46,D47,D48,D49,D50,D51,D52,D53,D54,D55)</f>
        <v>12.461538461538462</v>
      </c>
    </row>
    <row r="89" spans="1:4" x14ac:dyDescent="0.25">
      <c r="A89" t="s">
        <v>168</v>
      </c>
      <c r="D89">
        <f>AVERAGE(D56,D57,D58,D59,D60,D61,D62,D63,D64,D65,D66,D67,D68,D69,D70,D71,D72,D73,D74,D75)</f>
        <v>5.8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1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563</v>
      </c>
      <c r="C2" t="s">
        <v>6</v>
      </c>
      <c r="D2">
        <v>2</v>
      </c>
    </row>
    <row r="3" spans="1:4" x14ac:dyDescent="0.25">
      <c r="A3" t="s">
        <v>4</v>
      </c>
      <c r="B3" t="s">
        <v>487</v>
      </c>
      <c r="C3" t="s">
        <v>1572</v>
      </c>
      <c r="D3">
        <v>5</v>
      </c>
    </row>
    <row r="4" spans="1:4" x14ac:dyDescent="0.25">
      <c r="A4" t="s">
        <v>4</v>
      </c>
      <c r="B4" t="s">
        <v>490</v>
      </c>
      <c r="C4" t="s">
        <v>429</v>
      </c>
      <c r="D4">
        <v>2</v>
      </c>
    </row>
    <row r="5" spans="1:4" x14ac:dyDescent="0.25">
      <c r="A5" t="s">
        <v>4</v>
      </c>
      <c r="B5" t="s">
        <v>1190</v>
      </c>
      <c r="C5" t="s">
        <v>430</v>
      </c>
      <c r="D5">
        <v>4</v>
      </c>
    </row>
    <row r="6" spans="1:4" x14ac:dyDescent="0.25">
      <c r="A6" t="s">
        <v>4</v>
      </c>
      <c r="B6" t="s">
        <v>1190</v>
      </c>
      <c r="C6" t="s">
        <v>694</v>
      </c>
      <c r="D6">
        <v>5</v>
      </c>
    </row>
    <row r="7" spans="1:4" x14ac:dyDescent="0.25">
      <c r="A7" t="s">
        <v>4</v>
      </c>
      <c r="B7" t="s">
        <v>172</v>
      </c>
      <c r="C7" t="s">
        <v>695</v>
      </c>
      <c r="D7">
        <v>3</v>
      </c>
    </row>
    <row r="8" spans="1:4" x14ac:dyDescent="0.25">
      <c r="A8" t="s">
        <v>4</v>
      </c>
      <c r="B8" t="s">
        <v>1411</v>
      </c>
      <c r="C8" t="s">
        <v>20</v>
      </c>
      <c r="D8">
        <v>0</v>
      </c>
    </row>
    <row r="9" spans="1:4" x14ac:dyDescent="0.25">
      <c r="A9" t="s">
        <v>4</v>
      </c>
      <c r="B9" t="s">
        <v>737</v>
      </c>
      <c r="C9" t="s">
        <v>1353</v>
      </c>
      <c r="D9">
        <v>3</v>
      </c>
    </row>
    <row r="10" spans="1:4" x14ac:dyDescent="0.25">
      <c r="A10" t="s">
        <v>4</v>
      </c>
      <c r="B10" t="s">
        <v>95</v>
      </c>
      <c r="C10" t="s">
        <v>574</v>
      </c>
      <c r="D10">
        <v>0</v>
      </c>
    </row>
    <row r="11" spans="1:4" x14ac:dyDescent="0.25">
      <c r="A11" t="s">
        <v>4</v>
      </c>
      <c r="B11" t="s">
        <v>2032</v>
      </c>
      <c r="C11" t="s">
        <v>28</v>
      </c>
      <c r="D11">
        <v>1</v>
      </c>
    </row>
    <row r="12" spans="1:4" x14ac:dyDescent="0.25">
      <c r="A12" t="s">
        <v>4</v>
      </c>
      <c r="B12" t="s">
        <v>2032</v>
      </c>
      <c r="C12" t="s">
        <v>1818</v>
      </c>
      <c r="D12">
        <v>2</v>
      </c>
    </row>
    <row r="13" spans="1:4" x14ac:dyDescent="0.25">
      <c r="A13" t="s">
        <v>4</v>
      </c>
      <c r="B13" t="s">
        <v>2250</v>
      </c>
      <c r="C13" t="s">
        <v>443</v>
      </c>
      <c r="D13">
        <v>0</v>
      </c>
    </row>
    <row r="14" spans="1:4" x14ac:dyDescent="0.25">
      <c r="A14" t="s">
        <v>4</v>
      </c>
      <c r="B14" t="s">
        <v>743</v>
      </c>
      <c r="C14" t="s">
        <v>703</v>
      </c>
      <c r="D14">
        <v>-3</v>
      </c>
    </row>
    <row r="15" spans="1:4" x14ac:dyDescent="0.25">
      <c r="A15" t="s">
        <v>4</v>
      </c>
      <c r="B15" t="s">
        <v>319</v>
      </c>
      <c r="C15" t="s">
        <v>705</v>
      </c>
      <c r="D15">
        <v>-1</v>
      </c>
    </row>
    <row r="16" spans="1:4" x14ac:dyDescent="0.25">
      <c r="A16" t="s">
        <v>4</v>
      </c>
      <c r="B16" t="s">
        <v>812</v>
      </c>
      <c r="C16" t="s">
        <v>580</v>
      </c>
      <c r="D16">
        <v>-3</v>
      </c>
    </row>
    <row r="17" spans="1:4" x14ac:dyDescent="0.25">
      <c r="A17" t="s">
        <v>4</v>
      </c>
      <c r="B17" t="s">
        <v>1640</v>
      </c>
      <c r="C17" t="s">
        <v>39</v>
      </c>
      <c r="D17">
        <v>-1</v>
      </c>
    </row>
    <row r="18" spans="1:4" x14ac:dyDescent="0.25">
      <c r="A18" t="s">
        <v>4</v>
      </c>
      <c r="B18" t="s">
        <v>1843</v>
      </c>
      <c r="C18" t="s">
        <v>1821</v>
      </c>
      <c r="D18">
        <v>-2</v>
      </c>
    </row>
    <row r="19" spans="1:4" x14ac:dyDescent="0.25">
      <c r="A19" t="s">
        <v>4</v>
      </c>
      <c r="B19" t="s">
        <v>29</v>
      </c>
      <c r="C19" t="s">
        <v>2123</v>
      </c>
      <c r="D19">
        <v>-1</v>
      </c>
    </row>
    <row r="20" spans="1:4" x14ac:dyDescent="0.25">
      <c r="A20" t="s">
        <v>4</v>
      </c>
      <c r="B20" t="s">
        <v>29</v>
      </c>
      <c r="C20" t="s">
        <v>585</v>
      </c>
      <c r="D20">
        <v>0</v>
      </c>
    </row>
    <row r="21" spans="1:4" x14ac:dyDescent="0.25">
      <c r="A21" t="s">
        <v>4</v>
      </c>
      <c r="B21" t="s">
        <v>1646</v>
      </c>
      <c r="C21" t="s">
        <v>1822</v>
      </c>
      <c r="D21">
        <v>2</v>
      </c>
    </row>
    <row r="22" spans="1:4" x14ac:dyDescent="0.25">
      <c r="A22" t="s">
        <v>40</v>
      </c>
      <c r="B22" t="s">
        <v>1024</v>
      </c>
      <c r="C22" t="s">
        <v>925</v>
      </c>
      <c r="D22">
        <v>4</v>
      </c>
    </row>
    <row r="23" spans="1:4" x14ac:dyDescent="0.25">
      <c r="A23" t="s">
        <v>40</v>
      </c>
      <c r="B23" t="s">
        <v>1346</v>
      </c>
      <c r="C23" t="s">
        <v>455</v>
      </c>
      <c r="D23">
        <v>1</v>
      </c>
    </row>
    <row r="24" spans="1:4" x14ac:dyDescent="0.25">
      <c r="A24" t="s">
        <v>40</v>
      </c>
      <c r="B24" t="s">
        <v>1266</v>
      </c>
      <c r="C24" t="s">
        <v>2702</v>
      </c>
      <c r="D24">
        <v>-1</v>
      </c>
    </row>
    <row r="25" spans="1:4" x14ac:dyDescent="0.25">
      <c r="A25" t="s">
        <v>40</v>
      </c>
      <c r="B25" t="s">
        <v>797</v>
      </c>
      <c r="C25" t="s">
        <v>2703</v>
      </c>
      <c r="D25">
        <v>1</v>
      </c>
    </row>
    <row r="26" spans="1:4" x14ac:dyDescent="0.25">
      <c r="A26" t="s">
        <v>40</v>
      </c>
      <c r="B26" t="s">
        <v>1573</v>
      </c>
      <c r="C26" t="s">
        <v>338</v>
      </c>
      <c r="D26">
        <v>4</v>
      </c>
    </row>
    <row r="27" spans="1:4" x14ac:dyDescent="0.25">
      <c r="A27" t="s">
        <v>40</v>
      </c>
      <c r="B27" t="s">
        <v>1754</v>
      </c>
      <c r="C27" t="s">
        <v>2125</v>
      </c>
      <c r="D27">
        <v>1</v>
      </c>
    </row>
    <row r="28" spans="1:4" x14ac:dyDescent="0.25">
      <c r="A28" t="s">
        <v>40</v>
      </c>
      <c r="B28" t="s">
        <v>1086</v>
      </c>
      <c r="C28" t="s">
        <v>59</v>
      </c>
      <c r="D28">
        <v>-1</v>
      </c>
    </row>
    <row r="29" spans="1:4" x14ac:dyDescent="0.25">
      <c r="A29" t="s">
        <v>40</v>
      </c>
      <c r="B29" t="s">
        <v>802</v>
      </c>
      <c r="C29" t="s">
        <v>463</v>
      </c>
      <c r="D29">
        <v>-2</v>
      </c>
    </row>
    <row r="30" spans="1:4" x14ac:dyDescent="0.25">
      <c r="A30" t="s">
        <v>40</v>
      </c>
      <c r="B30" t="s">
        <v>1776</v>
      </c>
      <c r="C30" t="s">
        <v>464</v>
      </c>
      <c r="D30">
        <v>0</v>
      </c>
    </row>
    <row r="31" spans="1:4" x14ac:dyDescent="0.25">
      <c r="A31" t="s">
        <v>40</v>
      </c>
      <c r="B31" t="s">
        <v>188</v>
      </c>
      <c r="C31" t="s">
        <v>1130</v>
      </c>
      <c r="D31">
        <v>2</v>
      </c>
    </row>
    <row r="32" spans="1:4" x14ac:dyDescent="0.25">
      <c r="A32" t="s">
        <v>40</v>
      </c>
      <c r="B32" t="s">
        <v>64</v>
      </c>
      <c r="C32" t="s">
        <v>466</v>
      </c>
      <c r="D32">
        <v>0</v>
      </c>
    </row>
    <row r="33" spans="1:4" x14ac:dyDescent="0.25">
      <c r="A33" t="s">
        <v>40</v>
      </c>
      <c r="B33" t="s">
        <v>225</v>
      </c>
      <c r="C33" t="s">
        <v>1827</v>
      </c>
      <c r="D33">
        <v>-2</v>
      </c>
    </row>
    <row r="34" spans="1:4" x14ac:dyDescent="0.25">
      <c r="A34" t="s">
        <v>40</v>
      </c>
      <c r="B34" t="s">
        <v>812</v>
      </c>
      <c r="C34" t="s">
        <v>1516</v>
      </c>
      <c r="D34">
        <v>1</v>
      </c>
    </row>
    <row r="35" spans="1:4" x14ac:dyDescent="0.25">
      <c r="A35" t="s">
        <v>40</v>
      </c>
      <c r="B35" t="s">
        <v>2112</v>
      </c>
      <c r="C35" t="s">
        <v>1668</v>
      </c>
      <c r="D35">
        <v>4</v>
      </c>
    </row>
    <row r="36" spans="1:4" x14ac:dyDescent="0.25">
      <c r="A36" t="s">
        <v>40</v>
      </c>
      <c r="B36" t="s">
        <v>2363</v>
      </c>
      <c r="C36" t="s">
        <v>1757</v>
      </c>
      <c r="D36">
        <v>3</v>
      </c>
    </row>
    <row r="37" spans="1:4" x14ac:dyDescent="0.25">
      <c r="A37" t="s">
        <v>40</v>
      </c>
      <c r="B37" t="s">
        <v>999</v>
      </c>
      <c r="C37" t="s">
        <v>474</v>
      </c>
      <c r="D37">
        <v>2</v>
      </c>
    </row>
    <row r="38" spans="1:4" x14ac:dyDescent="0.25">
      <c r="A38" t="s">
        <v>40</v>
      </c>
      <c r="B38" t="s">
        <v>999</v>
      </c>
      <c r="C38" t="s">
        <v>476</v>
      </c>
      <c r="D38">
        <v>1</v>
      </c>
    </row>
    <row r="39" spans="1:4" x14ac:dyDescent="0.25">
      <c r="A39" t="s">
        <v>40</v>
      </c>
      <c r="B39" t="s">
        <v>1990</v>
      </c>
      <c r="C39" t="s">
        <v>1220</v>
      </c>
      <c r="D39">
        <v>2</v>
      </c>
    </row>
    <row r="40" spans="1:4" x14ac:dyDescent="0.25">
      <c r="A40" t="s">
        <v>40</v>
      </c>
      <c r="B40" t="s">
        <v>1990</v>
      </c>
      <c r="C40" t="s">
        <v>1758</v>
      </c>
      <c r="D40">
        <v>3</v>
      </c>
    </row>
    <row r="41" spans="1:4" x14ac:dyDescent="0.25">
      <c r="A41" t="s">
        <v>40</v>
      </c>
      <c r="B41" t="s">
        <v>683</v>
      </c>
      <c r="C41" t="s">
        <v>733</v>
      </c>
      <c r="D41">
        <v>0</v>
      </c>
    </row>
    <row r="42" spans="1:4" x14ac:dyDescent="0.25">
      <c r="A42" t="s">
        <v>80</v>
      </c>
      <c r="B42" t="s">
        <v>41</v>
      </c>
      <c r="C42" t="s">
        <v>734</v>
      </c>
      <c r="D42">
        <v>2</v>
      </c>
    </row>
    <row r="43" spans="1:4" x14ac:dyDescent="0.25">
      <c r="A43" t="s">
        <v>80</v>
      </c>
      <c r="B43" t="s">
        <v>2421</v>
      </c>
      <c r="C43" t="s">
        <v>245</v>
      </c>
      <c r="D43">
        <v>0</v>
      </c>
    </row>
    <row r="44" spans="1:4" x14ac:dyDescent="0.25">
      <c r="A44" t="s">
        <v>80</v>
      </c>
      <c r="B44" t="s">
        <v>11</v>
      </c>
      <c r="C44" t="s">
        <v>365</v>
      </c>
      <c r="D44">
        <v>2</v>
      </c>
    </row>
    <row r="45" spans="1:4" x14ac:dyDescent="0.25">
      <c r="A45" t="s">
        <v>80</v>
      </c>
      <c r="B45" t="s">
        <v>862</v>
      </c>
      <c r="C45" t="s">
        <v>252</v>
      </c>
      <c r="D45">
        <v>-1</v>
      </c>
    </row>
    <row r="46" spans="1:4" x14ac:dyDescent="0.25">
      <c r="A46" t="s">
        <v>80</v>
      </c>
      <c r="B46" t="s">
        <v>275</v>
      </c>
      <c r="C46" t="s">
        <v>2416</v>
      </c>
      <c r="D46">
        <v>-3</v>
      </c>
    </row>
    <row r="47" spans="1:4" x14ac:dyDescent="0.25">
      <c r="A47" t="s">
        <v>80</v>
      </c>
      <c r="B47" t="s">
        <v>277</v>
      </c>
      <c r="C47" t="s">
        <v>2877</v>
      </c>
      <c r="D47">
        <v>-2</v>
      </c>
    </row>
    <row r="48" spans="1:4" x14ac:dyDescent="0.25">
      <c r="A48" t="s">
        <v>80</v>
      </c>
      <c r="B48" t="s">
        <v>277</v>
      </c>
      <c r="C48" t="s">
        <v>2878</v>
      </c>
      <c r="D48">
        <v>-1</v>
      </c>
    </row>
    <row r="49" spans="1:4" x14ac:dyDescent="0.25">
      <c r="A49" t="s">
        <v>80</v>
      </c>
      <c r="B49" t="s">
        <v>335</v>
      </c>
      <c r="C49" t="s">
        <v>3028</v>
      </c>
      <c r="D49">
        <v>2</v>
      </c>
    </row>
    <row r="50" spans="1:4" x14ac:dyDescent="0.25">
      <c r="A50" t="s">
        <v>80</v>
      </c>
      <c r="B50" t="s">
        <v>19</v>
      </c>
      <c r="C50" t="s">
        <v>745</v>
      </c>
      <c r="D50">
        <v>0</v>
      </c>
    </row>
    <row r="51" spans="1:4" x14ac:dyDescent="0.25">
      <c r="A51" t="s">
        <v>80</v>
      </c>
      <c r="B51" t="s">
        <v>188</v>
      </c>
      <c r="C51" t="s">
        <v>264</v>
      </c>
      <c r="D51">
        <v>-3</v>
      </c>
    </row>
    <row r="52" spans="1:4" x14ac:dyDescent="0.25">
      <c r="A52" t="s">
        <v>80</v>
      </c>
      <c r="B52" t="s">
        <v>807</v>
      </c>
      <c r="C52" t="s">
        <v>1730</v>
      </c>
      <c r="D52">
        <v>-1</v>
      </c>
    </row>
    <row r="53" spans="1:4" x14ac:dyDescent="0.25">
      <c r="A53" t="s">
        <v>80</v>
      </c>
      <c r="B53" t="s">
        <v>984</v>
      </c>
      <c r="C53" t="s">
        <v>1770</v>
      </c>
      <c r="D53">
        <v>-3</v>
      </c>
    </row>
    <row r="54" spans="1:4" x14ac:dyDescent="0.25">
      <c r="A54" t="s">
        <v>80</v>
      </c>
      <c r="B54" t="s">
        <v>1698</v>
      </c>
      <c r="C54" t="s">
        <v>630</v>
      </c>
      <c r="D54">
        <v>-2</v>
      </c>
    </row>
    <row r="55" spans="1:4" x14ac:dyDescent="0.25">
      <c r="A55" t="s">
        <v>80</v>
      </c>
      <c r="B55" t="s">
        <v>1698</v>
      </c>
      <c r="C55" t="s">
        <v>3454</v>
      </c>
      <c r="D55">
        <v>-1</v>
      </c>
    </row>
    <row r="56" spans="1:4" x14ac:dyDescent="0.25">
      <c r="A56" t="s">
        <v>80</v>
      </c>
      <c r="B56" t="s">
        <v>749</v>
      </c>
      <c r="C56" t="s">
        <v>1532</v>
      </c>
      <c r="D56">
        <v>2</v>
      </c>
    </row>
    <row r="57" spans="1:4" x14ac:dyDescent="0.25">
      <c r="A57" t="s">
        <v>80</v>
      </c>
      <c r="B57" t="s">
        <v>667</v>
      </c>
      <c r="C57" t="s">
        <v>3455</v>
      </c>
      <c r="D57">
        <v>0</v>
      </c>
    </row>
    <row r="58" spans="1:4" x14ac:dyDescent="0.25">
      <c r="A58" t="s">
        <v>80</v>
      </c>
      <c r="B58" t="s">
        <v>2453</v>
      </c>
      <c r="C58" t="s">
        <v>2551</v>
      </c>
      <c r="D58">
        <v>2</v>
      </c>
    </row>
    <row r="59" spans="1:4" x14ac:dyDescent="0.25">
      <c r="A59" t="s">
        <v>80</v>
      </c>
      <c r="B59" t="s">
        <v>1339</v>
      </c>
      <c r="C59" t="s">
        <v>390</v>
      </c>
      <c r="D59">
        <v>0</v>
      </c>
    </row>
    <row r="60" spans="1:4" x14ac:dyDescent="0.25">
      <c r="A60" t="s">
        <v>80</v>
      </c>
      <c r="B60" t="s">
        <v>815</v>
      </c>
      <c r="C60" t="s">
        <v>391</v>
      </c>
      <c r="D60">
        <v>1</v>
      </c>
    </row>
    <row r="61" spans="1:4" x14ac:dyDescent="0.25">
      <c r="A61" t="s">
        <v>80</v>
      </c>
      <c r="B61" t="s">
        <v>815</v>
      </c>
      <c r="C61" t="s">
        <v>2181</v>
      </c>
      <c r="D61">
        <v>2</v>
      </c>
    </row>
    <row r="62" spans="1:4" x14ac:dyDescent="0.25">
      <c r="A62" t="s">
        <v>80</v>
      </c>
      <c r="B62" t="s">
        <v>996</v>
      </c>
      <c r="C62" t="s">
        <v>2182</v>
      </c>
      <c r="D62">
        <v>0</v>
      </c>
    </row>
    <row r="63" spans="1:4" x14ac:dyDescent="0.25">
      <c r="A63" t="s">
        <v>80</v>
      </c>
      <c r="B63" t="s">
        <v>996</v>
      </c>
      <c r="C63" t="s">
        <v>842</v>
      </c>
      <c r="D63">
        <v>-1</v>
      </c>
    </row>
    <row r="64" spans="1:4" x14ac:dyDescent="0.25">
      <c r="A64" t="s">
        <v>80</v>
      </c>
      <c r="B64" t="s">
        <v>1204</v>
      </c>
      <c r="C64" t="s">
        <v>3199</v>
      </c>
      <c r="D64">
        <v>1</v>
      </c>
    </row>
    <row r="65" spans="1:4" x14ac:dyDescent="0.25">
      <c r="A65" t="s">
        <v>80</v>
      </c>
      <c r="B65" t="s">
        <v>481</v>
      </c>
      <c r="C65" t="s">
        <v>3200</v>
      </c>
      <c r="D65">
        <v>-1</v>
      </c>
    </row>
    <row r="66" spans="1:4" x14ac:dyDescent="0.25">
      <c r="A66" t="s">
        <v>80</v>
      </c>
      <c r="B66" t="s">
        <v>681</v>
      </c>
      <c r="C66" t="s">
        <v>2916</v>
      </c>
      <c r="D66">
        <v>1</v>
      </c>
    </row>
    <row r="67" spans="1:4" x14ac:dyDescent="0.25">
      <c r="A67" t="s">
        <v>80</v>
      </c>
      <c r="B67" t="s">
        <v>537</v>
      </c>
      <c r="C67" t="s">
        <v>2499</v>
      </c>
      <c r="D67">
        <v>-1</v>
      </c>
    </row>
    <row r="68" spans="1:4" x14ac:dyDescent="0.25">
      <c r="A68" t="s">
        <v>80</v>
      </c>
      <c r="B68" t="s">
        <v>537</v>
      </c>
      <c r="C68" t="s">
        <v>3085</v>
      </c>
      <c r="D68">
        <v>-2</v>
      </c>
    </row>
    <row r="69" spans="1:4" x14ac:dyDescent="0.25">
      <c r="A69" t="s">
        <v>123</v>
      </c>
      <c r="B69" t="s">
        <v>859</v>
      </c>
      <c r="C69" t="s">
        <v>510</v>
      </c>
      <c r="D69">
        <v>-1</v>
      </c>
    </row>
    <row r="70" spans="1:4" x14ac:dyDescent="0.25">
      <c r="A70" t="s">
        <v>123</v>
      </c>
      <c r="B70" t="s">
        <v>859</v>
      </c>
      <c r="C70" t="s">
        <v>3086</v>
      </c>
      <c r="D70">
        <v>0</v>
      </c>
    </row>
    <row r="71" spans="1:4" x14ac:dyDescent="0.25">
      <c r="A71" t="s">
        <v>123</v>
      </c>
      <c r="B71" t="s">
        <v>1192</v>
      </c>
      <c r="C71" t="s">
        <v>847</v>
      </c>
      <c r="D71">
        <v>-1</v>
      </c>
    </row>
    <row r="72" spans="1:4" x14ac:dyDescent="0.25">
      <c r="A72" t="s">
        <v>123</v>
      </c>
      <c r="B72" t="s">
        <v>1192</v>
      </c>
      <c r="C72" t="s">
        <v>2314</v>
      </c>
      <c r="D72">
        <v>-2</v>
      </c>
    </row>
    <row r="73" spans="1:4" x14ac:dyDescent="0.25">
      <c r="A73" t="s">
        <v>123</v>
      </c>
      <c r="B73" t="s">
        <v>2074</v>
      </c>
      <c r="C73" t="s">
        <v>3456</v>
      </c>
      <c r="D73">
        <v>-4</v>
      </c>
    </row>
    <row r="74" spans="1:4" x14ac:dyDescent="0.25">
      <c r="A74" t="s">
        <v>123</v>
      </c>
      <c r="B74" t="s">
        <v>250</v>
      </c>
      <c r="C74" t="s">
        <v>515</v>
      </c>
      <c r="D74">
        <v>-3</v>
      </c>
    </row>
    <row r="75" spans="1:4" x14ac:dyDescent="0.25">
      <c r="A75" t="s">
        <v>123</v>
      </c>
      <c r="B75" t="s">
        <v>54</v>
      </c>
      <c r="C75" t="s">
        <v>657</v>
      </c>
      <c r="D75">
        <v>0</v>
      </c>
    </row>
    <row r="76" spans="1:4" x14ac:dyDescent="0.25">
      <c r="A76" t="s">
        <v>123</v>
      </c>
      <c r="B76" t="s">
        <v>213</v>
      </c>
      <c r="C76" t="s">
        <v>2242</v>
      </c>
      <c r="D76">
        <v>-2</v>
      </c>
    </row>
    <row r="77" spans="1:4" x14ac:dyDescent="0.25">
      <c r="A77" t="s">
        <v>123</v>
      </c>
      <c r="B77" t="s">
        <v>1775</v>
      </c>
      <c r="C77" t="s">
        <v>853</v>
      </c>
      <c r="D77">
        <v>-4</v>
      </c>
    </row>
    <row r="78" spans="1:4" x14ac:dyDescent="0.25">
      <c r="A78" t="s">
        <v>123</v>
      </c>
      <c r="B78" t="s">
        <v>596</v>
      </c>
      <c r="C78" t="s">
        <v>2344</v>
      </c>
      <c r="D78">
        <v>-3</v>
      </c>
    </row>
    <row r="79" spans="1:4" x14ac:dyDescent="0.25">
      <c r="A79" t="s">
        <v>123</v>
      </c>
      <c r="B79" t="s">
        <v>807</v>
      </c>
      <c r="C79" t="s">
        <v>3457</v>
      </c>
      <c r="D79">
        <v>-4</v>
      </c>
    </row>
    <row r="80" spans="1:4" x14ac:dyDescent="0.25">
      <c r="A80" t="s">
        <v>123</v>
      </c>
      <c r="B80" t="s">
        <v>922</v>
      </c>
      <c r="C80" t="s">
        <v>523</v>
      </c>
      <c r="D80">
        <v>-3</v>
      </c>
    </row>
    <row r="81" spans="1:4" x14ac:dyDescent="0.25">
      <c r="A81" t="s">
        <v>123</v>
      </c>
      <c r="B81" t="s">
        <v>922</v>
      </c>
      <c r="C81" t="s">
        <v>525</v>
      </c>
      <c r="D81">
        <v>-2</v>
      </c>
    </row>
    <row r="82" spans="1:4" x14ac:dyDescent="0.25">
      <c r="A82" t="s">
        <v>123</v>
      </c>
      <c r="B82" t="s">
        <v>1536</v>
      </c>
      <c r="C82" t="s">
        <v>2502</v>
      </c>
      <c r="D82">
        <v>-3</v>
      </c>
    </row>
    <row r="83" spans="1:4" x14ac:dyDescent="0.25">
      <c r="A83" t="s">
        <v>123</v>
      </c>
      <c r="B83" t="s">
        <v>467</v>
      </c>
      <c r="C83" t="s">
        <v>3458</v>
      </c>
      <c r="D83">
        <v>-1</v>
      </c>
    </row>
    <row r="84" spans="1:4" x14ac:dyDescent="0.25">
      <c r="A84" t="s">
        <v>123</v>
      </c>
      <c r="B84" t="s">
        <v>987</v>
      </c>
      <c r="C84" t="s">
        <v>3459</v>
      </c>
      <c r="D84">
        <v>-3</v>
      </c>
    </row>
    <row r="85" spans="1:4" x14ac:dyDescent="0.25">
      <c r="A85" t="s">
        <v>123</v>
      </c>
      <c r="B85" t="s">
        <v>414</v>
      </c>
      <c r="C85" t="s">
        <v>3460</v>
      </c>
      <c r="D85">
        <v>-6</v>
      </c>
    </row>
    <row r="86" spans="1:4" x14ac:dyDescent="0.25">
      <c r="A86" t="s">
        <v>123</v>
      </c>
      <c r="B86" t="s">
        <v>448</v>
      </c>
      <c r="C86" t="s">
        <v>2346</v>
      </c>
      <c r="D86">
        <v>-4</v>
      </c>
    </row>
    <row r="87" spans="1:4" x14ac:dyDescent="0.25">
      <c r="A87" t="s">
        <v>123</v>
      </c>
      <c r="B87" t="s">
        <v>612</v>
      </c>
      <c r="C87" t="s">
        <v>2251</v>
      </c>
      <c r="D87">
        <v>-6</v>
      </c>
    </row>
    <row r="88" spans="1:4" x14ac:dyDescent="0.25">
      <c r="A88" t="s">
        <v>123</v>
      </c>
      <c r="B88" t="s">
        <v>1437</v>
      </c>
      <c r="C88" t="s">
        <v>2623</v>
      </c>
      <c r="D88">
        <v>-7</v>
      </c>
    </row>
    <row r="89" spans="1:4" x14ac:dyDescent="0.25">
      <c r="A89" t="s">
        <v>123</v>
      </c>
      <c r="B89" t="s">
        <v>1222</v>
      </c>
      <c r="C89" t="s">
        <v>3461</v>
      </c>
      <c r="D89">
        <v>-6</v>
      </c>
    </row>
    <row r="90" spans="1:4" x14ac:dyDescent="0.25">
      <c r="A90" t="s">
        <v>123</v>
      </c>
      <c r="B90" t="s">
        <v>1990</v>
      </c>
      <c r="C90" t="s">
        <v>3462</v>
      </c>
      <c r="D90">
        <v>-7</v>
      </c>
    </row>
    <row r="91" spans="1:4" x14ac:dyDescent="0.25">
      <c r="A91" t="s">
        <v>123</v>
      </c>
      <c r="B91" t="s">
        <v>1990</v>
      </c>
      <c r="C91" t="s">
        <v>3463</v>
      </c>
      <c r="D91">
        <v>-8</v>
      </c>
    </row>
    <row r="92" spans="1:4" x14ac:dyDescent="0.25">
      <c r="A92" t="s">
        <v>123</v>
      </c>
      <c r="B92" t="s">
        <v>972</v>
      </c>
      <c r="C92" t="s">
        <v>3464</v>
      </c>
      <c r="D92">
        <v>-5</v>
      </c>
    </row>
    <row r="93" spans="1:4" x14ac:dyDescent="0.25">
      <c r="A93" t="s">
        <v>123</v>
      </c>
      <c r="B93" t="s">
        <v>422</v>
      </c>
      <c r="C93" t="s">
        <v>3465</v>
      </c>
      <c r="D93">
        <v>-7</v>
      </c>
    </row>
    <row r="94" spans="1:4" x14ac:dyDescent="0.25">
      <c r="A94" t="s">
        <v>123</v>
      </c>
      <c r="B94" t="s">
        <v>770</v>
      </c>
      <c r="C94" t="s">
        <v>2256</v>
      </c>
      <c r="D94">
        <v>-4</v>
      </c>
    </row>
    <row r="95" spans="1:4" x14ac:dyDescent="0.25">
      <c r="A95" t="s">
        <v>123</v>
      </c>
      <c r="B95" t="s">
        <v>1276</v>
      </c>
      <c r="C95" t="s">
        <v>2712</v>
      </c>
      <c r="D95">
        <v>-5</v>
      </c>
    </row>
    <row r="96" spans="1:4" x14ac:dyDescent="0.25">
      <c r="A96" t="s">
        <v>123</v>
      </c>
      <c r="B96" t="s">
        <v>235</v>
      </c>
      <c r="C96" t="s">
        <v>2713</v>
      </c>
      <c r="D96">
        <v>-3</v>
      </c>
    </row>
    <row r="97" spans="1:4" x14ac:dyDescent="0.25">
      <c r="A97" t="s">
        <v>123</v>
      </c>
      <c r="B97" t="s">
        <v>584</v>
      </c>
      <c r="C97" t="s">
        <v>2258</v>
      </c>
      <c r="D97">
        <v>-4</v>
      </c>
    </row>
    <row r="98" spans="1:4" x14ac:dyDescent="0.25">
      <c r="A98" t="s">
        <v>123</v>
      </c>
      <c r="B98" t="s">
        <v>584</v>
      </c>
      <c r="C98" t="s">
        <v>2259</v>
      </c>
      <c r="D98">
        <v>-5</v>
      </c>
    </row>
    <row r="100" spans="1:4" x14ac:dyDescent="0.25">
      <c r="A100" s="2" t="s">
        <v>157</v>
      </c>
    </row>
    <row r="101" spans="1:4" x14ac:dyDescent="0.25">
      <c r="A101" t="s">
        <v>158</v>
      </c>
      <c r="D101">
        <f>AVERAGE(D2:D98)</f>
        <v>-0.81443298969072164</v>
      </c>
    </row>
    <row r="102" spans="1:4" x14ac:dyDescent="0.25">
      <c r="A102" t="s">
        <v>159</v>
      </c>
      <c r="D102">
        <f>MAX(D2:D98)</f>
        <v>5</v>
      </c>
    </row>
    <row r="103" spans="1:4" x14ac:dyDescent="0.25">
      <c r="A103" t="s">
        <v>160</v>
      </c>
      <c r="D103">
        <f>MIN(D2:D98)</f>
        <v>-8</v>
      </c>
    </row>
    <row r="104" spans="1:4" x14ac:dyDescent="0.25">
      <c r="A104" t="s">
        <v>161</v>
      </c>
      <c r="D104">
        <f>COUNTIF(D2:D98,"&gt;0")</f>
        <v>32</v>
      </c>
    </row>
    <row r="105" spans="1:4" x14ac:dyDescent="0.25">
      <c r="A105" t="s">
        <v>162</v>
      </c>
      <c r="D105">
        <f>COUNTIF(D2:D98,"=0")</f>
        <v>14</v>
      </c>
    </row>
    <row r="106" spans="1:4" x14ac:dyDescent="0.25">
      <c r="A106" t="s">
        <v>1633</v>
      </c>
      <c r="D106">
        <f>COUNTIF(D2:D98,"&lt;0")</f>
        <v>51</v>
      </c>
    </row>
    <row r="108" spans="1:4" x14ac:dyDescent="0.25">
      <c r="A108" s="2" t="s">
        <v>164</v>
      </c>
    </row>
    <row r="109" spans="1:4" x14ac:dyDescent="0.25">
      <c r="A109" t="s">
        <v>165</v>
      </c>
      <c r="D109">
        <f>AVERAGE(D2,D3,D4,D5,D6,D7,D8,D9,D10,D11,D12,D13,D14,D15,D16,D17,D18,D19,D20,D21)</f>
        <v>0.9</v>
      </c>
    </row>
    <row r="110" spans="1:4" x14ac:dyDescent="0.25">
      <c r="A110" t="s">
        <v>166</v>
      </c>
      <c r="D110">
        <f>AVERAGE(D22,D23,D24,D25,D26,D27,D28,D29,D30,D31,D32,D33,D34,D35,D36,D37,D38,D39,D40,D41)</f>
        <v>1.1499999999999999</v>
      </c>
    </row>
    <row r="111" spans="1:4" x14ac:dyDescent="0.25">
      <c r="A111" t="s">
        <v>167</v>
      </c>
      <c r="D111">
        <f>AVERAGE(D42,D43,D44,D45,D46,D47,D48,D49,D50,D51,D52,D53,D54,D55,D56,D57,D58,D59,D60,D61,D62,D63,D64,D65,D66,D67,D68)</f>
        <v>-0.25925925925925924</v>
      </c>
    </row>
    <row r="112" spans="1:4" x14ac:dyDescent="0.25">
      <c r="A112" t="s">
        <v>168</v>
      </c>
      <c r="D112">
        <f>AVERAGE(D69,D70,D71,D72,D73,D74,D75,D76,D77,D78,D79,D80,D81,D82,D83,D84,D85,D86,D87,D88,D89,D90,D91,D92,D93,D94,D95,D96,D97,D98)</f>
        <v>-3.7666666666666666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1022</v>
      </c>
      <c r="C2" t="s">
        <v>171</v>
      </c>
      <c r="D2">
        <v>3</v>
      </c>
    </row>
    <row r="3" spans="1:4" x14ac:dyDescent="0.25">
      <c r="A3" t="s">
        <v>4</v>
      </c>
      <c r="B3" t="s">
        <v>2052</v>
      </c>
      <c r="C3" t="s">
        <v>174</v>
      </c>
      <c r="D3">
        <v>1</v>
      </c>
    </row>
    <row r="4" spans="1:4" x14ac:dyDescent="0.25">
      <c r="A4" t="s">
        <v>4</v>
      </c>
      <c r="B4" t="s">
        <v>933</v>
      </c>
      <c r="C4" t="s">
        <v>1347</v>
      </c>
      <c r="D4">
        <v>3</v>
      </c>
    </row>
    <row r="5" spans="1:4" x14ac:dyDescent="0.25">
      <c r="A5" t="s">
        <v>4</v>
      </c>
      <c r="B5" t="s">
        <v>933</v>
      </c>
      <c r="C5" t="s">
        <v>176</v>
      </c>
      <c r="D5">
        <v>4</v>
      </c>
    </row>
    <row r="6" spans="1:4" x14ac:dyDescent="0.25">
      <c r="A6" t="s">
        <v>4</v>
      </c>
      <c r="B6" t="s">
        <v>511</v>
      </c>
      <c r="C6" t="s">
        <v>2593</v>
      </c>
      <c r="D6">
        <v>7</v>
      </c>
    </row>
    <row r="7" spans="1:4" x14ac:dyDescent="0.25">
      <c r="A7" t="s">
        <v>4</v>
      </c>
      <c r="B7" t="s">
        <v>1408</v>
      </c>
      <c r="C7" t="s">
        <v>3466</v>
      </c>
      <c r="D7">
        <v>8</v>
      </c>
    </row>
    <row r="8" spans="1:4" x14ac:dyDescent="0.25">
      <c r="A8" t="s">
        <v>4</v>
      </c>
      <c r="B8" t="s">
        <v>275</v>
      </c>
      <c r="C8" t="s">
        <v>2644</v>
      </c>
      <c r="D8">
        <v>9</v>
      </c>
    </row>
    <row r="9" spans="1:4" x14ac:dyDescent="0.25">
      <c r="A9" t="s">
        <v>4</v>
      </c>
      <c r="B9" t="s">
        <v>737</v>
      </c>
      <c r="C9" t="s">
        <v>2478</v>
      </c>
      <c r="D9">
        <v>11</v>
      </c>
    </row>
    <row r="10" spans="1:4" x14ac:dyDescent="0.25">
      <c r="A10" t="s">
        <v>4</v>
      </c>
      <c r="B10" t="s">
        <v>737</v>
      </c>
      <c r="C10" t="s">
        <v>3040</v>
      </c>
      <c r="D10">
        <v>12</v>
      </c>
    </row>
    <row r="11" spans="1:4" x14ac:dyDescent="0.25">
      <c r="A11" t="s">
        <v>4</v>
      </c>
      <c r="B11" t="s">
        <v>836</v>
      </c>
      <c r="C11" t="s">
        <v>3364</v>
      </c>
      <c r="D11">
        <v>14</v>
      </c>
    </row>
    <row r="12" spans="1:4" x14ac:dyDescent="0.25">
      <c r="A12" t="s">
        <v>4</v>
      </c>
      <c r="B12" t="s">
        <v>870</v>
      </c>
      <c r="C12" t="s">
        <v>3365</v>
      </c>
      <c r="D12">
        <v>16</v>
      </c>
    </row>
    <row r="13" spans="1:4" x14ac:dyDescent="0.25">
      <c r="A13" t="s">
        <v>4</v>
      </c>
      <c r="B13" t="s">
        <v>1829</v>
      </c>
      <c r="C13" t="s">
        <v>3366</v>
      </c>
      <c r="D13">
        <v>18</v>
      </c>
    </row>
    <row r="14" spans="1:4" x14ac:dyDescent="0.25">
      <c r="A14" t="s">
        <v>4</v>
      </c>
      <c r="B14" t="s">
        <v>64</v>
      </c>
      <c r="C14" t="s">
        <v>3367</v>
      </c>
      <c r="D14">
        <v>16</v>
      </c>
    </row>
    <row r="15" spans="1:4" x14ac:dyDescent="0.25">
      <c r="A15" t="s">
        <v>4</v>
      </c>
      <c r="B15" t="s">
        <v>23</v>
      </c>
      <c r="C15" t="s">
        <v>3467</v>
      </c>
      <c r="D15">
        <v>19</v>
      </c>
    </row>
    <row r="16" spans="1:4" x14ac:dyDescent="0.25">
      <c r="A16" t="s">
        <v>4</v>
      </c>
      <c r="B16" t="s">
        <v>317</v>
      </c>
      <c r="C16" t="s">
        <v>3281</v>
      </c>
      <c r="D16">
        <v>22</v>
      </c>
    </row>
    <row r="17" spans="1:4" x14ac:dyDescent="0.25">
      <c r="A17" t="s">
        <v>4</v>
      </c>
      <c r="B17" t="s">
        <v>442</v>
      </c>
      <c r="C17" t="s">
        <v>3468</v>
      </c>
      <c r="D17">
        <v>19</v>
      </c>
    </row>
    <row r="18" spans="1:4" x14ac:dyDescent="0.25">
      <c r="A18" t="s">
        <v>4</v>
      </c>
      <c r="B18" t="s">
        <v>386</v>
      </c>
      <c r="C18" t="s">
        <v>3469</v>
      </c>
      <c r="D18">
        <v>20</v>
      </c>
    </row>
    <row r="19" spans="1:4" x14ac:dyDescent="0.25">
      <c r="A19" t="s">
        <v>4</v>
      </c>
      <c r="B19" t="s">
        <v>386</v>
      </c>
      <c r="C19" t="s">
        <v>3470</v>
      </c>
      <c r="D19">
        <v>21</v>
      </c>
    </row>
    <row r="20" spans="1:4" x14ac:dyDescent="0.25">
      <c r="A20" t="s">
        <v>4</v>
      </c>
      <c r="B20" t="s">
        <v>118</v>
      </c>
      <c r="C20" t="s">
        <v>3471</v>
      </c>
      <c r="D20">
        <v>24</v>
      </c>
    </row>
    <row r="21" spans="1:4" x14ac:dyDescent="0.25">
      <c r="A21" t="s">
        <v>4</v>
      </c>
      <c r="B21" t="s">
        <v>152</v>
      </c>
      <c r="C21" t="s">
        <v>3472</v>
      </c>
      <c r="D21">
        <v>23</v>
      </c>
    </row>
    <row r="22" spans="1:4" x14ac:dyDescent="0.25">
      <c r="A22" t="s">
        <v>4</v>
      </c>
      <c r="B22" t="s">
        <v>72</v>
      </c>
      <c r="C22" t="s">
        <v>3473</v>
      </c>
      <c r="D22">
        <v>25</v>
      </c>
    </row>
    <row r="23" spans="1:4" x14ac:dyDescent="0.25">
      <c r="A23" t="s">
        <v>4</v>
      </c>
      <c r="B23" t="s">
        <v>481</v>
      </c>
      <c r="C23" t="s">
        <v>1985</v>
      </c>
      <c r="D23">
        <v>23</v>
      </c>
    </row>
    <row r="24" spans="1:4" x14ac:dyDescent="0.25">
      <c r="A24" t="s">
        <v>4</v>
      </c>
      <c r="B24" t="s">
        <v>1733</v>
      </c>
      <c r="C24" t="s">
        <v>3474</v>
      </c>
      <c r="D24">
        <v>25</v>
      </c>
    </row>
    <row r="25" spans="1:4" x14ac:dyDescent="0.25">
      <c r="A25" t="s">
        <v>40</v>
      </c>
      <c r="B25" t="s">
        <v>352</v>
      </c>
      <c r="C25" t="s">
        <v>3475</v>
      </c>
      <c r="D25">
        <v>28</v>
      </c>
    </row>
    <row r="26" spans="1:4" x14ac:dyDescent="0.25">
      <c r="A26" t="s">
        <v>40</v>
      </c>
      <c r="B26" t="s">
        <v>1267</v>
      </c>
      <c r="C26" t="s">
        <v>3476</v>
      </c>
      <c r="D26">
        <v>31</v>
      </c>
    </row>
    <row r="27" spans="1:4" x14ac:dyDescent="0.25">
      <c r="A27" t="s">
        <v>40</v>
      </c>
      <c r="B27" t="s">
        <v>1573</v>
      </c>
      <c r="C27" t="s">
        <v>3477</v>
      </c>
      <c r="D27">
        <v>32</v>
      </c>
    </row>
    <row r="28" spans="1:4" x14ac:dyDescent="0.25">
      <c r="A28" t="s">
        <v>40</v>
      </c>
      <c r="B28" t="s">
        <v>1573</v>
      </c>
      <c r="C28" t="s">
        <v>3478</v>
      </c>
      <c r="D28">
        <v>33</v>
      </c>
    </row>
    <row r="29" spans="1:4" x14ac:dyDescent="0.25">
      <c r="A29" t="s">
        <v>40</v>
      </c>
      <c r="B29" t="s">
        <v>1118</v>
      </c>
      <c r="C29" t="s">
        <v>3479</v>
      </c>
      <c r="D29">
        <v>36</v>
      </c>
    </row>
    <row r="30" spans="1:4" x14ac:dyDescent="0.25">
      <c r="A30" t="s">
        <v>40</v>
      </c>
      <c r="B30" t="s">
        <v>1248</v>
      </c>
      <c r="C30" t="s">
        <v>3480</v>
      </c>
      <c r="D30">
        <v>33</v>
      </c>
    </row>
    <row r="31" spans="1:4" x14ac:dyDescent="0.25">
      <c r="A31" t="s">
        <v>40</v>
      </c>
      <c r="B31" t="s">
        <v>914</v>
      </c>
      <c r="C31" t="s">
        <v>3481</v>
      </c>
      <c r="D31">
        <v>30</v>
      </c>
    </row>
    <row r="32" spans="1:4" x14ac:dyDescent="0.25">
      <c r="A32" t="s">
        <v>40</v>
      </c>
      <c r="B32" t="s">
        <v>363</v>
      </c>
      <c r="C32" t="s">
        <v>3482</v>
      </c>
      <c r="D32">
        <v>31</v>
      </c>
    </row>
    <row r="33" spans="1:4" x14ac:dyDescent="0.25">
      <c r="A33" t="s">
        <v>40</v>
      </c>
      <c r="B33" t="s">
        <v>363</v>
      </c>
      <c r="C33" t="s">
        <v>3483</v>
      </c>
      <c r="D33">
        <v>32</v>
      </c>
    </row>
    <row r="34" spans="1:4" x14ac:dyDescent="0.25">
      <c r="A34" t="s">
        <v>40</v>
      </c>
      <c r="B34" t="s">
        <v>834</v>
      </c>
      <c r="C34" t="s">
        <v>3484</v>
      </c>
      <c r="D34">
        <v>31</v>
      </c>
    </row>
    <row r="35" spans="1:4" x14ac:dyDescent="0.25">
      <c r="A35" t="s">
        <v>40</v>
      </c>
      <c r="B35" t="s">
        <v>834</v>
      </c>
      <c r="C35" t="s">
        <v>3485</v>
      </c>
      <c r="D35">
        <v>30</v>
      </c>
    </row>
    <row r="36" spans="1:4" x14ac:dyDescent="0.25">
      <c r="A36" t="s">
        <v>40</v>
      </c>
      <c r="B36" t="s">
        <v>1069</v>
      </c>
      <c r="C36" t="s">
        <v>3486</v>
      </c>
      <c r="D36">
        <v>31</v>
      </c>
    </row>
    <row r="37" spans="1:4" x14ac:dyDescent="0.25">
      <c r="A37" t="s">
        <v>40</v>
      </c>
      <c r="B37" t="s">
        <v>1069</v>
      </c>
      <c r="C37" t="s">
        <v>3487</v>
      </c>
      <c r="D37">
        <v>32</v>
      </c>
    </row>
    <row r="38" spans="1:4" x14ac:dyDescent="0.25">
      <c r="A38" t="s">
        <v>40</v>
      </c>
      <c r="B38" t="s">
        <v>870</v>
      </c>
      <c r="C38" t="s">
        <v>3488</v>
      </c>
      <c r="D38">
        <v>35</v>
      </c>
    </row>
    <row r="39" spans="1:4" x14ac:dyDescent="0.25">
      <c r="A39" t="s">
        <v>40</v>
      </c>
      <c r="B39" t="s">
        <v>62</v>
      </c>
      <c r="C39" t="s">
        <v>3303</v>
      </c>
      <c r="D39">
        <v>34</v>
      </c>
    </row>
    <row r="40" spans="1:4" x14ac:dyDescent="0.25">
      <c r="A40" t="s">
        <v>40</v>
      </c>
      <c r="B40" t="s">
        <v>62</v>
      </c>
      <c r="C40" t="s">
        <v>3489</v>
      </c>
      <c r="D40">
        <v>33</v>
      </c>
    </row>
    <row r="41" spans="1:4" x14ac:dyDescent="0.25">
      <c r="A41" t="s">
        <v>40</v>
      </c>
      <c r="B41" t="s">
        <v>539</v>
      </c>
      <c r="C41" t="s">
        <v>3490</v>
      </c>
      <c r="D41">
        <v>31</v>
      </c>
    </row>
    <row r="42" spans="1:4" x14ac:dyDescent="0.25">
      <c r="A42" t="s">
        <v>40</v>
      </c>
      <c r="B42" t="s">
        <v>1016</v>
      </c>
      <c r="C42" t="s">
        <v>1382</v>
      </c>
      <c r="D42">
        <v>30</v>
      </c>
    </row>
    <row r="43" spans="1:4" x14ac:dyDescent="0.25">
      <c r="A43" t="s">
        <v>40</v>
      </c>
      <c r="B43" t="s">
        <v>1016</v>
      </c>
      <c r="C43" t="s">
        <v>1383</v>
      </c>
      <c r="D43">
        <v>29</v>
      </c>
    </row>
    <row r="44" spans="1:4" x14ac:dyDescent="0.25">
      <c r="A44" t="s">
        <v>40</v>
      </c>
      <c r="B44" t="s">
        <v>67</v>
      </c>
      <c r="C44" t="s">
        <v>3491</v>
      </c>
      <c r="D44">
        <v>30</v>
      </c>
    </row>
    <row r="45" spans="1:4" x14ac:dyDescent="0.25">
      <c r="A45" t="s">
        <v>40</v>
      </c>
      <c r="B45" t="s">
        <v>319</v>
      </c>
      <c r="C45" t="s">
        <v>3307</v>
      </c>
      <c r="D45">
        <v>32</v>
      </c>
    </row>
    <row r="46" spans="1:4" x14ac:dyDescent="0.25">
      <c r="A46" t="s">
        <v>40</v>
      </c>
      <c r="B46" t="s">
        <v>579</v>
      </c>
      <c r="C46" t="s">
        <v>3492</v>
      </c>
      <c r="D46">
        <v>34</v>
      </c>
    </row>
    <row r="47" spans="1:4" x14ac:dyDescent="0.25">
      <c r="A47" t="s">
        <v>40</v>
      </c>
      <c r="B47" t="s">
        <v>417</v>
      </c>
      <c r="C47" t="s">
        <v>1386</v>
      </c>
      <c r="D47">
        <v>33</v>
      </c>
    </row>
    <row r="48" spans="1:4" x14ac:dyDescent="0.25">
      <c r="A48" t="s">
        <v>40</v>
      </c>
      <c r="B48" t="s">
        <v>417</v>
      </c>
      <c r="C48" t="s">
        <v>3493</v>
      </c>
      <c r="D48">
        <v>32</v>
      </c>
    </row>
    <row r="49" spans="1:4" x14ac:dyDescent="0.25">
      <c r="A49" t="s">
        <v>40</v>
      </c>
      <c r="B49" t="s">
        <v>448</v>
      </c>
      <c r="C49" t="s">
        <v>3494</v>
      </c>
      <c r="D49">
        <v>34</v>
      </c>
    </row>
    <row r="50" spans="1:4" x14ac:dyDescent="0.25">
      <c r="A50" t="s">
        <v>40</v>
      </c>
      <c r="B50" t="s">
        <v>900</v>
      </c>
      <c r="C50" t="s">
        <v>3495</v>
      </c>
      <c r="D50">
        <v>37</v>
      </c>
    </row>
    <row r="51" spans="1:4" x14ac:dyDescent="0.25">
      <c r="A51" t="s">
        <v>40</v>
      </c>
      <c r="B51" t="s">
        <v>36</v>
      </c>
      <c r="C51" t="s">
        <v>3496</v>
      </c>
      <c r="D51">
        <v>38</v>
      </c>
    </row>
    <row r="52" spans="1:4" x14ac:dyDescent="0.25">
      <c r="A52" t="s">
        <v>40</v>
      </c>
      <c r="B52" t="s">
        <v>36</v>
      </c>
      <c r="C52" t="s">
        <v>3497</v>
      </c>
      <c r="D52">
        <v>39</v>
      </c>
    </row>
    <row r="53" spans="1:4" x14ac:dyDescent="0.25">
      <c r="A53" t="s">
        <v>40</v>
      </c>
      <c r="B53" t="s">
        <v>78</v>
      </c>
      <c r="C53" t="s">
        <v>3498</v>
      </c>
      <c r="D53">
        <v>36</v>
      </c>
    </row>
    <row r="54" spans="1:4" x14ac:dyDescent="0.25">
      <c r="A54" t="s">
        <v>80</v>
      </c>
      <c r="B54" t="s">
        <v>1024</v>
      </c>
      <c r="C54" t="s">
        <v>3499</v>
      </c>
      <c r="D54">
        <v>37</v>
      </c>
    </row>
    <row r="55" spans="1:4" x14ac:dyDescent="0.25">
      <c r="A55" t="s">
        <v>80</v>
      </c>
      <c r="B55" t="s">
        <v>1024</v>
      </c>
      <c r="C55" t="s">
        <v>3500</v>
      </c>
      <c r="D55">
        <v>38</v>
      </c>
    </row>
    <row r="56" spans="1:4" x14ac:dyDescent="0.25">
      <c r="A56" t="s">
        <v>80</v>
      </c>
      <c r="B56" t="s">
        <v>2570</v>
      </c>
      <c r="C56" t="s">
        <v>3314</v>
      </c>
      <c r="D56">
        <v>37</v>
      </c>
    </row>
    <row r="57" spans="1:4" x14ac:dyDescent="0.25">
      <c r="A57" t="s">
        <v>80</v>
      </c>
      <c r="B57" t="s">
        <v>1735</v>
      </c>
      <c r="C57" t="s">
        <v>3501</v>
      </c>
      <c r="D57">
        <v>34</v>
      </c>
    </row>
    <row r="58" spans="1:4" x14ac:dyDescent="0.25">
      <c r="A58" t="s">
        <v>80</v>
      </c>
      <c r="B58" t="s">
        <v>1613</v>
      </c>
      <c r="C58" t="s">
        <v>3502</v>
      </c>
      <c r="D58">
        <v>37</v>
      </c>
    </row>
    <row r="59" spans="1:4" x14ac:dyDescent="0.25">
      <c r="A59" t="s">
        <v>80</v>
      </c>
      <c r="B59" t="s">
        <v>1029</v>
      </c>
      <c r="C59" t="s">
        <v>3503</v>
      </c>
      <c r="D59">
        <v>34</v>
      </c>
    </row>
    <row r="60" spans="1:4" x14ac:dyDescent="0.25">
      <c r="A60" t="s">
        <v>80</v>
      </c>
      <c r="B60" t="s">
        <v>590</v>
      </c>
      <c r="C60" t="s">
        <v>3504</v>
      </c>
      <c r="D60">
        <v>36</v>
      </c>
    </row>
    <row r="61" spans="1:4" x14ac:dyDescent="0.25">
      <c r="A61" t="s">
        <v>80</v>
      </c>
      <c r="B61" t="s">
        <v>645</v>
      </c>
      <c r="C61" t="s">
        <v>3505</v>
      </c>
      <c r="D61">
        <v>39</v>
      </c>
    </row>
    <row r="62" spans="1:4" x14ac:dyDescent="0.25">
      <c r="A62" t="s">
        <v>80</v>
      </c>
      <c r="B62" t="s">
        <v>95</v>
      </c>
      <c r="C62" t="s">
        <v>3506</v>
      </c>
      <c r="D62">
        <v>37</v>
      </c>
    </row>
    <row r="63" spans="1:4" x14ac:dyDescent="0.25">
      <c r="A63" t="s">
        <v>80</v>
      </c>
      <c r="B63" t="s">
        <v>95</v>
      </c>
      <c r="C63" t="s">
        <v>1320</v>
      </c>
      <c r="D63">
        <v>36</v>
      </c>
    </row>
    <row r="64" spans="1:4" x14ac:dyDescent="0.25">
      <c r="A64" t="s">
        <v>80</v>
      </c>
      <c r="B64" t="s">
        <v>60</v>
      </c>
      <c r="C64" t="s">
        <v>3507</v>
      </c>
      <c r="D64">
        <v>38</v>
      </c>
    </row>
    <row r="65" spans="1:4" x14ac:dyDescent="0.25">
      <c r="A65" t="s">
        <v>80</v>
      </c>
      <c r="B65" t="s">
        <v>435</v>
      </c>
      <c r="C65" t="s">
        <v>3508</v>
      </c>
      <c r="D65">
        <v>35</v>
      </c>
    </row>
    <row r="66" spans="1:4" x14ac:dyDescent="0.25">
      <c r="A66" t="s">
        <v>80</v>
      </c>
      <c r="B66" t="s">
        <v>315</v>
      </c>
      <c r="C66" t="s">
        <v>3509</v>
      </c>
      <c r="D66">
        <v>36</v>
      </c>
    </row>
    <row r="67" spans="1:4" x14ac:dyDescent="0.25">
      <c r="A67" t="s">
        <v>80</v>
      </c>
      <c r="B67" t="s">
        <v>984</v>
      </c>
      <c r="C67" t="s">
        <v>3510</v>
      </c>
      <c r="D67">
        <v>37</v>
      </c>
    </row>
    <row r="68" spans="1:4" x14ac:dyDescent="0.25">
      <c r="A68" t="s">
        <v>80</v>
      </c>
      <c r="B68" t="s">
        <v>984</v>
      </c>
      <c r="C68" t="s">
        <v>3511</v>
      </c>
      <c r="D68">
        <v>38</v>
      </c>
    </row>
    <row r="69" spans="1:4" x14ac:dyDescent="0.25">
      <c r="A69" t="s">
        <v>80</v>
      </c>
      <c r="B69" t="s">
        <v>442</v>
      </c>
      <c r="C69" t="s">
        <v>1326</v>
      </c>
      <c r="D69">
        <v>36</v>
      </c>
    </row>
    <row r="70" spans="1:4" x14ac:dyDescent="0.25">
      <c r="A70" t="s">
        <v>80</v>
      </c>
      <c r="B70" t="s">
        <v>1750</v>
      </c>
      <c r="C70" t="s">
        <v>3512</v>
      </c>
      <c r="D70">
        <v>39</v>
      </c>
    </row>
    <row r="71" spans="1:4" x14ac:dyDescent="0.25">
      <c r="A71" t="s">
        <v>80</v>
      </c>
      <c r="B71" t="s">
        <v>1113</v>
      </c>
      <c r="C71" t="s">
        <v>3330</v>
      </c>
      <c r="D71">
        <v>40</v>
      </c>
    </row>
    <row r="72" spans="1:4" x14ac:dyDescent="0.25">
      <c r="A72" t="s">
        <v>80</v>
      </c>
      <c r="B72" t="s">
        <v>1113</v>
      </c>
      <c r="C72" t="s">
        <v>3513</v>
      </c>
      <c r="D72">
        <v>41</v>
      </c>
    </row>
    <row r="73" spans="1:4" x14ac:dyDescent="0.25">
      <c r="A73" t="s">
        <v>80</v>
      </c>
      <c r="B73" t="s">
        <v>582</v>
      </c>
      <c r="C73" t="s">
        <v>3514</v>
      </c>
      <c r="D73">
        <v>38</v>
      </c>
    </row>
    <row r="74" spans="1:4" x14ac:dyDescent="0.25">
      <c r="A74" t="s">
        <v>80</v>
      </c>
      <c r="B74" t="s">
        <v>301</v>
      </c>
      <c r="C74" t="s">
        <v>3515</v>
      </c>
      <c r="D74">
        <v>40</v>
      </c>
    </row>
    <row r="75" spans="1:4" x14ac:dyDescent="0.25">
      <c r="A75" t="s">
        <v>123</v>
      </c>
      <c r="B75" t="s">
        <v>1704</v>
      </c>
      <c r="C75" t="s">
        <v>3516</v>
      </c>
      <c r="D75">
        <v>42</v>
      </c>
    </row>
    <row r="76" spans="1:4" x14ac:dyDescent="0.25">
      <c r="A76" t="s">
        <v>123</v>
      </c>
      <c r="B76" t="s">
        <v>1922</v>
      </c>
      <c r="C76" t="s">
        <v>3517</v>
      </c>
      <c r="D76">
        <v>41</v>
      </c>
    </row>
    <row r="77" spans="1:4" x14ac:dyDescent="0.25">
      <c r="A77" t="s">
        <v>123</v>
      </c>
      <c r="B77" t="s">
        <v>487</v>
      </c>
      <c r="C77" t="s">
        <v>3518</v>
      </c>
      <c r="D77">
        <v>43</v>
      </c>
    </row>
    <row r="78" spans="1:4" x14ac:dyDescent="0.25">
      <c r="A78" t="s">
        <v>123</v>
      </c>
      <c r="B78" t="s">
        <v>47</v>
      </c>
      <c r="C78" t="s">
        <v>3519</v>
      </c>
      <c r="D78">
        <v>41</v>
      </c>
    </row>
    <row r="79" spans="1:4" x14ac:dyDescent="0.25">
      <c r="A79" t="s">
        <v>123</v>
      </c>
      <c r="B79" t="s">
        <v>1280</v>
      </c>
      <c r="C79" t="s">
        <v>3520</v>
      </c>
      <c r="D79">
        <v>42</v>
      </c>
    </row>
    <row r="80" spans="1:4" x14ac:dyDescent="0.25">
      <c r="A80" t="s">
        <v>123</v>
      </c>
      <c r="B80" t="s">
        <v>1248</v>
      </c>
      <c r="C80" t="s">
        <v>3521</v>
      </c>
      <c r="D80">
        <v>39</v>
      </c>
    </row>
    <row r="81" spans="1:4" x14ac:dyDescent="0.25">
      <c r="A81" t="s">
        <v>123</v>
      </c>
      <c r="B81" t="s">
        <v>1826</v>
      </c>
      <c r="C81" t="s">
        <v>3522</v>
      </c>
      <c r="D81">
        <v>41</v>
      </c>
    </row>
    <row r="82" spans="1:4" x14ac:dyDescent="0.25">
      <c r="A82" t="s">
        <v>123</v>
      </c>
      <c r="B82" t="s">
        <v>1013</v>
      </c>
      <c r="C82" t="s">
        <v>3523</v>
      </c>
      <c r="D82">
        <v>43</v>
      </c>
    </row>
    <row r="83" spans="1:4" x14ac:dyDescent="0.25">
      <c r="A83" t="s">
        <v>123</v>
      </c>
      <c r="B83" t="s">
        <v>1105</v>
      </c>
      <c r="C83" t="s">
        <v>3524</v>
      </c>
      <c r="D83">
        <v>45</v>
      </c>
    </row>
    <row r="84" spans="1:4" x14ac:dyDescent="0.25">
      <c r="A84" t="s">
        <v>123</v>
      </c>
      <c r="B84" t="s">
        <v>941</v>
      </c>
      <c r="C84" t="s">
        <v>3525</v>
      </c>
      <c r="D84">
        <v>47</v>
      </c>
    </row>
    <row r="85" spans="1:4" x14ac:dyDescent="0.25">
      <c r="A85" t="s">
        <v>123</v>
      </c>
      <c r="B85" t="s">
        <v>101</v>
      </c>
      <c r="C85" t="s">
        <v>3526</v>
      </c>
      <c r="D85">
        <v>45</v>
      </c>
    </row>
    <row r="86" spans="1:4" x14ac:dyDescent="0.25">
      <c r="A86" t="s">
        <v>123</v>
      </c>
      <c r="B86" t="s">
        <v>701</v>
      </c>
      <c r="C86" t="s">
        <v>3527</v>
      </c>
      <c r="D86">
        <v>43</v>
      </c>
    </row>
    <row r="87" spans="1:4" x14ac:dyDescent="0.25">
      <c r="A87" t="s">
        <v>123</v>
      </c>
      <c r="B87" t="s">
        <v>2048</v>
      </c>
      <c r="C87" t="s">
        <v>3528</v>
      </c>
      <c r="D87">
        <v>41</v>
      </c>
    </row>
    <row r="88" spans="1:4" x14ac:dyDescent="0.25">
      <c r="A88" t="s">
        <v>123</v>
      </c>
      <c r="B88" t="s">
        <v>475</v>
      </c>
      <c r="C88" t="s">
        <v>3529</v>
      </c>
      <c r="D88">
        <v>40</v>
      </c>
    </row>
    <row r="89" spans="1:4" x14ac:dyDescent="0.25">
      <c r="A89" t="s">
        <v>123</v>
      </c>
      <c r="B89" t="s">
        <v>475</v>
      </c>
      <c r="C89" t="s">
        <v>3530</v>
      </c>
      <c r="D89">
        <v>39</v>
      </c>
    </row>
    <row r="90" spans="1:4" x14ac:dyDescent="0.25">
      <c r="A90" t="s">
        <v>123</v>
      </c>
      <c r="B90" t="s">
        <v>1845</v>
      </c>
      <c r="C90" t="s">
        <v>3531</v>
      </c>
      <c r="D90">
        <v>38</v>
      </c>
    </row>
    <row r="91" spans="1:4" x14ac:dyDescent="0.25">
      <c r="A91" t="s">
        <v>123</v>
      </c>
      <c r="B91" t="s">
        <v>394</v>
      </c>
      <c r="C91" t="s">
        <v>3532</v>
      </c>
      <c r="D91">
        <v>40</v>
      </c>
    </row>
    <row r="92" spans="1:4" x14ac:dyDescent="0.25">
      <c r="A92" t="s">
        <v>123</v>
      </c>
      <c r="B92" t="s">
        <v>537</v>
      </c>
      <c r="C92" t="s">
        <v>3533</v>
      </c>
      <c r="D92">
        <v>37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30.989010989010989</v>
      </c>
    </row>
    <row r="96" spans="1:4" x14ac:dyDescent="0.25">
      <c r="A96" t="s">
        <v>159</v>
      </c>
      <c r="D96">
        <f>MAX(D2:D92)</f>
        <v>47</v>
      </c>
    </row>
    <row r="97" spans="1:4" x14ac:dyDescent="0.25">
      <c r="A97" t="s">
        <v>160</v>
      </c>
      <c r="D97">
        <f>MIN(D2:D92)</f>
        <v>1</v>
      </c>
    </row>
    <row r="98" spans="1:4" x14ac:dyDescent="0.25">
      <c r="A98" t="s">
        <v>161</v>
      </c>
      <c r="D98">
        <f>COUNTIF(D2:D92,"&gt;0")</f>
        <v>91</v>
      </c>
    </row>
    <row r="99" spans="1:4" x14ac:dyDescent="0.25">
      <c r="A99" t="s">
        <v>162</v>
      </c>
      <c r="D99">
        <f>COUNTIF(D2:D92,"=0")</f>
        <v>0</v>
      </c>
    </row>
    <row r="100" spans="1:4" x14ac:dyDescent="0.25">
      <c r="A100" t="s">
        <v>2920</v>
      </c>
      <c r="D100">
        <f>COUNTIF(D2:D92,"&lt;0")</f>
        <v>0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AVERAGE(D2,D3,D4,D5,D6,D7,D8,D9,D10,D11,D12,D13,D14,D15,D16,D17,D18,D19,D20,D21,D22,D23,D24)</f>
        <v>14.913043478260869</v>
      </c>
    </row>
    <row r="104" spans="1:4" x14ac:dyDescent="0.25">
      <c r="A104" t="s">
        <v>166</v>
      </c>
      <c r="D104">
        <f>AVERAGE(D25,D26,D27,D28,D29,D30,D31,D32,D33,D34,D35,D36,D37,D38,D39,D40,D41,D42,D43,D44,D45,D46,D47,D48,D49,D50,D51,D52,D53)</f>
        <v>32.655172413793103</v>
      </c>
    </row>
    <row r="105" spans="1:4" x14ac:dyDescent="0.25">
      <c r="A105" t="s">
        <v>167</v>
      </c>
      <c r="D105">
        <f>AVERAGE(D54,D55,D56,D57,D58,D59,D60,D61,D62,D63,D64,D65,D66,D67,D68,D69,D70,D71,D72,D73,D74)</f>
        <v>37.285714285714285</v>
      </c>
    </row>
    <row r="106" spans="1:4" x14ac:dyDescent="0.25">
      <c r="A106" t="s">
        <v>168</v>
      </c>
      <c r="D106">
        <f>AVERAGE(D75,D76,D77,D78,D79,D80,D81,D82,D83,D84,D85,D86,D87,D88,D89,D90,D91,D92)</f>
        <v>41.5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11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563</v>
      </c>
      <c r="C2" t="s">
        <v>171</v>
      </c>
      <c r="D2">
        <v>3</v>
      </c>
    </row>
    <row r="3" spans="1:4" x14ac:dyDescent="0.25">
      <c r="A3" t="s">
        <v>4</v>
      </c>
      <c r="B3" t="s">
        <v>1138</v>
      </c>
      <c r="C3" t="s">
        <v>174</v>
      </c>
      <c r="D3">
        <v>1</v>
      </c>
    </row>
    <row r="4" spans="1:4" x14ac:dyDescent="0.25">
      <c r="A4" t="s">
        <v>4</v>
      </c>
      <c r="B4" t="s">
        <v>1691</v>
      </c>
      <c r="C4" t="s">
        <v>2045</v>
      </c>
      <c r="D4">
        <v>-1</v>
      </c>
    </row>
    <row r="5" spans="1:4" x14ac:dyDescent="0.25">
      <c r="A5" t="s">
        <v>4</v>
      </c>
      <c r="B5" t="s">
        <v>305</v>
      </c>
      <c r="C5" t="s">
        <v>1106</v>
      </c>
      <c r="D5">
        <v>1</v>
      </c>
    </row>
    <row r="6" spans="1:4" x14ac:dyDescent="0.25">
      <c r="A6" t="s">
        <v>4</v>
      </c>
      <c r="B6" t="s">
        <v>778</v>
      </c>
      <c r="C6" t="s">
        <v>1107</v>
      </c>
      <c r="D6">
        <v>-1</v>
      </c>
    </row>
    <row r="7" spans="1:4" x14ac:dyDescent="0.25">
      <c r="A7" t="s">
        <v>4</v>
      </c>
      <c r="B7" t="s">
        <v>912</v>
      </c>
      <c r="C7" t="s">
        <v>311</v>
      </c>
      <c r="D7">
        <v>1</v>
      </c>
    </row>
    <row r="8" spans="1:4" x14ac:dyDescent="0.25">
      <c r="A8" t="s">
        <v>4</v>
      </c>
      <c r="B8" t="s">
        <v>1826</v>
      </c>
      <c r="C8" t="s">
        <v>2559</v>
      </c>
      <c r="D8">
        <v>3</v>
      </c>
    </row>
    <row r="9" spans="1:4" x14ac:dyDescent="0.25">
      <c r="A9" t="s">
        <v>4</v>
      </c>
      <c r="B9" t="s">
        <v>405</v>
      </c>
      <c r="C9" t="s">
        <v>314</v>
      </c>
      <c r="D9">
        <v>6</v>
      </c>
    </row>
    <row r="10" spans="1:4" x14ac:dyDescent="0.25">
      <c r="A10" t="s">
        <v>4</v>
      </c>
      <c r="B10" t="s">
        <v>1725</v>
      </c>
      <c r="C10" t="s">
        <v>187</v>
      </c>
      <c r="D10">
        <v>7</v>
      </c>
    </row>
    <row r="11" spans="1:4" x14ac:dyDescent="0.25">
      <c r="A11" t="s">
        <v>4</v>
      </c>
      <c r="B11" t="s">
        <v>1725</v>
      </c>
      <c r="C11" t="s">
        <v>316</v>
      </c>
      <c r="D11">
        <v>8</v>
      </c>
    </row>
    <row r="12" spans="1:4" x14ac:dyDescent="0.25">
      <c r="A12" t="s">
        <v>4</v>
      </c>
      <c r="B12" t="s">
        <v>1725</v>
      </c>
      <c r="C12" t="s">
        <v>2511</v>
      </c>
      <c r="D12">
        <v>9</v>
      </c>
    </row>
    <row r="13" spans="1:4" x14ac:dyDescent="0.25">
      <c r="A13" t="s">
        <v>4</v>
      </c>
      <c r="B13" t="s">
        <v>221</v>
      </c>
      <c r="C13" t="s">
        <v>1355</v>
      </c>
      <c r="D13">
        <v>6</v>
      </c>
    </row>
    <row r="14" spans="1:4" x14ac:dyDescent="0.25">
      <c r="A14" t="s">
        <v>4</v>
      </c>
      <c r="B14" t="s">
        <v>1092</v>
      </c>
      <c r="C14" t="s">
        <v>1274</v>
      </c>
      <c r="D14">
        <v>8</v>
      </c>
    </row>
    <row r="15" spans="1:4" x14ac:dyDescent="0.25">
      <c r="A15" t="s">
        <v>4</v>
      </c>
      <c r="B15" t="s">
        <v>1016</v>
      </c>
      <c r="C15" t="s">
        <v>1577</v>
      </c>
      <c r="D15">
        <v>5</v>
      </c>
    </row>
    <row r="16" spans="1:4" x14ac:dyDescent="0.25">
      <c r="A16" t="s">
        <v>4</v>
      </c>
      <c r="B16" t="s">
        <v>1481</v>
      </c>
      <c r="C16" t="s">
        <v>326</v>
      </c>
      <c r="D16">
        <v>8</v>
      </c>
    </row>
    <row r="17" spans="1:4" x14ac:dyDescent="0.25">
      <c r="A17" t="s">
        <v>4</v>
      </c>
      <c r="B17" t="s">
        <v>877</v>
      </c>
      <c r="C17" t="s">
        <v>2539</v>
      </c>
      <c r="D17">
        <v>6</v>
      </c>
    </row>
    <row r="18" spans="1:4" x14ac:dyDescent="0.25">
      <c r="A18" t="s">
        <v>4</v>
      </c>
      <c r="B18" t="s">
        <v>1675</v>
      </c>
      <c r="C18" t="s">
        <v>1360</v>
      </c>
      <c r="D18">
        <v>9</v>
      </c>
    </row>
    <row r="19" spans="1:4" x14ac:dyDescent="0.25">
      <c r="A19" t="s">
        <v>4</v>
      </c>
      <c r="B19" t="s">
        <v>33</v>
      </c>
      <c r="C19" t="s">
        <v>1205</v>
      </c>
      <c r="D19">
        <v>8</v>
      </c>
    </row>
    <row r="20" spans="1:4" x14ac:dyDescent="0.25">
      <c r="A20" t="s">
        <v>4</v>
      </c>
      <c r="B20" t="s">
        <v>301</v>
      </c>
      <c r="C20" t="s">
        <v>203</v>
      </c>
      <c r="D20">
        <v>9</v>
      </c>
    </row>
    <row r="21" spans="1:4" x14ac:dyDescent="0.25">
      <c r="A21" t="s">
        <v>4</v>
      </c>
      <c r="B21" t="s">
        <v>301</v>
      </c>
      <c r="C21" t="s">
        <v>1927</v>
      </c>
      <c r="D21">
        <v>10</v>
      </c>
    </row>
    <row r="22" spans="1:4" x14ac:dyDescent="0.25">
      <c r="A22" t="s">
        <v>4</v>
      </c>
      <c r="B22" t="s">
        <v>508</v>
      </c>
      <c r="C22" t="s">
        <v>1928</v>
      </c>
      <c r="D22">
        <v>8</v>
      </c>
    </row>
    <row r="23" spans="1:4" x14ac:dyDescent="0.25">
      <c r="A23" t="s">
        <v>4</v>
      </c>
      <c r="B23" t="s">
        <v>559</v>
      </c>
      <c r="C23" t="s">
        <v>3534</v>
      </c>
      <c r="D23">
        <v>11</v>
      </c>
    </row>
    <row r="24" spans="1:4" x14ac:dyDescent="0.25">
      <c r="A24" t="s">
        <v>40</v>
      </c>
      <c r="B24" t="s">
        <v>5</v>
      </c>
      <c r="C24" t="s">
        <v>2523</v>
      </c>
      <c r="D24">
        <v>8</v>
      </c>
    </row>
    <row r="25" spans="1:4" x14ac:dyDescent="0.25">
      <c r="A25" t="s">
        <v>40</v>
      </c>
      <c r="B25" t="s">
        <v>1027</v>
      </c>
      <c r="C25" t="s">
        <v>2124</v>
      </c>
      <c r="D25">
        <v>6</v>
      </c>
    </row>
    <row r="26" spans="1:4" x14ac:dyDescent="0.25">
      <c r="A26" t="s">
        <v>40</v>
      </c>
      <c r="B26" t="s">
        <v>1408</v>
      </c>
      <c r="C26" t="s">
        <v>3535</v>
      </c>
      <c r="D26">
        <v>7</v>
      </c>
    </row>
    <row r="27" spans="1:4" x14ac:dyDescent="0.25">
      <c r="A27" t="s">
        <v>40</v>
      </c>
      <c r="B27" t="s">
        <v>1408</v>
      </c>
      <c r="C27" t="s">
        <v>2561</v>
      </c>
      <c r="D27">
        <v>8</v>
      </c>
    </row>
    <row r="28" spans="1:4" x14ac:dyDescent="0.25">
      <c r="A28" t="s">
        <v>40</v>
      </c>
      <c r="B28" t="s">
        <v>2074</v>
      </c>
      <c r="C28" t="s">
        <v>1211</v>
      </c>
      <c r="D28">
        <v>6</v>
      </c>
    </row>
    <row r="29" spans="1:4" x14ac:dyDescent="0.25">
      <c r="A29" t="s">
        <v>40</v>
      </c>
      <c r="B29" t="s">
        <v>759</v>
      </c>
      <c r="C29" t="s">
        <v>1584</v>
      </c>
      <c r="D29">
        <v>5</v>
      </c>
    </row>
    <row r="30" spans="1:4" x14ac:dyDescent="0.25">
      <c r="A30" t="s">
        <v>40</v>
      </c>
      <c r="B30" t="s">
        <v>759</v>
      </c>
      <c r="C30" t="s">
        <v>720</v>
      </c>
      <c r="D30">
        <v>4</v>
      </c>
    </row>
    <row r="31" spans="1:4" x14ac:dyDescent="0.25">
      <c r="A31" t="s">
        <v>40</v>
      </c>
      <c r="B31" t="s">
        <v>1248</v>
      </c>
      <c r="C31" t="s">
        <v>1212</v>
      </c>
      <c r="D31">
        <v>1</v>
      </c>
    </row>
    <row r="32" spans="1:4" x14ac:dyDescent="0.25">
      <c r="A32" t="s">
        <v>40</v>
      </c>
      <c r="B32" t="s">
        <v>1683</v>
      </c>
      <c r="C32" t="s">
        <v>65</v>
      </c>
      <c r="D32">
        <v>-2</v>
      </c>
    </row>
    <row r="33" spans="1:4" x14ac:dyDescent="0.25">
      <c r="A33" t="s">
        <v>40</v>
      </c>
      <c r="B33" t="s">
        <v>804</v>
      </c>
      <c r="C33" t="s">
        <v>1717</v>
      </c>
      <c r="D33">
        <v>-4</v>
      </c>
    </row>
    <row r="34" spans="1:4" x14ac:dyDescent="0.25">
      <c r="A34" t="s">
        <v>40</v>
      </c>
      <c r="B34" t="s">
        <v>368</v>
      </c>
      <c r="C34" t="s">
        <v>1515</v>
      </c>
      <c r="D34">
        <v>-3</v>
      </c>
    </row>
    <row r="35" spans="1:4" x14ac:dyDescent="0.25">
      <c r="A35" t="s">
        <v>40</v>
      </c>
      <c r="B35" t="s">
        <v>1775</v>
      </c>
      <c r="C35" t="s">
        <v>2128</v>
      </c>
      <c r="D35">
        <v>-5</v>
      </c>
    </row>
    <row r="36" spans="1:4" x14ac:dyDescent="0.25">
      <c r="A36" t="s">
        <v>40</v>
      </c>
      <c r="B36" t="s">
        <v>1775</v>
      </c>
      <c r="C36" t="s">
        <v>2334</v>
      </c>
      <c r="D36">
        <v>-6</v>
      </c>
    </row>
    <row r="37" spans="1:4" x14ac:dyDescent="0.25">
      <c r="A37" t="s">
        <v>40</v>
      </c>
      <c r="B37" t="s">
        <v>740</v>
      </c>
      <c r="C37" t="s">
        <v>609</v>
      </c>
      <c r="D37">
        <v>-5</v>
      </c>
    </row>
    <row r="38" spans="1:4" x14ac:dyDescent="0.25">
      <c r="A38" t="s">
        <v>40</v>
      </c>
      <c r="B38" t="s">
        <v>740</v>
      </c>
      <c r="C38" t="s">
        <v>2875</v>
      </c>
      <c r="D38">
        <v>-4</v>
      </c>
    </row>
    <row r="39" spans="1:4" x14ac:dyDescent="0.25">
      <c r="A39" t="s">
        <v>40</v>
      </c>
      <c r="B39" t="s">
        <v>1434</v>
      </c>
      <c r="C39" t="s">
        <v>1719</v>
      </c>
      <c r="D39">
        <v>-5</v>
      </c>
    </row>
    <row r="40" spans="1:4" x14ac:dyDescent="0.25">
      <c r="A40" t="s">
        <v>40</v>
      </c>
      <c r="B40" t="s">
        <v>544</v>
      </c>
      <c r="C40" t="s">
        <v>2876</v>
      </c>
      <c r="D40">
        <v>-3</v>
      </c>
    </row>
    <row r="41" spans="1:4" x14ac:dyDescent="0.25">
      <c r="A41" t="s">
        <v>40</v>
      </c>
      <c r="B41" t="s">
        <v>607</v>
      </c>
      <c r="C41" t="s">
        <v>2131</v>
      </c>
      <c r="D41">
        <v>-4</v>
      </c>
    </row>
    <row r="42" spans="1:4" x14ac:dyDescent="0.25">
      <c r="A42" t="s">
        <v>40</v>
      </c>
      <c r="B42" t="s">
        <v>607</v>
      </c>
      <c r="C42" t="s">
        <v>2216</v>
      </c>
      <c r="D42">
        <v>-5</v>
      </c>
    </row>
    <row r="43" spans="1:4" x14ac:dyDescent="0.25">
      <c r="A43" t="s">
        <v>40</v>
      </c>
      <c r="B43" t="s">
        <v>667</v>
      </c>
      <c r="C43" t="s">
        <v>236</v>
      </c>
      <c r="D43">
        <v>-4</v>
      </c>
    </row>
    <row r="44" spans="1:4" x14ac:dyDescent="0.25">
      <c r="A44" t="s">
        <v>40</v>
      </c>
      <c r="B44" t="s">
        <v>667</v>
      </c>
      <c r="C44" t="s">
        <v>2217</v>
      </c>
      <c r="D44">
        <v>-3</v>
      </c>
    </row>
    <row r="45" spans="1:4" x14ac:dyDescent="0.25">
      <c r="A45" t="s">
        <v>40</v>
      </c>
      <c r="B45" t="s">
        <v>1132</v>
      </c>
      <c r="C45" t="s">
        <v>2133</v>
      </c>
      <c r="D45">
        <v>-5</v>
      </c>
    </row>
    <row r="46" spans="1:4" x14ac:dyDescent="0.25">
      <c r="A46" t="s">
        <v>40</v>
      </c>
      <c r="B46" t="s">
        <v>394</v>
      </c>
      <c r="C46" t="s">
        <v>3536</v>
      </c>
      <c r="D46">
        <v>-7</v>
      </c>
    </row>
    <row r="47" spans="1:4" x14ac:dyDescent="0.25">
      <c r="A47" t="s">
        <v>40</v>
      </c>
      <c r="B47" t="s">
        <v>36</v>
      </c>
      <c r="C47" t="s">
        <v>2414</v>
      </c>
      <c r="D47">
        <v>-5</v>
      </c>
    </row>
    <row r="48" spans="1:4" x14ac:dyDescent="0.25">
      <c r="A48" t="s">
        <v>80</v>
      </c>
      <c r="B48" t="s">
        <v>907</v>
      </c>
      <c r="C48" t="s">
        <v>248</v>
      </c>
      <c r="D48">
        <v>-2</v>
      </c>
    </row>
    <row r="49" spans="1:4" x14ac:dyDescent="0.25">
      <c r="A49" t="s">
        <v>80</v>
      </c>
      <c r="B49" t="s">
        <v>1024</v>
      </c>
      <c r="C49" t="s">
        <v>94</v>
      </c>
      <c r="D49">
        <v>-4</v>
      </c>
    </row>
    <row r="50" spans="1:4" x14ac:dyDescent="0.25">
      <c r="A50" t="s">
        <v>80</v>
      </c>
      <c r="B50" t="s">
        <v>83</v>
      </c>
      <c r="C50" t="s">
        <v>96</v>
      </c>
      <c r="D50">
        <v>-5</v>
      </c>
    </row>
    <row r="51" spans="1:4" x14ac:dyDescent="0.25">
      <c r="A51" t="s">
        <v>80</v>
      </c>
      <c r="B51" t="s">
        <v>83</v>
      </c>
      <c r="C51" t="s">
        <v>622</v>
      </c>
      <c r="D51">
        <v>-6</v>
      </c>
    </row>
    <row r="52" spans="1:4" x14ac:dyDescent="0.25">
      <c r="A52" t="s">
        <v>80</v>
      </c>
      <c r="B52" t="s">
        <v>83</v>
      </c>
      <c r="C52" t="s">
        <v>2135</v>
      </c>
      <c r="D52">
        <v>-7</v>
      </c>
    </row>
    <row r="53" spans="1:4" x14ac:dyDescent="0.25">
      <c r="A53" t="s">
        <v>80</v>
      </c>
      <c r="B53" t="s">
        <v>83</v>
      </c>
      <c r="C53" t="s">
        <v>98</v>
      </c>
      <c r="D53">
        <v>-8</v>
      </c>
    </row>
    <row r="54" spans="1:4" x14ac:dyDescent="0.25">
      <c r="A54" t="s">
        <v>80</v>
      </c>
      <c r="B54" t="s">
        <v>1789</v>
      </c>
      <c r="C54" t="s">
        <v>1726</v>
      </c>
      <c r="D54">
        <v>-5</v>
      </c>
    </row>
    <row r="55" spans="1:4" x14ac:dyDescent="0.25">
      <c r="A55" t="s">
        <v>80</v>
      </c>
      <c r="B55" t="s">
        <v>1613</v>
      </c>
      <c r="C55" t="s">
        <v>1727</v>
      </c>
      <c r="D55">
        <v>-2</v>
      </c>
    </row>
    <row r="56" spans="1:4" x14ac:dyDescent="0.25">
      <c r="A56" t="s">
        <v>80</v>
      </c>
      <c r="B56" t="s">
        <v>1118</v>
      </c>
      <c r="C56" t="s">
        <v>262</v>
      </c>
      <c r="D56">
        <v>-1</v>
      </c>
    </row>
    <row r="57" spans="1:4" x14ac:dyDescent="0.25">
      <c r="A57" t="s">
        <v>80</v>
      </c>
      <c r="B57" t="s">
        <v>1118</v>
      </c>
      <c r="C57" t="s">
        <v>1728</v>
      </c>
      <c r="D57">
        <v>0</v>
      </c>
    </row>
    <row r="58" spans="1:4" x14ac:dyDescent="0.25">
      <c r="A58" t="s">
        <v>80</v>
      </c>
      <c r="B58" t="s">
        <v>568</v>
      </c>
      <c r="C58" t="s">
        <v>2765</v>
      </c>
      <c r="D58">
        <v>-3</v>
      </c>
    </row>
    <row r="59" spans="1:4" x14ac:dyDescent="0.25">
      <c r="A59" t="s">
        <v>80</v>
      </c>
      <c r="B59" t="s">
        <v>2510</v>
      </c>
      <c r="C59" t="s">
        <v>2227</v>
      </c>
      <c r="D59">
        <v>-5</v>
      </c>
    </row>
    <row r="60" spans="1:4" x14ac:dyDescent="0.25">
      <c r="A60" t="s">
        <v>80</v>
      </c>
      <c r="B60" t="s">
        <v>1533</v>
      </c>
      <c r="C60" t="s">
        <v>2228</v>
      </c>
      <c r="D60">
        <v>-2</v>
      </c>
    </row>
    <row r="61" spans="1:4" x14ac:dyDescent="0.25">
      <c r="A61" t="s">
        <v>80</v>
      </c>
      <c r="B61" t="s">
        <v>1170</v>
      </c>
      <c r="C61" t="s">
        <v>3537</v>
      </c>
      <c r="D61">
        <v>-4</v>
      </c>
    </row>
    <row r="62" spans="1:4" x14ac:dyDescent="0.25">
      <c r="A62" t="s">
        <v>80</v>
      </c>
      <c r="B62" t="s">
        <v>762</v>
      </c>
      <c r="C62" t="s">
        <v>753</v>
      </c>
      <c r="D62">
        <v>-1</v>
      </c>
    </row>
    <row r="63" spans="1:4" x14ac:dyDescent="0.25">
      <c r="A63" t="s">
        <v>80</v>
      </c>
      <c r="B63" t="s">
        <v>112</v>
      </c>
      <c r="C63" t="s">
        <v>121</v>
      </c>
      <c r="D63">
        <v>-4</v>
      </c>
    </row>
    <row r="64" spans="1:4" x14ac:dyDescent="0.25">
      <c r="A64" t="s">
        <v>80</v>
      </c>
      <c r="B64" t="s">
        <v>448</v>
      </c>
      <c r="C64" t="s">
        <v>122</v>
      </c>
      <c r="D64">
        <v>-6</v>
      </c>
    </row>
    <row r="65" spans="1:4" x14ac:dyDescent="0.25">
      <c r="A65" t="s">
        <v>80</v>
      </c>
      <c r="B65" t="s">
        <v>152</v>
      </c>
      <c r="C65" t="s">
        <v>3538</v>
      </c>
      <c r="D65">
        <v>-4</v>
      </c>
    </row>
    <row r="66" spans="1:4" x14ac:dyDescent="0.25">
      <c r="A66" t="s">
        <v>80</v>
      </c>
      <c r="B66" t="s">
        <v>1050</v>
      </c>
      <c r="C66" t="s">
        <v>2142</v>
      </c>
      <c r="D66">
        <v>-6</v>
      </c>
    </row>
    <row r="67" spans="1:4" x14ac:dyDescent="0.25">
      <c r="A67" t="s">
        <v>80</v>
      </c>
      <c r="B67" t="s">
        <v>481</v>
      </c>
      <c r="C67" t="s">
        <v>279</v>
      </c>
      <c r="D67">
        <v>-5</v>
      </c>
    </row>
    <row r="68" spans="1:4" x14ac:dyDescent="0.25">
      <c r="A68" t="s">
        <v>80</v>
      </c>
      <c r="B68" t="s">
        <v>793</v>
      </c>
      <c r="C68" t="s">
        <v>3539</v>
      </c>
      <c r="D68">
        <v>-2</v>
      </c>
    </row>
    <row r="69" spans="1:4" x14ac:dyDescent="0.25">
      <c r="A69" t="s">
        <v>80</v>
      </c>
      <c r="B69" t="s">
        <v>38</v>
      </c>
      <c r="C69" t="s">
        <v>2768</v>
      </c>
      <c r="D69">
        <v>-4</v>
      </c>
    </row>
    <row r="70" spans="1:4" x14ac:dyDescent="0.25">
      <c r="A70" t="s">
        <v>123</v>
      </c>
      <c r="B70" t="s">
        <v>2419</v>
      </c>
      <c r="C70" t="s">
        <v>2237</v>
      </c>
      <c r="D70">
        <v>-7</v>
      </c>
    </row>
    <row r="71" spans="1:4" x14ac:dyDescent="0.25">
      <c r="A71" t="s">
        <v>123</v>
      </c>
      <c r="B71" t="s">
        <v>126</v>
      </c>
      <c r="C71" t="s">
        <v>2969</v>
      </c>
      <c r="D71">
        <v>-5</v>
      </c>
    </row>
    <row r="72" spans="1:4" x14ac:dyDescent="0.25">
      <c r="A72" t="s">
        <v>123</v>
      </c>
      <c r="B72" t="s">
        <v>126</v>
      </c>
      <c r="C72" t="s">
        <v>2238</v>
      </c>
      <c r="D72">
        <v>-4</v>
      </c>
    </row>
    <row r="73" spans="1:4" x14ac:dyDescent="0.25">
      <c r="A73" t="s">
        <v>123</v>
      </c>
      <c r="B73" t="s">
        <v>126</v>
      </c>
      <c r="C73" t="s">
        <v>848</v>
      </c>
      <c r="D73">
        <v>-3</v>
      </c>
    </row>
    <row r="74" spans="1:4" x14ac:dyDescent="0.25">
      <c r="A74" t="s">
        <v>123</v>
      </c>
      <c r="B74" t="s">
        <v>427</v>
      </c>
      <c r="C74" t="s">
        <v>3456</v>
      </c>
      <c r="D74">
        <v>-4</v>
      </c>
    </row>
    <row r="75" spans="1:4" x14ac:dyDescent="0.25">
      <c r="A75" t="s">
        <v>123</v>
      </c>
      <c r="B75" t="s">
        <v>427</v>
      </c>
      <c r="C75" t="s">
        <v>2315</v>
      </c>
      <c r="D75">
        <v>-5</v>
      </c>
    </row>
    <row r="76" spans="1:4" x14ac:dyDescent="0.25">
      <c r="A76" t="s">
        <v>123</v>
      </c>
      <c r="B76" t="s">
        <v>1266</v>
      </c>
      <c r="C76" t="s">
        <v>2241</v>
      </c>
      <c r="D76">
        <v>-4</v>
      </c>
    </row>
    <row r="77" spans="1:4" x14ac:dyDescent="0.25">
      <c r="A77" t="s">
        <v>123</v>
      </c>
      <c r="B77" t="s">
        <v>1266</v>
      </c>
      <c r="C77" t="s">
        <v>851</v>
      </c>
      <c r="D77">
        <v>-3</v>
      </c>
    </row>
    <row r="78" spans="1:4" x14ac:dyDescent="0.25">
      <c r="A78" t="s">
        <v>123</v>
      </c>
      <c r="B78" t="s">
        <v>1973</v>
      </c>
      <c r="C78" t="s">
        <v>3540</v>
      </c>
      <c r="D78">
        <v>-5</v>
      </c>
    </row>
    <row r="79" spans="1:4" x14ac:dyDescent="0.25">
      <c r="A79" t="s">
        <v>123</v>
      </c>
      <c r="B79" t="s">
        <v>49</v>
      </c>
      <c r="C79" t="s">
        <v>2343</v>
      </c>
      <c r="D79">
        <v>-2</v>
      </c>
    </row>
    <row r="80" spans="1:4" x14ac:dyDescent="0.25">
      <c r="A80" t="s">
        <v>123</v>
      </c>
      <c r="B80" t="s">
        <v>2152</v>
      </c>
      <c r="C80" t="s">
        <v>3457</v>
      </c>
      <c r="D80">
        <v>-4</v>
      </c>
    </row>
    <row r="81" spans="1:4" x14ac:dyDescent="0.25">
      <c r="A81" t="s">
        <v>123</v>
      </c>
      <c r="B81" t="s">
        <v>274</v>
      </c>
      <c r="C81" t="s">
        <v>147</v>
      </c>
      <c r="D81">
        <v>-7</v>
      </c>
    </row>
    <row r="82" spans="1:4" x14ac:dyDescent="0.25">
      <c r="A82" t="s">
        <v>123</v>
      </c>
      <c r="B82" t="s">
        <v>405</v>
      </c>
      <c r="C82" t="s">
        <v>2974</v>
      </c>
      <c r="D82">
        <v>-9</v>
      </c>
    </row>
    <row r="83" spans="1:4" x14ac:dyDescent="0.25">
      <c r="A83" t="s">
        <v>123</v>
      </c>
      <c r="B83" t="s">
        <v>2266</v>
      </c>
      <c r="C83" t="s">
        <v>3541</v>
      </c>
      <c r="D83">
        <v>-7</v>
      </c>
    </row>
    <row r="84" spans="1:4" x14ac:dyDescent="0.25">
      <c r="A84" t="s">
        <v>123</v>
      </c>
      <c r="B84" t="s">
        <v>870</v>
      </c>
      <c r="C84" t="s">
        <v>3542</v>
      </c>
      <c r="D84">
        <v>-9</v>
      </c>
    </row>
    <row r="85" spans="1:4" x14ac:dyDescent="0.25">
      <c r="A85" t="s">
        <v>123</v>
      </c>
      <c r="B85" t="s">
        <v>1151</v>
      </c>
      <c r="C85" t="s">
        <v>3543</v>
      </c>
      <c r="D85">
        <v>-7</v>
      </c>
    </row>
    <row r="86" spans="1:4" x14ac:dyDescent="0.25">
      <c r="A86" t="s">
        <v>123</v>
      </c>
      <c r="B86" t="s">
        <v>519</v>
      </c>
      <c r="C86" t="s">
        <v>2775</v>
      </c>
      <c r="D86">
        <v>-10</v>
      </c>
    </row>
    <row r="87" spans="1:4" x14ac:dyDescent="0.25">
      <c r="A87" t="s">
        <v>123</v>
      </c>
      <c r="B87" t="s">
        <v>1503</v>
      </c>
      <c r="C87" t="s">
        <v>3544</v>
      </c>
      <c r="D87">
        <v>-9</v>
      </c>
    </row>
    <row r="88" spans="1:4" x14ac:dyDescent="0.25">
      <c r="A88" t="s">
        <v>123</v>
      </c>
      <c r="B88" t="s">
        <v>1503</v>
      </c>
      <c r="C88" t="s">
        <v>2252</v>
      </c>
      <c r="D88">
        <v>-8</v>
      </c>
    </row>
    <row r="89" spans="1:4" x14ac:dyDescent="0.25">
      <c r="A89" t="s">
        <v>123</v>
      </c>
      <c r="B89" t="s">
        <v>984</v>
      </c>
      <c r="C89" t="s">
        <v>3545</v>
      </c>
      <c r="D89">
        <v>-11</v>
      </c>
    </row>
    <row r="90" spans="1:4" x14ac:dyDescent="0.25">
      <c r="A90" t="s">
        <v>123</v>
      </c>
      <c r="B90" t="s">
        <v>341</v>
      </c>
      <c r="C90" t="s">
        <v>3546</v>
      </c>
      <c r="D90">
        <v>-9</v>
      </c>
    </row>
    <row r="91" spans="1:4" x14ac:dyDescent="0.25">
      <c r="A91" t="s">
        <v>123</v>
      </c>
      <c r="B91" t="s">
        <v>524</v>
      </c>
      <c r="C91" t="s">
        <v>3465</v>
      </c>
      <c r="D91">
        <v>-7</v>
      </c>
    </row>
    <row r="92" spans="1:4" x14ac:dyDescent="0.25">
      <c r="A92" t="s">
        <v>123</v>
      </c>
      <c r="B92" t="s">
        <v>894</v>
      </c>
      <c r="C92" t="s">
        <v>2255</v>
      </c>
      <c r="D92">
        <v>-6</v>
      </c>
    </row>
    <row r="93" spans="1:4" x14ac:dyDescent="0.25">
      <c r="A93" t="s">
        <v>123</v>
      </c>
      <c r="B93" t="s">
        <v>894</v>
      </c>
      <c r="C93" t="s">
        <v>3547</v>
      </c>
      <c r="D93">
        <v>-5</v>
      </c>
    </row>
    <row r="94" spans="1:4" x14ac:dyDescent="0.25">
      <c r="A94" t="s">
        <v>123</v>
      </c>
      <c r="B94" t="s">
        <v>198</v>
      </c>
      <c r="C94" t="s">
        <v>3548</v>
      </c>
      <c r="D94">
        <v>-7</v>
      </c>
    </row>
    <row r="95" spans="1:4" x14ac:dyDescent="0.25">
      <c r="A95" t="s">
        <v>123</v>
      </c>
      <c r="B95" t="s">
        <v>1112</v>
      </c>
      <c r="C95" t="s">
        <v>2258</v>
      </c>
      <c r="D95">
        <v>-4</v>
      </c>
    </row>
    <row r="96" spans="1:4" x14ac:dyDescent="0.25">
      <c r="A96" t="s">
        <v>123</v>
      </c>
      <c r="B96" t="s">
        <v>76</v>
      </c>
      <c r="C96" t="s">
        <v>2259</v>
      </c>
      <c r="D96">
        <v>-5</v>
      </c>
    </row>
    <row r="97" spans="1:4" x14ac:dyDescent="0.25">
      <c r="A97" t="s">
        <v>123</v>
      </c>
      <c r="B97" t="s">
        <v>76</v>
      </c>
      <c r="C97" t="s">
        <v>2260</v>
      </c>
      <c r="D97">
        <v>-6</v>
      </c>
    </row>
    <row r="98" spans="1:4" x14ac:dyDescent="0.25">
      <c r="A98" t="s">
        <v>123</v>
      </c>
      <c r="B98" t="s">
        <v>1627</v>
      </c>
      <c r="C98" t="s">
        <v>3549</v>
      </c>
      <c r="D98">
        <v>-7</v>
      </c>
    </row>
    <row r="99" spans="1:4" x14ac:dyDescent="0.25">
      <c r="A99" t="s">
        <v>123</v>
      </c>
      <c r="B99" t="s">
        <v>1627</v>
      </c>
      <c r="C99" t="s">
        <v>3550</v>
      </c>
      <c r="D99">
        <v>-8</v>
      </c>
    </row>
    <row r="101" spans="1:4" x14ac:dyDescent="0.25">
      <c r="A101" s="2" t="s">
        <v>157</v>
      </c>
    </row>
    <row r="102" spans="1:4" x14ac:dyDescent="0.25">
      <c r="A102" t="s">
        <v>158</v>
      </c>
      <c r="D102">
        <f>AVERAGE(D2:D99)</f>
        <v>-1.7653061224489797</v>
      </c>
    </row>
    <row r="103" spans="1:4" x14ac:dyDescent="0.25">
      <c r="A103" t="s">
        <v>159</v>
      </c>
      <c r="D103">
        <f>MAX(D2:D99)</f>
        <v>11</v>
      </c>
    </row>
    <row r="104" spans="1:4" x14ac:dyDescent="0.25">
      <c r="A104" t="s">
        <v>160</v>
      </c>
      <c r="D104">
        <f>MIN(D2:D99)</f>
        <v>-11</v>
      </c>
    </row>
    <row r="105" spans="1:4" x14ac:dyDescent="0.25">
      <c r="A105" t="s">
        <v>161</v>
      </c>
      <c r="D105">
        <f>COUNTIF(D2:D99,"&gt;0")</f>
        <v>28</v>
      </c>
    </row>
    <row r="106" spans="1:4" x14ac:dyDescent="0.25">
      <c r="A106" t="s">
        <v>162</v>
      </c>
      <c r="D106">
        <f>COUNTIF(D2:D99,"=0")</f>
        <v>1</v>
      </c>
    </row>
    <row r="107" spans="1:4" x14ac:dyDescent="0.25">
      <c r="A107" t="s">
        <v>1570</v>
      </c>
      <c r="D107">
        <f>COUNTIF(D2:D99,"&lt;0")</f>
        <v>69</v>
      </c>
    </row>
    <row r="109" spans="1:4" x14ac:dyDescent="0.25">
      <c r="A109" s="2" t="s">
        <v>164</v>
      </c>
    </row>
    <row r="110" spans="1:4" x14ac:dyDescent="0.25">
      <c r="A110" t="s">
        <v>165</v>
      </c>
      <c r="D110">
        <f>AVERAGE(D2,D3,D4,D5,D6,D7,D8,D9,D10,D11,D12,D13,D14,D15,D16,D17,D18,D19,D20,D21,D22,D23)</f>
        <v>5.6818181818181817</v>
      </c>
    </row>
    <row r="111" spans="1:4" x14ac:dyDescent="0.25">
      <c r="A111" t="s">
        <v>166</v>
      </c>
      <c r="D111">
        <f>AVERAGE(D24,D25,D26,D27,D28,D29,D30,D31,D32,D33,D34,D35,D36,D37,D38,D39,D40,D41,D42,D43,D44,D45,D46,D47)</f>
        <v>-1.0416666666666667</v>
      </c>
    </row>
    <row r="112" spans="1:4" x14ac:dyDescent="0.25">
      <c r="A112" t="s">
        <v>167</v>
      </c>
      <c r="D112">
        <f>AVERAGE(D48,D49,D50,D51,D52,D53,D54,D55,D56,D57,D58,D59,D60,D61,D62,D63,D64,D65,D66,D67,D68,D69)</f>
        <v>-3.9090909090909092</v>
      </c>
    </row>
    <row r="113" spans="1:4" x14ac:dyDescent="0.25">
      <c r="A113" t="s">
        <v>168</v>
      </c>
      <c r="D113">
        <f>AVERAGE(D70,D71,D72,D73,D74,D75,D76,D77,D78,D79,D80,D81,D82,D83,D84,D85,D86,D87,D88,D89,D90,D91,D92,D93,D94,D95,D96,D97,D98,D99)</f>
        <v>-6.2333333333333334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81</v>
      </c>
      <c r="C2" t="s">
        <v>1008</v>
      </c>
      <c r="D2">
        <v>-3</v>
      </c>
    </row>
    <row r="3" spans="1:4" x14ac:dyDescent="0.25">
      <c r="A3" t="s">
        <v>4</v>
      </c>
      <c r="B3" t="s">
        <v>1244</v>
      </c>
      <c r="C3" t="s">
        <v>3551</v>
      </c>
      <c r="D3">
        <v>-6</v>
      </c>
    </row>
    <row r="4" spans="1:4" x14ac:dyDescent="0.25">
      <c r="A4" t="s">
        <v>4</v>
      </c>
      <c r="B4" t="s">
        <v>89</v>
      </c>
      <c r="C4" t="s">
        <v>2297</v>
      </c>
      <c r="D4">
        <v>-4</v>
      </c>
    </row>
    <row r="5" spans="1:4" x14ac:dyDescent="0.25">
      <c r="A5" t="s">
        <v>4</v>
      </c>
      <c r="B5" t="s">
        <v>89</v>
      </c>
      <c r="C5" t="s">
        <v>1494</v>
      </c>
      <c r="D5">
        <v>-3</v>
      </c>
    </row>
    <row r="6" spans="1:4" x14ac:dyDescent="0.25">
      <c r="A6" t="s">
        <v>4</v>
      </c>
      <c r="B6" t="s">
        <v>759</v>
      </c>
      <c r="C6" t="s">
        <v>2201</v>
      </c>
      <c r="D6">
        <v>-6</v>
      </c>
    </row>
    <row r="7" spans="1:4" x14ac:dyDescent="0.25">
      <c r="A7" t="s">
        <v>4</v>
      </c>
      <c r="B7" t="s">
        <v>1146</v>
      </c>
      <c r="C7" t="s">
        <v>2153</v>
      </c>
      <c r="D7">
        <v>-3</v>
      </c>
    </row>
    <row r="8" spans="1:4" x14ac:dyDescent="0.25">
      <c r="A8" t="s">
        <v>4</v>
      </c>
      <c r="B8" t="s">
        <v>645</v>
      </c>
      <c r="C8" t="s">
        <v>1697</v>
      </c>
      <c r="D8">
        <v>-6</v>
      </c>
    </row>
    <row r="9" spans="1:4" x14ac:dyDescent="0.25">
      <c r="A9" t="s">
        <v>4</v>
      </c>
      <c r="B9" t="s">
        <v>280</v>
      </c>
      <c r="C9" t="s">
        <v>2753</v>
      </c>
      <c r="D9">
        <v>-9</v>
      </c>
    </row>
    <row r="10" spans="1:4" x14ac:dyDescent="0.25">
      <c r="A10" t="s">
        <v>4</v>
      </c>
      <c r="B10" t="s">
        <v>215</v>
      </c>
      <c r="C10" t="s">
        <v>2754</v>
      </c>
      <c r="D10">
        <v>-7</v>
      </c>
    </row>
    <row r="11" spans="1:4" x14ac:dyDescent="0.25">
      <c r="A11" t="s">
        <v>4</v>
      </c>
      <c r="B11" t="s">
        <v>1695</v>
      </c>
      <c r="C11" t="s">
        <v>3552</v>
      </c>
      <c r="D11">
        <v>-10</v>
      </c>
    </row>
    <row r="12" spans="1:4" x14ac:dyDescent="0.25">
      <c r="A12" t="s">
        <v>4</v>
      </c>
      <c r="B12" t="s">
        <v>315</v>
      </c>
      <c r="C12" t="s">
        <v>1702</v>
      </c>
      <c r="D12">
        <v>-8</v>
      </c>
    </row>
    <row r="13" spans="1:4" x14ac:dyDescent="0.25">
      <c r="A13" t="s">
        <v>4</v>
      </c>
      <c r="B13" t="s">
        <v>315</v>
      </c>
      <c r="C13" t="s">
        <v>3553</v>
      </c>
      <c r="D13">
        <v>-7</v>
      </c>
    </row>
    <row r="14" spans="1:4" x14ac:dyDescent="0.25">
      <c r="A14" t="s">
        <v>4</v>
      </c>
      <c r="B14" t="s">
        <v>887</v>
      </c>
      <c r="C14" t="s">
        <v>3554</v>
      </c>
      <c r="D14">
        <v>-6</v>
      </c>
    </row>
    <row r="15" spans="1:4" x14ac:dyDescent="0.25">
      <c r="A15" t="s">
        <v>4</v>
      </c>
      <c r="B15" t="s">
        <v>887</v>
      </c>
      <c r="C15" t="s">
        <v>578</v>
      </c>
      <c r="D15">
        <v>-5</v>
      </c>
    </row>
    <row r="16" spans="1:4" x14ac:dyDescent="0.25">
      <c r="A16" t="s">
        <v>4</v>
      </c>
      <c r="B16" t="s">
        <v>319</v>
      </c>
      <c r="C16" t="s">
        <v>2156</v>
      </c>
      <c r="D16">
        <v>-2</v>
      </c>
    </row>
    <row r="17" spans="1:4" x14ac:dyDescent="0.25">
      <c r="A17" t="s">
        <v>4</v>
      </c>
      <c r="B17" t="s">
        <v>667</v>
      </c>
      <c r="C17" t="s">
        <v>2701</v>
      </c>
      <c r="D17">
        <v>-5</v>
      </c>
    </row>
    <row r="18" spans="1:4" x14ac:dyDescent="0.25">
      <c r="A18" t="s">
        <v>4</v>
      </c>
      <c r="B18" t="s">
        <v>267</v>
      </c>
      <c r="C18" t="s">
        <v>2300</v>
      </c>
      <c r="D18">
        <v>-7</v>
      </c>
    </row>
    <row r="19" spans="1:4" x14ac:dyDescent="0.25">
      <c r="A19" t="s">
        <v>4</v>
      </c>
      <c r="B19" t="s">
        <v>1843</v>
      </c>
      <c r="C19" t="s">
        <v>2301</v>
      </c>
      <c r="D19">
        <v>-5</v>
      </c>
    </row>
    <row r="20" spans="1:4" x14ac:dyDescent="0.25">
      <c r="A20" t="s">
        <v>4</v>
      </c>
      <c r="B20" t="s">
        <v>815</v>
      </c>
      <c r="C20" t="s">
        <v>1878</v>
      </c>
      <c r="D20">
        <v>-3</v>
      </c>
    </row>
    <row r="21" spans="1:4" x14ac:dyDescent="0.25">
      <c r="A21" t="s">
        <v>4</v>
      </c>
      <c r="B21" t="s">
        <v>1356</v>
      </c>
      <c r="C21" t="s">
        <v>2302</v>
      </c>
      <c r="D21">
        <v>-6</v>
      </c>
    </row>
    <row r="22" spans="1:4" x14ac:dyDescent="0.25">
      <c r="A22" t="s">
        <v>4</v>
      </c>
      <c r="B22" t="s">
        <v>202</v>
      </c>
      <c r="C22" t="s">
        <v>2437</v>
      </c>
      <c r="D22">
        <v>-9</v>
      </c>
    </row>
    <row r="23" spans="1:4" x14ac:dyDescent="0.25">
      <c r="A23" t="s">
        <v>4</v>
      </c>
      <c r="B23" t="s">
        <v>301</v>
      </c>
      <c r="C23" t="s">
        <v>3555</v>
      </c>
      <c r="D23">
        <v>-7</v>
      </c>
    </row>
    <row r="24" spans="1:4" x14ac:dyDescent="0.25">
      <c r="A24" t="s">
        <v>4</v>
      </c>
      <c r="B24" t="s">
        <v>301</v>
      </c>
      <c r="C24" t="s">
        <v>55</v>
      </c>
      <c r="D24">
        <v>-6</v>
      </c>
    </row>
    <row r="25" spans="1:4" x14ac:dyDescent="0.25">
      <c r="A25" t="s">
        <v>4</v>
      </c>
      <c r="B25" t="s">
        <v>1002</v>
      </c>
      <c r="C25" t="s">
        <v>801</v>
      </c>
      <c r="D25">
        <v>-7</v>
      </c>
    </row>
    <row r="26" spans="1:4" x14ac:dyDescent="0.25">
      <c r="A26" t="s">
        <v>4</v>
      </c>
      <c r="B26" t="s">
        <v>1002</v>
      </c>
      <c r="C26" t="s">
        <v>2408</v>
      </c>
      <c r="D26">
        <v>-8</v>
      </c>
    </row>
    <row r="27" spans="1:4" x14ac:dyDescent="0.25">
      <c r="A27" t="s">
        <v>4</v>
      </c>
      <c r="B27" t="s">
        <v>559</v>
      </c>
      <c r="C27" t="s">
        <v>3556</v>
      </c>
      <c r="D27">
        <v>-6</v>
      </c>
    </row>
    <row r="28" spans="1:4" x14ac:dyDescent="0.25">
      <c r="A28" t="s">
        <v>40</v>
      </c>
      <c r="B28" t="s">
        <v>1704</v>
      </c>
      <c r="C28" t="s">
        <v>2410</v>
      </c>
      <c r="D28">
        <v>-7</v>
      </c>
    </row>
    <row r="29" spans="1:4" x14ac:dyDescent="0.25">
      <c r="A29" t="s">
        <v>40</v>
      </c>
      <c r="B29" t="s">
        <v>1704</v>
      </c>
      <c r="C29" t="s">
        <v>3557</v>
      </c>
      <c r="D29">
        <v>-8</v>
      </c>
    </row>
    <row r="30" spans="1:4" x14ac:dyDescent="0.25">
      <c r="A30" t="s">
        <v>40</v>
      </c>
      <c r="B30" t="s">
        <v>1346</v>
      </c>
      <c r="C30" t="s">
        <v>3558</v>
      </c>
      <c r="D30">
        <v>-6</v>
      </c>
    </row>
    <row r="31" spans="1:4" x14ac:dyDescent="0.25">
      <c r="A31" t="s">
        <v>40</v>
      </c>
      <c r="B31" t="s">
        <v>47</v>
      </c>
      <c r="C31" t="s">
        <v>66</v>
      </c>
      <c r="D31">
        <v>-3</v>
      </c>
    </row>
    <row r="32" spans="1:4" x14ac:dyDescent="0.25">
      <c r="A32" t="s">
        <v>40</v>
      </c>
      <c r="B32" t="s">
        <v>9</v>
      </c>
      <c r="C32" t="s">
        <v>69</v>
      </c>
      <c r="D32">
        <v>-6</v>
      </c>
    </row>
    <row r="33" spans="1:4" x14ac:dyDescent="0.25">
      <c r="A33" t="s">
        <v>40</v>
      </c>
      <c r="B33" t="s">
        <v>1495</v>
      </c>
      <c r="C33" t="s">
        <v>809</v>
      </c>
      <c r="D33">
        <v>-9</v>
      </c>
    </row>
    <row r="34" spans="1:4" x14ac:dyDescent="0.25">
      <c r="A34" t="s">
        <v>40</v>
      </c>
      <c r="B34" t="s">
        <v>307</v>
      </c>
      <c r="C34" t="s">
        <v>3559</v>
      </c>
      <c r="D34">
        <v>-7</v>
      </c>
    </row>
    <row r="35" spans="1:4" x14ac:dyDescent="0.25">
      <c r="A35" t="s">
        <v>40</v>
      </c>
      <c r="B35" t="s">
        <v>1033</v>
      </c>
      <c r="C35" t="s">
        <v>3560</v>
      </c>
      <c r="D35">
        <v>-5</v>
      </c>
    </row>
    <row r="36" spans="1:4" x14ac:dyDescent="0.25">
      <c r="A36" t="s">
        <v>40</v>
      </c>
      <c r="B36" t="s">
        <v>870</v>
      </c>
      <c r="C36" t="s">
        <v>234</v>
      </c>
      <c r="D36">
        <v>-3</v>
      </c>
    </row>
    <row r="37" spans="1:4" x14ac:dyDescent="0.25">
      <c r="A37" t="s">
        <v>40</v>
      </c>
      <c r="B37" t="s">
        <v>663</v>
      </c>
      <c r="C37" t="s">
        <v>1519</v>
      </c>
      <c r="D37">
        <v>-1</v>
      </c>
    </row>
    <row r="38" spans="1:4" x14ac:dyDescent="0.25">
      <c r="A38" t="s">
        <v>40</v>
      </c>
      <c r="B38" t="s">
        <v>190</v>
      </c>
      <c r="C38" t="s">
        <v>241</v>
      </c>
      <c r="D38">
        <v>-4</v>
      </c>
    </row>
    <row r="39" spans="1:4" x14ac:dyDescent="0.25">
      <c r="A39" t="s">
        <v>40</v>
      </c>
      <c r="B39" t="s">
        <v>225</v>
      </c>
      <c r="C39" t="s">
        <v>243</v>
      </c>
      <c r="D39">
        <v>-1</v>
      </c>
    </row>
    <row r="40" spans="1:4" x14ac:dyDescent="0.25">
      <c r="A40" t="s">
        <v>40</v>
      </c>
      <c r="B40" t="s">
        <v>1217</v>
      </c>
      <c r="C40" t="s">
        <v>3561</v>
      </c>
      <c r="D40">
        <v>-4</v>
      </c>
    </row>
    <row r="41" spans="1:4" x14ac:dyDescent="0.25">
      <c r="A41" t="s">
        <v>40</v>
      </c>
      <c r="B41" t="s">
        <v>1882</v>
      </c>
      <c r="C41" t="s">
        <v>251</v>
      </c>
      <c r="D41">
        <v>-2</v>
      </c>
    </row>
    <row r="42" spans="1:4" x14ac:dyDescent="0.25">
      <c r="A42" t="s">
        <v>40</v>
      </c>
      <c r="B42" t="s">
        <v>290</v>
      </c>
      <c r="C42" t="s">
        <v>822</v>
      </c>
      <c r="D42">
        <v>-5</v>
      </c>
    </row>
    <row r="43" spans="1:4" x14ac:dyDescent="0.25">
      <c r="A43" t="s">
        <v>40</v>
      </c>
      <c r="B43" t="s">
        <v>1076</v>
      </c>
      <c r="C43" t="s">
        <v>255</v>
      </c>
      <c r="D43">
        <v>-3</v>
      </c>
    </row>
    <row r="44" spans="1:4" x14ac:dyDescent="0.25">
      <c r="A44" t="s">
        <v>40</v>
      </c>
      <c r="B44" t="s">
        <v>1204</v>
      </c>
      <c r="C44" t="s">
        <v>2490</v>
      </c>
      <c r="D44">
        <v>0</v>
      </c>
    </row>
    <row r="45" spans="1:4" x14ac:dyDescent="0.25">
      <c r="A45" t="s">
        <v>40</v>
      </c>
      <c r="B45" t="s">
        <v>634</v>
      </c>
      <c r="C45" t="s">
        <v>2445</v>
      </c>
      <c r="D45">
        <v>-3</v>
      </c>
    </row>
    <row r="46" spans="1:4" x14ac:dyDescent="0.25">
      <c r="A46" t="s">
        <v>40</v>
      </c>
      <c r="B46" t="s">
        <v>36</v>
      </c>
      <c r="C46" t="s">
        <v>1767</v>
      </c>
      <c r="D46">
        <v>-4</v>
      </c>
    </row>
    <row r="47" spans="1:4" x14ac:dyDescent="0.25">
      <c r="A47" t="s">
        <v>40</v>
      </c>
      <c r="B47" t="s">
        <v>36</v>
      </c>
      <c r="C47" t="s">
        <v>2225</v>
      </c>
      <c r="D47">
        <v>-5</v>
      </c>
    </row>
    <row r="48" spans="1:4" x14ac:dyDescent="0.25">
      <c r="A48" t="s">
        <v>80</v>
      </c>
      <c r="B48" t="s">
        <v>819</v>
      </c>
      <c r="C48" t="s">
        <v>1769</v>
      </c>
      <c r="D48">
        <v>-6</v>
      </c>
    </row>
    <row r="49" spans="1:4" x14ac:dyDescent="0.25">
      <c r="A49" t="s">
        <v>80</v>
      </c>
      <c r="B49" t="s">
        <v>819</v>
      </c>
      <c r="C49" t="s">
        <v>2226</v>
      </c>
      <c r="D49">
        <v>-7</v>
      </c>
    </row>
    <row r="50" spans="1:4" x14ac:dyDescent="0.25">
      <c r="A50" t="s">
        <v>80</v>
      </c>
      <c r="B50" t="s">
        <v>2052</v>
      </c>
      <c r="C50" t="s">
        <v>2227</v>
      </c>
      <c r="D50">
        <v>-5</v>
      </c>
    </row>
    <row r="51" spans="1:4" x14ac:dyDescent="0.25">
      <c r="A51" t="s">
        <v>80</v>
      </c>
      <c r="B51" t="s">
        <v>1543</v>
      </c>
      <c r="C51" t="s">
        <v>835</v>
      </c>
      <c r="D51">
        <v>-8</v>
      </c>
    </row>
    <row r="52" spans="1:4" x14ac:dyDescent="0.25">
      <c r="A52" t="s">
        <v>80</v>
      </c>
      <c r="B52" t="s">
        <v>1027</v>
      </c>
      <c r="C52" t="s">
        <v>3562</v>
      </c>
      <c r="D52">
        <v>-11</v>
      </c>
    </row>
    <row r="53" spans="1:4" x14ac:dyDescent="0.25">
      <c r="A53" t="s">
        <v>80</v>
      </c>
      <c r="B53" t="s">
        <v>1408</v>
      </c>
      <c r="C53" t="s">
        <v>2766</v>
      </c>
      <c r="D53">
        <v>-9</v>
      </c>
    </row>
    <row r="54" spans="1:4" x14ac:dyDescent="0.25">
      <c r="A54" t="s">
        <v>80</v>
      </c>
      <c r="B54" t="s">
        <v>1118</v>
      </c>
      <c r="C54" t="s">
        <v>2138</v>
      </c>
      <c r="D54">
        <v>-7</v>
      </c>
    </row>
    <row r="55" spans="1:4" x14ac:dyDescent="0.25">
      <c r="A55" t="s">
        <v>80</v>
      </c>
      <c r="B55" t="s">
        <v>431</v>
      </c>
      <c r="C55" t="s">
        <v>3563</v>
      </c>
      <c r="D55">
        <v>-10</v>
      </c>
    </row>
    <row r="56" spans="1:4" x14ac:dyDescent="0.25">
      <c r="A56" t="s">
        <v>80</v>
      </c>
      <c r="B56" t="s">
        <v>914</v>
      </c>
      <c r="C56" t="s">
        <v>2141</v>
      </c>
      <c r="D56">
        <v>-7</v>
      </c>
    </row>
    <row r="57" spans="1:4" x14ac:dyDescent="0.25">
      <c r="A57" t="s">
        <v>80</v>
      </c>
      <c r="B57" t="s">
        <v>779</v>
      </c>
      <c r="C57" t="s">
        <v>3564</v>
      </c>
      <c r="D57">
        <v>-10</v>
      </c>
    </row>
    <row r="58" spans="1:4" x14ac:dyDescent="0.25">
      <c r="A58" t="s">
        <v>80</v>
      </c>
      <c r="B58" t="s">
        <v>1069</v>
      </c>
      <c r="C58" t="s">
        <v>3565</v>
      </c>
      <c r="D58">
        <v>-8</v>
      </c>
    </row>
    <row r="59" spans="1:4" x14ac:dyDescent="0.25">
      <c r="A59" t="s">
        <v>80</v>
      </c>
      <c r="B59" t="s">
        <v>2431</v>
      </c>
      <c r="C59" t="s">
        <v>2968</v>
      </c>
      <c r="D59">
        <v>-10</v>
      </c>
    </row>
    <row r="60" spans="1:4" x14ac:dyDescent="0.25">
      <c r="A60" t="s">
        <v>80</v>
      </c>
      <c r="B60" t="s">
        <v>596</v>
      </c>
      <c r="C60" t="s">
        <v>283</v>
      </c>
      <c r="D60">
        <v>-8</v>
      </c>
    </row>
    <row r="61" spans="1:4" x14ac:dyDescent="0.25">
      <c r="A61" t="s">
        <v>80</v>
      </c>
      <c r="B61" t="s">
        <v>596</v>
      </c>
      <c r="C61" t="s">
        <v>2237</v>
      </c>
      <c r="D61">
        <v>-7</v>
      </c>
    </row>
    <row r="62" spans="1:4" x14ac:dyDescent="0.25">
      <c r="A62" t="s">
        <v>80</v>
      </c>
      <c r="B62" t="s">
        <v>1695</v>
      </c>
      <c r="C62" t="s">
        <v>2969</v>
      </c>
      <c r="D62">
        <v>-5</v>
      </c>
    </row>
    <row r="63" spans="1:4" x14ac:dyDescent="0.25">
      <c r="A63" t="s">
        <v>80</v>
      </c>
      <c r="B63" t="s">
        <v>701</v>
      </c>
      <c r="C63" t="s">
        <v>2423</v>
      </c>
      <c r="D63">
        <v>-7</v>
      </c>
    </row>
    <row r="64" spans="1:4" x14ac:dyDescent="0.25">
      <c r="A64" t="s">
        <v>80</v>
      </c>
      <c r="B64" t="s">
        <v>70</v>
      </c>
      <c r="C64" t="s">
        <v>137</v>
      </c>
      <c r="D64">
        <v>-8</v>
      </c>
    </row>
    <row r="65" spans="1:4" x14ac:dyDescent="0.25">
      <c r="A65" t="s">
        <v>80</v>
      </c>
      <c r="B65" t="s">
        <v>118</v>
      </c>
      <c r="C65" t="s">
        <v>2145</v>
      </c>
      <c r="D65">
        <v>-5</v>
      </c>
    </row>
    <row r="66" spans="1:4" x14ac:dyDescent="0.25">
      <c r="A66" t="s">
        <v>80</v>
      </c>
      <c r="B66" t="s">
        <v>1222</v>
      </c>
      <c r="C66" t="s">
        <v>141</v>
      </c>
      <c r="D66">
        <v>-4</v>
      </c>
    </row>
    <row r="67" spans="1:4" x14ac:dyDescent="0.25">
      <c r="A67" t="s">
        <v>80</v>
      </c>
      <c r="B67" t="s">
        <v>1222</v>
      </c>
      <c r="C67" t="s">
        <v>518</v>
      </c>
      <c r="D67">
        <v>-3</v>
      </c>
    </row>
    <row r="68" spans="1:4" x14ac:dyDescent="0.25">
      <c r="A68" t="s">
        <v>80</v>
      </c>
      <c r="B68" t="s">
        <v>76</v>
      </c>
      <c r="C68" t="s">
        <v>2242</v>
      </c>
      <c r="D68">
        <v>-2</v>
      </c>
    </row>
    <row r="69" spans="1:4" x14ac:dyDescent="0.25">
      <c r="A69" t="s">
        <v>80</v>
      </c>
      <c r="B69" t="s">
        <v>508</v>
      </c>
      <c r="C69" t="s">
        <v>853</v>
      </c>
      <c r="D69">
        <v>-4</v>
      </c>
    </row>
    <row r="70" spans="1:4" x14ac:dyDescent="0.25">
      <c r="A70" t="s">
        <v>123</v>
      </c>
      <c r="B70" t="s">
        <v>126</v>
      </c>
      <c r="C70" t="s">
        <v>3566</v>
      </c>
      <c r="D70">
        <v>-5</v>
      </c>
    </row>
    <row r="71" spans="1:4" x14ac:dyDescent="0.25">
      <c r="A71" t="s">
        <v>123</v>
      </c>
      <c r="B71" t="s">
        <v>777</v>
      </c>
      <c r="C71" t="s">
        <v>523</v>
      </c>
      <c r="D71">
        <v>-3</v>
      </c>
    </row>
    <row r="72" spans="1:4" x14ac:dyDescent="0.25">
      <c r="A72" t="s">
        <v>123</v>
      </c>
      <c r="B72" t="s">
        <v>1973</v>
      </c>
      <c r="C72" t="s">
        <v>525</v>
      </c>
      <c r="D72">
        <v>-2</v>
      </c>
    </row>
    <row r="73" spans="1:4" x14ac:dyDescent="0.25">
      <c r="A73" t="s">
        <v>123</v>
      </c>
      <c r="B73" t="s">
        <v>1010</v>
      </c>
      <c r="C73" t="s">
        <v>2502</v>
      </c>
      <c r="D73">
        <v>-3</v>
      </c>
    </row>
    <row r="74" spans="1:4" x14ac:dyDescent="0.25">
      <c r="A74" t="s">
        <v>123</v>
      </c>
      <c r="B74" t="s">
        <v>1010</v>
      </c>
      <c r="C74" t="s">
        <v>3567</v>
      </c>
      <c r="D74">
        <v>-4</v>
      </c>
    </row>
    <row r="75" spans="1:4" x14ac:dyDescent="0.25">
      <c r="A75" t="s">
        <v>123</v>
      </c>
      <c r="B75" t="s">
        <v>494</v>
      </c>
      <c r="C75" t="s">
        <v>3541</v>
      </c>
      <c r="D75">
        <v>-7</v>
      </c>
    </row>
    <row r="76" spans="1:4" x14ac:dyDescent="0.25">
      <c r="A76" t="s">
        <v>123</v>
      </c>
      <c r="B76" t="s">
        <v>177</v>
      </c>
      <c r="C76" t="s">
        <v>2535</v>
      </c>
      <c r="D76">
        <v>-4</v>
      </c>
    </row>
    <row r="77" spans="1:4" x14ac:dyDescent="0.25">
      <c r="A77" t="s">
        <v>123</v>
      </c>
      <c r="B77" t="s">
        <v>625</v>
      </c>
      <c r="C77" t="s">
        <v>3568</v>
      </c>
      <c r="D77">
        <v>-1</v>
      </c>
    </row>
    <row r="78" spans="1:4" x14ac:dyDescent="0.25">
      <c r="A78" t="s">
        <v>123</v>
      </c>
      <c r="B78" t="s">
        <v>280</v>
      </c>
      <c r="C78" t="s">
        <v>3569</v>
      </c>
      <c r="D78">
        <v>-3</v>
      </c>
    </row>
    <row r="79" spans="1:4" x14ac:dyDescent="0.25">
      <c r="A79" t="s">
        <v>123</v>
      </c>
      <c r="B79" t="s">
        <v>1069</v>
      </c>
      <c r="C79" t="s">
        <v>3074</v>
      </c>
      <c r="D79">
        <v>0</v>
      </c>
    </row>
    <row r="80" spans="1:4" x14ac:dyDescent="0.25">
      <c r="A80" t="s">
        <v>123</v>
      </c>
      <c r="B80" t="s">
        <v>184</v>
      </c>
      <c r="C80" t="s">
        <v>2254</v>
      </c>
      <c r="D80">
        <v>-3</v>
      </c>
    </row>
    <row r="81" spans="1:4" x14ac:dyDescent="0.25">
      <c r="A81" t="s">
        <v>123</v>
      </c>
      <c r="B81" t="s">
        <v>140</v>
      </c>
      <c r="C81" t="s">
        <v>2710</v>
      </c>
      <c r="D81">
        <v>-1</v>
      </c>
    </row>
    <row r="82" spans="1:4" x14ac:dyDescent="0.25">
      <c r="A82" t="s">
        <v>123</v>
      </c>
      <c r="B82" t="s">
        <v>1090</v>
      </c>
      <c r="C82" t="s">
        <v>2711</v>
      </c>
      <c r="D82">
        <v>-2</v>
      </c>
    </row>
    <row r="83" spans="1:4" x14ac:dyDescent="0.25">
      <c r="A83" t="s">
        <v>123</v>
      </c>
      <c r="B83" t="s">
        <v>1090</v>
      </c>
      <c r="C83" t="s">
        <v>3570</v>
      </c>
      <c r="D83">
        <v>-3</v>
      </c>
    </row>
    <row r="84" spans="1:4" x14ac:dyDescent="0.25">
      <c r="A84" t="s">
        <v>123</v>
      </c>
      <c r="B84" t="s">
        <v>519</v>
      </c>
      <c r="C84" t="s">
        <v>871</v>
      </c>
      <c r="D84">
        <v>0</v>
      </c>
    </row>
    <row r="85" spans="1:4" x14ac:dyDescent="0.25">
      <c r="A85" t="s">
        <v>123</v>
      </c>
      <c r="B85" t="s">
        <v>1198</v>
      </c>
      <c r="C85" t="s">
        <v>549</v>
      </c>
      <c r="D85">
        <v>-2</v>
      </c>
    </row>
    <row r="86" spans="1:4" x14ac:dyDescent="0.25">
      <c r="A86" t="s">
        <v>123</v>
      </c>
      <c r="B86" t="s">
        <v>544</v>
      </c>
      <c r="C86" t="s">
        <v>551</v>
      </c>
      <c r="D86">
        <v>-4</v>
      </c>
    </row>
    <row r="87" spans="1:4" x14ac:dyDescent="0.25">
      <c r="A87" t="s">
        <v>123</v>
      </c>
      <c r="B87" t="s">
        <v>1675</v>
      </c>
      <c r="C87" t="s">
        <v>3571</v>
      </c>
      <c r="D87">
        <v>-1</v>
      </c>
    </row>
    <row r="88" spans="1:4" x14ac:dyDescent="0.25">
      <c r="A88" t="s">
        <v>123</v>
      </c>
      <c r="B88" t="s">
        <v>1988</v>
      </c>
      <c r="C88" t="s">
        <v>557</v>
      </c>
      <c r="D88">
        <v>-3</v>
      </c>
    </row>
    <row r="89" spans="1:4" x14ac:dyDescent="0.25">
      <c r="A89" t="s">
        <v>123</v>
      </c>
      <c r="B89" t="s">
        <v>202</v>
      </c>
      <c r="C89" t="s">
        <v>558</v>
      </c>
      <c r="D89">
        <v>-1</v>
      </c>
    </row>
    <row r="90" spans="1:4" x14ac:dyDescent="0.25">
      <c r="A90" t="s">
        <v>123</v>
      </c>
      <c r="B90" t="s">
        <v>537</v>
      </c>
      <c r="C90" t="s">
        <v>3572</v>
      </c>
      <c r="D90">
        <v>1</v>
      </c>
    </row>
    <row r="91" spans="1:4" x14ac:dyDescent="0.25">
      <c r="A91" t="s">
        <v>123</v>
      </c>
      <c r="B91" t="s">
        <v>235</v>
      </c>
      <c r="C91" t="s">
        <v>3573</v>
      </c>
      <c r="D91">
        <v>-1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-4.9222222222222225</v>
      </c>
    </row>
    <row r="95" spans="1:4" x14ac:dyDescent="0.25">
      <c r="A95" t="s">
        <v>159</v>
      </c>
      <c r="D95">
        <f>MAX(D2:D91)</f>
        <v>1</v>
      </c>
    </row>
    <row r="96" spans="1:4" x14ac:dyDescent="0.25">
      <c r="A96" t="s">
        <v>160</v>
      </c>
      <c r="D96">
        <f>MIN(D2:D91)</f>
        <v>-11</v>
      </c>
    </row>
    <row r="97" spans="1:4" x14ac:dyDescent="0.25">
      <c r="A97" t="s">
        <v>161</v>
      </c>
      <c r="D97">
        <f>COUNTIF(D2:D91,"&gt;0")</f>
        <v>1</v>
      </c>
    </row>
    <row r="98" spans="1:4" x14ac:dyDescent="0.25">
      <c r="A98" t="s">
        <v>162</v>
      </c>
      <c r="D98">
        <f>COUNTIF(D2:D91,"=0")</f>
        <v>3</v>
      </c>
    </row>
    <row r="99" spans="1:4" x14ac:dyDescent="0.25">
      <c r="A99" t="s">
        <v>561</v>
      </c>
      <c r="D99">
        <f>COUNTIF(D2:D91,"&lt;0")</f>
        <v>86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AVERAGE(D2,D3,D4,D5,D6,D7,D8,D9,D10,D11,D12,D13,D14,D15,D16,D17,D18,D19,D20,D21,D22,D23,D24,D25,D26,D27)</f>
        <v>-5.9230769230769234</v>
      </c>
    </row>
    <row r="103" spans="1:4" x14ac:dyDescent="0.25">
      <c r="A103" t="s">
        <v>166</v>
      </c>
      <c r="D103">
        <f>AVERAGE(D28,D29,D30,D31,D32,D33,D34,D35,D36,D37,D38,D39,D40,D41,D42,D43,D44,D45,D46,D47)</f>
        <v>-4.3</v>
      </c>
    </row>
    <row r="104" spans="1:4" x14ac:dyDescent="0.25">
      <c r="A104" t="s">
        <v>167</v>
      </c>
      <c r="D104">
        <f>AVERAGE(D48,D49,D50,D51,D52,D53,D54,D55,D56,D57,D58,D59,D60,D61,D62,D63,D64,D65,D66,D67,D68,D69)</f>
        <v>-6.8636363636363633</v>
      </c>
    </row>
    <row r="105" spans="1:4" x14ac:dyDescent="0.25">
      <c r="A105" t="s">
        <v>168</v>
      </c>
      <c r="D105">
        <f>AVERAGE(D70,D71,D72,D73,D74,D75,D76,D77,D78,D79,D80,D81,D82,D83,D84,D85,D86,D87,D88,D89,D90,D91)</f>
        <v>-2.3636363636363638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1608</v>
      </c>
      <c r="C2" t="s">
        <v>171</v>
      </c>
      <c r="D2">
        <v>3</v>
      </c>
    </row>
    <row r="3" spans="1:4" x14ac:dyDescent="0.25">
      <c r="A3" t="s">
        <v>4</v>
      </c>
      <c r="B3" t="s">
        <v>714</v>
      </c>
      <c r="C3" t="s">
        <v>174</v>
      </c>
      <c r="D3">
        <v>1</v>
      </c>
    </row>
    <row r="4" spans="1:4" x14ac:dyDescent="0.25">
      <c r="A4" t="s">
        <v>4</v>
      </c>
      <c r="B4" t="s">
        <v>797</v>
      </c>
      <c r="C4" t="s">
        <v>176</v>
      </c>
      <c r="D4">
        <v>4</v>
      </c>
    </row>
    <row r="5" spans="1:4" x14ac:dyDescent="0.25">
      <c r="A5" t="s">
        <v>4</v>
      </c>
      <c r="B5" t="s">
        <v>618</v>
      </c>
      <c r="C5" t="s">
        <v>178</v>
      </c>
      <c r="D5">
        <v>2</v>
      </c>
    </row>
    <row r="6" spans="1:4" x14ac:dyDescent="0.25">
      <c r="A6" t="s">
        <v>4</v>
      </c>
      <c r="B6" t="s">
        <v>1119</v>
      </c>
      <c r="C6" t="s">
        <v>1193</v>
      </c>
      <c r="D6">
        <v>1</v>
      </c>
    </row>
    <row r="7" spans="1:4" x14ac:dyDescent="0.25">
      <c r="A7" t="s">
        <v>4</v>
      </c>
      <c r="B7" t="s">
        <v>1119</v>
      </c>
      <c r="C7" t="s">
        <v>2046</v>
      </c>
      <c r="D7">
        <v>0</v>
      </c>
    </row>
    <row r="8" spans="1:4" x14ac:dyDescent="0.25">
      <c r="A8" t="s">
        <v>4</v>
      </c>
      <c r="B8" t="s">
        <v>277</v>
      </c>
      <c r="C8" t="s">
        <v>2153</v>
      </c>
      <c r="D8">
        <v>-3</v>
      </c>
    </row>
    <row r="9" spans="1:4" x14ac:dyDescent="0.25">
      <c r="A9" t="s">
        <v>4</v>
      </c>
      <c r="B9" t="s">
        <v>254</v>
      </c>
      <c r="C9" t="s">
        <v>571</v>
      </c>
      <c r="D9">
        <v>0</v>
      </c>
    </row>
    <row r="10" spans="1:4" x14ac:dyDescent="0.25">
      <c r="A10" t="s">
        <v>4</v>
      </c>
      <c r="B10" t="s">
        <v>870</v>
      </c>
      <c r="C10" t="s">
        <v>1433</v>
      </c>
      <c r="D10">
        <v>-3</v>
      </c>
    </row>
    <row r="11" spans="1:4" x14ac:dyDescent="0.25">
      <c r="A11" t="s">
        <v>4</v>
      </c>
      <c r="B11" t="s">
        <v>313</v>
      </c>
      <c r="C11" t="s">
        <v>2325</v>
      </c>
      <c r="D11">
        <v>-5</v>
      </c>
    </row>
    <row r="12" spans="1:4" x14ac:dyDescent="0.25">
      <c r="A12" t="s">
        <v>4</v>
      </c>
      <c r="B12" t="s">
        <v>1350</v>
      </c>
      <c r="C12" t="s">
        <v>2326</v>
      </c>
      <c r="D12">
        <v>-3</v>
      </c>
    </row>
    <row r="13" spans="1:4" x14ac:dyDescent="0.25">
      <c r="A13" t="s">
        <v>4</v>
      </c>
      <c r="B13" t="s">
        <v>1350</v>
      </c>
      <c r="C13" t="s">
        <v>2119</v>
      </c>
      <c r="D13">
        <v>-2</v>
      </c>
    </row>
    <row r="14" spans="1:4" x14ac:dyDescent="0.25">
      <c r="A14" t="s">
        <v>4</v>
      </c>
      <c r="B14" t="s">
        <v>747</v>
      </c>
      <c r="C14" t="s">
        <v>921</v>
      </c>
      <c r="D14">
        <v>1</v>
      </c>
    </row>
    <row r="15" spans="1:4" x14ac:dyDescent="0.25">
      <c r="A15" t="s">
        <v>4</v>
      </c>
      <c r="B15" t="s">
        <v>607</v>
      </c>
      <c r="C15" t="s">
        <v>2121</v>
      </c>
      <c r="D15">
        <v>0</v>
      </c>
    </row>
    <row r="16" spans="1:4" x14ac:dyDescent="0.25">
      <c r="A16" t="s">
        <v>4</v>
      </c>
      <c r="B16" t="s">
        <v>607</v>
      </c>
      <c r="C16" t="s">
        <v>705</v>
      </c>
      <c r="D16">
        <v>-1</v>
      </c>
    </row>
    <row r="17" spans="1:4" x14ac:dyDescent="0.25">
      <c r="A17" t="s">
        <v>4</v>
      </c>
      <c r="B17" t="s">
        <v>667</v>
      </c>
      <c r="C17" t="s">
        <v>1747</v>
      </c>
      <c r="D17">
        <v>0</v>
      </c>
    </row>
    <row r="18" spans="1:4" x14ac:dyDescent="0.25">
      <c r="A18" t="s">
        <v>4</v>
      </c>
      <c r="B18" t="s">
        <v>667</v>
      </c>
      <c r="C18" t="s">
        <v>707</v>
      </c>
      <c r="D18">
        <v>1</v>
      </c>
    </row>
    <row r="19" spans="1:4" x14ac:dyDescent="0.25">
      <c r="A19" t="s">
        <v>4</v>
      </c>
      <c r="B19" t="s">
        <v>228</v>
      </c>
      <c r="C19" t="s">
        <v>790</v>
      </c>
      <c r="D19">
        <v>4</v>
      </c>
    </row>
    <row r="20" spans="1:4" x14ac:dyDescent="0.25">
      <c r="A20" t="s">
        <v>4</v>
      </c>
      <c r="B20" t="s">
        <v>2453</v>
      </c>
      <c r="C20" t="s">
        <v>792</v>
      </c>
      <c r="D20">
        <v>1</v>
      </c>
    </row>
    <row r="21" spans="1:4" x14ac:dyDescent="0.25">
      <c r="A21" t="s">
        <v>4</v>
      </c>
      <c r="B21" t="s">
        <v>2390</v>
      </c>
      <c r="C21" t="s">
        <v>1822</v>
      </c>
      <c r="D21">
        <v>2</v>
      </c>
    </row>
    <row r="22" spans="1:4" x14ac:dyDescent="0.25">
      <c r="A22" t="s">
        <v>4</v>
      </c>
      <c r="B22" t="s">
        <v>2390</v>
      </c>
      <c r="C22" t="s">
        <v>586</v>
      </c>
      <c r="D22">
        <v>3</v>
      </c>
    </row>
    <row r="23" spans="1:4" x14ac:dyDescent="0.25">
      <c r="A23" t="s">
        <v>4</v>
      </c>
      <c r="B23" t="s">
        <v>1356</v>
      </c>
      <c r="C23" t="s">
        <v>1121</v>
      </c>
      <c r="D23">
        <v>2</v>
      </c>
    </row>
    <row r="24" spans="1:4" x14ac:dyDescent="0.25">
      <c r="A24" t="s">
        <v>4</v>
      </c>
      <c r="B24" t="s">
        <v>1646</v>
      </c>
      <c r="C24" t="s">
        <v>1122</v>
      </c>
      <c r="D24">
        <v>4</v>
      </c>
    </row>
    <row r="25" spans="1:4" x14ac:dyDescent="0.25">
      <c r="A25" t="s">
        <v>4</v>
      </c>
      <c r="B25" t="s">
        <v>770</v>
      </c>
      <c r="C25" t="s">
        <v>1751</v>
      </c>
      <c r="D25">
        <v>2</v>
      </c>
    </row>
    <row r="26" spans="1:4" x14ac:dyDescent="0.25">
      <c r="A26" t="s">
        <v>40</v>
      </c>
      <c r="B26" t="s">
        <v>81</v>
      </c>
      <c r="C26" t="s">
        <v>1752</v>
      </c>
      <c r="D26">
        <v>4</v>
      </c>
    </row>
    <row r="27" spans="1:4" x14ac:dyDescent="0.25">
      <c r="A27" t="s">
        <v>40</v>
      </c>
      <c r="B27" t="s">
        <v>1543</v>
      </c>
      <c r="C27" t="s">
        <v>336</v>
      </c>
      <c r="D27">
        <v>2</v>
      </c>
    </row>
    <row r="28" spans="1:4" x14ac:dyDescent="0.25">
      <c r="A28" t="s">
        <v>40</v>
      </c>
      <c r="B28" t="s">
        <v>511</v>
      </c>
      <c r="C28" t="s">
        <v>931</v>
      </c>
      <c r="D28">
        <v>5</v>
      </c>
    </row>
    <row r="29" spans="1:4" x14ac:dyDescent="0.25">
      <c r="A29" t="s">
        <v>40</v>
      </c>
      <c r="B29" t="s">
        <v>1190</v>
      </c>
      <c r="C29" t="s">
        <v>3433</v>
      </c>
      <c r="D29">
        <v>7</v>
      </c>
    </row>
    <row r="30" spans="1:4" x14ac:dyDescent="0.25">
      <c r="A30" t="s">
        <v>40</v>
      </c>
      <c r="B30" t="s">
        <v>862</v>
      </c>
      <c r="C30" t="s">
        <v>2360</v>
      </c>
      <c r="D30">
        <v>4</v>
      </c>
    </row>
    <row r="31" spans="1:4" x14ac:dyDescent="0.25">
      <c r="A31" t="s">
        <v>40</v>
      </c>
      <c r="B31" t="s">
        <v>2074</v>
      </c>
      <c r="C31" t="s">
        <v>2781</v>
      </c>
      <c r="D31">
        <v>5</v>
      </c>
    </row>
    <row r="32" spans="1:4" x14ac:dyDescent="0.25">
      <c r="A32" t="s">
        <v>40</v>
      </c>
      <c r="B32" t="s">
        <v>2074</v>
      </c>
      <c r="C32" t="s">
        <v>3339</v>
      </c>
      <c r="D32">
        <v>6</v>
      </c>
    </row>
    <row r="33" spans="1:4" x14ac:dyDescent="0.25">
      <c r="A33" t="s">
        <v>40</v>
      </c>
      <c r="B33" t="s">
        <v>54</v>
      </c>
      <c r="C33" t="s">
        <v>938</v>
      </c>
      <c r="D33">
        <v>4</v>
      </c>
    </row>
    <row r="34" spans="1:4" x14ac:dyDescent="0.25">
      <c r="A34" t="s">
        <v>40</v>
      </c>
      <c r="B34" t="s">
        <v>651</v>
      </c>
      <c r="C34" t="s">
        <v>2704</v>
      </c>
      <c r="D34">
        <v>6</v>
      </c>
    </row>
    <row r="35" spans="1:4" x14ac:dyDescent="0.25">
      <c r="A35" t="s">
        <v>40</v>
      </c>
      <c r="B35" t="s">
        <v>217</v>
      </c>
      <c r="C35" t="s">
        <v>2267</v>
      </c>
      <c r="D35">
        <v>3</v>
      </c>
    </row>
    <row r="36" spans="1:4" x14ac:dyDescent="0.25">
      <c r="A36" t="s">
        <v>40</v>
      </c>
      <c r="B36" t="s">
        <v>961</v>
      </c>
      <c r="C36" t="s">
        <v>1516</v>
      </c>
      <c r="D36">
        <v>1</v>
      </c>
    </row>
    <row r="37" spans="1:4" x14ac:dyDescent="0.25">
      <c r="A37" t="s">
        <v>40</v>
      </c>
      <c r="B37" t="s">
        <v>961</v>
      </c>
      <c r="C37" t="s">
        <v>730</v>
      </c>
      <c r="D37">
        <v>0</v>
      </c>
    </row>
    <row r="38" spans="1:4" x14ac:dyDescent="0.25">
      <c r="A38" t="s">
        <v>40</v>
      </c>
      <c r="B38" t="s">
        <v>21</v>
      </c>
      <c r="C38" t="s">
        <v>1757</v>
      </c>
      <c r="D38">
        <v>3</v>
      </c>
    </row>
    <row r="39" spans="1:4" x14ac:dyDescent="0.25">
      <c r="A39" t="s">
        <v>40</v>
      </c>
      <c r="B39" t="s">
        <v>337</v>
      </c>
      <c r="C39" t="s">
        <v>3574</v>
      </c>
      <c r="D39">
        <v>0</v>
      </c>
    </row>
    <row r="40" spans="1:4" x14ac:dyDescent="0.25">
      <c r="A40" t="s">
        <v>40</v>
      </c>
      <c r="B40" t="s">
        <v>1153</v>
      </c>
      <c r="C40" t="s">
        <v>238</v>
      </c>
      <c r="D40">
        <v>-2</v>
      </c>
    </row>
    <row r="41" spans="1:4" x14ac:dyDescent="0.25">
      <c r="A41" t="s">
        <v>40</v>
      </c>
      <c r="B41" t="s">
        <v>146</v>
      </c>
      <c r="C41" t="s">
        <v>241</v>
      </c>
      <c r="D41">
        <v>-4</v>
      </c>
    </row>
    <row r="42" spans="1:4" x14ac:dyDescent="0.25">
      <c r="A42" t="s">
        <v>40</v>
      </c>
      <c r="B42" t="s">
        <v>1619</v>
      </c>
      <c r="C42" t="s">
        <v>2134</v>
      </c>
      <c r="D42">
        <v>-2</v>
      </c>
    </row>
    <row r="43" spans="1:4" x14ac:dyDescent="0.25">
      <c r="A43" t="s">
        <v>40</v>
      </c>
      <c r="B43" t="s">
        <v>709</v>
      </c>
      <c r="C43" t="s">
        <v>3575</v>
      </c>
      <c r="D43">
        <v>-4</v>
      </c>
    </row>
    <row r="44" spans="1:4" x14ac:dyDescent="0.25">
      <c r="A44" t="s">
        <v>40</v>
      </c>
      <c r="B44" t="s">
        <v>152</v>
      </c>
      <c r="C44" t="s">
        <v>818</v>
      </c>
      <c r="D44">
        <v>-6</v>
      </c>
    </row>
    <row r="45" spans="1:4" x14ac:dyDescent="0.25">
      <c r="A45" t="s">
        <v>40</v>
      </c>
      <c r="B45" t="s">
        <v>1115</v>
      </c>
      <c r="C45" t="s">
        <v>92</v>
      </c>
      <c r="D45">
        <v>-5</v>
      </c>
    </row>
    <row r="46" spans="1:4" x14ac:dyDescent="0.25">
      <c r="A46" t="s">
        <v>40</v>
      </c>
      <c r="B46" t="s">
        <v>1115</v>
      </c>
      <c r="C46" t="s">
        <v>94</v>
      </c>
      <c r="D46">
        <v>-4</v>
      </c>
    </row>
    <row r="47" spans="1:4" x14ac:dyDescent="0.25">
      <c r="A47" t="s">
        <v>40</v>
      </c>
      <c r="B47" t="s">
        <v>772</v>
      </c>
      <c r="C47" t="s">
        <v>622</v>
      </c>
      <c r="D47">
        <v>-6</v>
      </c>
    </row>
    <row r="48" spans="1:4" x14ac:dyDescent="0.25">
      <c r="A48" t="s">
        <v>40</v>
      </c>
      <c r="B48" t="s">
        <v>78</v>
      </c>
      <c r="C48" t="s">
        <v>822</v>
      </c>
      <c r="D48">
        <v>-5</v>
      </c>
    </row>
    <row r="49" spans="1:4" x14ac:dyDescent="0.25">
      <c r="A49" t="s">
        <v>80</v>
      </c>
      <c r="B49" t="s">
        <v>1007</v>
      </c>
      <c r="C49" t="s">
        <v>255</v>
      </c>
      <c r="D49">
        <v>-3</v>
      </c>
    </row>
    <row r="50" spans="1:4" x14ac:dyDescent="0.25">
      <c r="A50" t="s">
        <v>80</v>
      </c>
      <c r="B50" t="s">
        <v>256</v>
      </c>
      <c r="C50" t="s">
        <v>257</v>
      </c>
      <c r="D50">
        <v>-2</v>
      </c>
    </row>
    <row r="51" spans="1:4" x14ac:dyDescent="0.25">
      <c r="A51" t="s">
        <v>80</v>
      </c>
      <c r="B51" t="s">
        <v>256</v>
      </c>
      <c r="C51" t="s">
        <v>258</v>
      </c>
      <c r="D51">
        <v>-1</v>
      </c>
    </row>
    <row r="52" spans="1:4" x14ac:dyDescent="0.25">
      <c r="A52" t="s">
        <v>80</v>
      </c>
      <c r="B52" t="s">
        <v>465</v>
      </c>
      <c r="C52" t="s">
        <v>3576</v>
      </c>
      <c r="D52">
        <v>-4</v>
      </c>
    </row>
    <row r="53" spans="1:4" x14ac:dyDescent="0.25">
      <c r="A53" t="s">
        <v>80</v>
      </c>
      <c r="B53" t="s">
        <v>726</v>
      </c>
      <c r="C53" t="s">
        <v>377</v>
      </c>
      <c r="D53">
        <v>-2</v>
      </c>
    </row>
    <row r="54" spans="1:4" x14ac:dyDescent="0.25">
      <c r="A54" t="s">
        <v>80</v>
      </c>
      <c r="B54" t="s">
        <v>872</v>
      </c>
      <c r="C54" t="s">
        <v>1229</v>
      </c>
      <c r="D54">
        <v>-4</v>
      </c>
    </row>
    <row r="55" spans="1:4" x14ac:dyDescent="0.25">
      <c r="A55" t="s">
        <v>80</v>
      </c>
      <c r="B55" t="s">
        <v>961</v>
      </c>
      <c r="C55" t="s">
        <v>381</v>
      </c>
      <c r="D55">
        <v>-1</v>
      </c>
    </row>
    <row r="56" spans="1:4" x14ac:dyDescent="0.25">
      <c r="A56" t="s">
        <v>80</v>
      </c>
      <c r="B56" t="s">
        <v>519</v>
      </c>
      <c r="C56" t="s">
        <v>750</v>
      </c>
      <c r="D56">
        <v>-3</v>
      </c>
    </row>
    <row r="57" spans="1:4" x14ac:dyDescent="0.25">
      <c r="A57" t="s">
        <v>80</v>
      </c>
      <c r="B57" t="s">
        <v>223</v>
      </c>
      <c r="C57" t="s">
        <v>751</v>
      </c>
      <c r="D57">
        <v>-1</v>
      </c>
    </row>
    <row r="58" spans="1:4" x14ac:dyDescent="0.25">
      <c r="A58" t="s">
        <v>80</v>
      </c>
      <c r="B58" t="s">
        <v>142</v>
      </c>
      <c r="C58" t="s">
        <v>270</v>
      </c>
      <c r="D58">
        <v>-3</v>
      </c>
    </row>
    <row r="59" spans="1:4" x14ac:dyDescent="0.25">
      <c r="A59" t="s">
        <v>80</v>
      </c>
      <c r="B59" t="s">
        <v>118</v>
      </c>
      <c r="C59" t="s">
        <v>1234</v>
      </c>
      <c r="D59">
        <v>-5</v>
      </c>
    </row>
    <row r="60" spans="1:4" x14ac:dyDescent="0.25">
      <c r="A60" t="s">
        <v>80</v>
      </c>
      <c r="B60" t="s">
        <v>732</v>
      </c>
      <c r="C60" t="s">
        <v>119</v>
      </c>
      <c r="D60">
        <v>-3</v>
      </c>
    </row>
    <row r="61" spans="1:4" x14ac:dyDescent="0.25">
      <c r="A61" t="s">
        <v>80</v>
      </c>
      <c r="B61" t="s">
        <v>683</v>
      </c>
      <c r="C61" t="s">
        <v>122</v>
      </c>
      <c r="D61">
        <v>-6</v>
      </c>
    </row>
    <row r="62" spans="1:4" x14ac:dyDescent="0.25">
      <c r="A62" t="s">
        <v>80</v>
      </c>
      <c r="B62" t="s">
        <v>559</v>
      </c>
      <c r="C62" t="s">
        <v>2140</v>
      </c>
      <c r="D62">
        <v>-5</v>
      </c>
    </row>
    <row r="63" spans="1:4" x14ac:dyDescent="0.25">
      <c r="A63" t="s">
        <v>80</v>
      </c>
      <c r="B63" t="s">
        <v>559</v>
      </c>
      <c r="C63" t="s">
        <v>3538</v>
      </c>
      <c r="D63">
        <v>-4</v>
      </c>
    </row>
    <row r="64" spans="1:4" x14ac:dyDescent="0.25">
      <c r="A64" t="s">
        <v>80</v>
      </c>
      <c r="B64" t="s">
        <v>559</v>
      </c>
      <c r="C64" t="s">
        <v>276</v>
      </c>
      <c r="D64">
        <v>-3</v>
      </c>
    </row>
    <row r="65" spans="1:4" x14ac:dyDescent="0.25">
      <c r="A65" t="s">
        <v>123</v>
      </c>
      <c r="B65" t="s">
        <v>453</v>
      </c>
      <c r="C65" t="s">
        <v>279</v>
      </c>
      <c r="D65">
        <v>-5</v>
      </c>
    </row>
    <row r="66" spans="1:4" x14ac:dyDescent="0.25">
      <c r="A66" t="s">
        <v>123</v>
      </c>
      <c r="B66" t="s">
        <v>1024</v>
      </c>
      <c r="C66" t="s">
        <v>3539</v>
      </c>
      <c r="D66">
        <v>-2</v>
      </c>
    </row>
    <row r="67" spans="1:4" x14ac:dyDescent="0.25">
      <c r="A67" t="s">
        <v>123</v>
      </c>
      <c r="B67" t="s">
        <v>797</v>
      </c>
      <c r="C67" t="s">
        <v>2768</v>
      </c>
      <c r="D67">
        <v>-4</v>
      </c>
    </row>
    <row r="68" spans="1:4" x14ac:dyDescent="0.25">
      <c r="A68" t="s">
        <v>123</v>
      </c>
      <c r="B68" t="s">
        <v>1824</v>
      </c>
      <c r="C68" t="s">
        <v>3085</v>
      </c>
      <c r="D68">
        <v>-2</v>
      </c>
    </row>
    <row r="69" spans="1:4" x14ac:dyDescent="0.25">
      <c r="A69" t="s">
        <v>123</v>
      </c>
      <c r="B69" t="s">
        <v>275</v>
      </c>
      <c r="C69" t="s">
        <v>3086</v>
      </c>
      <c r="D69">
        <v>0</v>
      </c>
    </row>
    <row r="70" spans="1:4" x14ac:dyDescent="0.25">
      <c r="A70" t="s">
        <v>123</v>
      </c>
      <c r="B70" t="s">
        <v>1698</v>
      </c>
      <c r="C70" t="s">
        <v>2314</v>
      </c>
      <c r="D70">
        <v>-2</v>
      </c>
    </row>
    <row r="71" spans="1:4" x14ac:dyDescent="0.25">
      <c r="A71" t="s">
        <v>123</v>
      </c>
      <c r="B71" t="s">
        <v>1217</v>
      </c>
      <c r="C71" t="s">
        <v>653</v>
      </c>
      <c r="D71">
        <v>0</v>
      </c>
    </row>
    <row r="72" spans="1:4" x14ac:dyDescent="0.25">
      <c r="A72" t="s">
        <v>123</v>
      </c>
      <c r="B72" t="s">
        <v>1882</v>
      </c>
      <c r="C72" t="s">
        <v>849</v>
      </c>
      <c r="D72">
        <v>-1</v>
      </c>
    </row>
    <row r="73" spans="1:4" x14ac:dyDescent="0.25">
      <c r="A73" t="s">
        <v>123</v>
      </c>
      <c r="B73" t="s">
        <v>1882</v>
      </c>
      <c r="C73" t="s">
        <v>850</v>
      </c>
      <c r="D73">
        <v>-2</v>
      </c>
    </row>
    <row r="74" spans="1:4" x14ac:dyDescent="0.25">
      <c r="A74" t="s">
        <v>123</v>
      </c>
      <c r="B74" t="s">
        <v>1640</v>
      </c>
      <c r="C74" t="s">
        <v>2708</v>
      </c>
      <c r="D74">
        <v>1</v>
      </c>
    </row>
    <row r="75" spans="1:4" x14ac:dyDescent="0.25">
      <c r="A75" t="s">
        <v>123</v>
      </c>
      <c r="B75" t="s">
        <v>448</v>
      </c>
      <c r="C75" t="s">
        <v>3577</v>
      </c>
      <c r="D75">
        <v>-1</v>
      </c>
    </row>
    <row r="76" spans="1:4" x14ac:dyDescent="0.25">
      <c r="A76" t="s">
        <v>123</v>
      </c>
      <c r="B76" t="s">
        <v>1646</v>
      </c>
      <c r="C76" t="s">
        <v>3578</v>
      </c>
      <c r="D76">
        <v>2</v>
      </c>
    </row>
    <row r="77" spans="1:4" x14ac:dyDescent="0.25">
      <c r="A77" t="s">
        <v>123</v>
      </c>
      <c r="B77" t="s">
        <v>154</v>
      </c>
      <c r="C77" t="s">
        <v>2245</v>
      </c>
      <c r="D77">
        <v>0</v>
      </c>
    </row>
    <row r="78" spans="1:4" x14ac:dyDescent="0.25">
      <c r="A78" t="s">
        <v>4</v>
      </c>
      <c r="B78" t="s">
        <v>1829</v>
      </c>
      <c r="C78" t="s">
        <v>527</v>
      </c>
      <c r="D78">
        <v>-2</v>
      </c>
    </row>
    <row r="79" spans="1:4" x14ac:dyDescent="0.25">
      <c r="A79" t="s">
        <v>4</v>
      </c>
      <c r="B79" t="s">
        <v>887</v>
      </c>
      <c r="C79" t="s">
        <v>3458</v>
      </c>
      <c r="D79">
        <v>-1</v>
      </c>
    </row>
    <row r="80" spans="1:4" x14ac:dyDescent="0.25">
      <c r="A80" t="s">
        <v>4</v>
      </c>
      <c r="B80" t="s">
        <v>1016</v>
      </c>
      <c r="C80" t="s">
        <v>528</v>
      </c>
      <c r="D80">
        <v>0</v>
      </c>
    </row>
    <row r="81" spans="1:4" x14ac:dyDescent="0.25">
      <c r="A81" t="s">
        <v>4</v>
      </c>
      <c r="B81" t="s">
        <v>1700</v>
      </c>
      <c r="C81" t="s">
        <v>3579</v>
      </c>
      <c r="D81">
        <v>-1</v>
      </c>
    </row>
    <row r="82" spans="1:4" x14ac:dyDescent="0.25">
      <c r="A82" t="s">
        <v>4</v>
      </c>
      <c r="B82" t="s">
        <v>471</v>
      </c>
      <c r="C82" t="s">
        <v>3072</v>
      </c>
      <c r="D82">
        <v>0</v>
      </c>
    </row>
    <row r="83" spans="1:4" x14ac:dyDescent="0.25">
      <c r="A83" t="s">
        <v>4</v>
      </c>
      <c r="B83" t="s">
        <v>1739</v>
      </c>
      <c r="C83" t="s">
        <v>532</v>
      </c>
      <c r="D83">
        <v>-1</v>
      </c>
    </row>
    <row r="84" spans="1:4" x14ac:dyDescent="0.25">
      <c r="A84" t="s">
        <v>4</v>
      </c>
      <c r="B84" t="s">
        <v>1739</v>
      </c>
      <c r="C84" t="s">
        <v>2149</v>
      </c>
      <c r="D84">
        <v>-2</v>
      </c>
    </row>
    <row r="85" spans="1:4" x14ac:dyDescent="0.25">
      <c r="A85" t="s">
        <v>4</v>
      </c>
      <c r="B85" t="s">
        <v>1129</v>
      </c>
      <c r="C85" t="s">
        <v>3580</v>
      </c>
      <c r="D85">
        <v>0</v>
      </c>
    </row>
    <row r="86" spans="1:4" x14ac:dyDescent="0.25">
      <c r="A86" t="s">
        <v>4</v>
      </c>
      <c r="B86" t="s">
        <v>611</v>
      </c>
      <c r="C86" t="s">
        <v>3581</v>
      </c>
      <c r="D86">
        <v>-2</v>
      </c>
    </row>
    <row r="87" spans="1:4" x14ac:dyDescent="0.25">
      <c r="A87" t="s">
        <v>4</v>
      </c>
      <c r="B87" t="s">
        <v>1622</v>
      </c>
      <c r="C87" t="s">
        <v>540</v>
      </c>
      <c r="D87">
        <v>1</v>
      </c>
    </row>
    <row r="88" spans="1:4" x14ac:dyDescent="0.25">
      <c r="A88" t="s">
        <v>4</v>
      </c>
      <c r="B88" t="s">
        <v>710</v>
      </c>
      <c r="C88" t="s">
        <v>2738</v>
      </c>
      <c r="D88">
        <v>-1</v>
      </c>
    </row>
    <row r="89" spans="1:4" x14ac:dyDescent="0.25">
      <c r="A89" t="s">
        <v>4</v>
      </c>
      <c r="B89" t="s">
        <v>554</v>
      </c>
      <c r="C89" t="s">
        <v>2739</v>
      </c>
      <c r="D89">
        <v>0</v>
      </c>
    </row>
    <row r="90" spans="1:4" x14ac:dyDescent="0.25">
      <c r="A90" t="s">
        <v>4</v>
      </c>
      <c r="B90" t="s">
        <v>298</v>
      </c>
      <c r="C90" t="s">
        <v>3582</v>
      </c>
      <c r="D90">
        <v>-2</v>
      </c>
    </row>
    <row r="91" spans="1:4" x14ac:dyDescent="0.25">
      <c r="A91" t="s">
        <v>4</v>
      </c>
      <c r="B91" t="s">
        <v>33</v>
      </c>
      <c r="C91" t="s">
        <v>2710</v>
      </c>
      <c r="D91">
        <v>-1</v>
      </c>
    </row>
    <row r="92" spans="1:4" x14ac:dyDescent="0.25">
      <c r="A92" t="s">
        <v>4</v>
      </c>
      <c r="B92" t="s">
        <v>584</v>
      </c>
      <c r="C92" t="s">
        <v>2711</v>
      </c>
      <c r="D92">
        <v>-2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-0.59340659340659341</v>
      </c>
    </row>
    <row r="96" spans="1:4" x14ac:dyDescent="0.25">
      <c r="A96" t="s">
        <v>159</v>
      </c>
      <c r="D96">
        <f>MAX(D2:D92)</f>
        <v>7</v>
      </c>
    </row>
    <row r="97" spans="1:4" x14ac:dyDescent="0.25">
      <c r="A97" t="s">
        <v>160</v>
      </c>
      <c r="D97">
        <f>MIN(D2:D92)</f>
        <v>-6</v>
      </c>
    </row>
    <row r="98" spans="1:4" x14ac:dyDescent="0.25">
      <c r="A98" t="s">
        <v>161</v>
      </c>
      <c r="D98">
        <f>COUNTIF(D2:D92,"&gt;0")</f>
        <v>29</v>
      </c>
    </row>
    <row r="99" spans="1:4" x14ac:dyDescent="0.25">
      <c r="A99" t="s">
        <v>162</v>
      </c>
      <c r="D99">
        <f>COUNTIF(D2:D92,"=0")</f>
        <v>13</v>
      </c>
    </row>
    <row r="100" spans="1:4" x14ac:dyDescent="0.25">
      <c r="A100" t="s">
        <v>1689</v>
      </c>
      <c r="D100">
        <f>COUNTIF(D2:D92,"&lt;0")</f>
        <v>49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AVERAGE(D2,D3,D4,D5,D6,D7,D8,D9,D10,D11,D12,D13,D14,D15,D16,D17,D18,D19,D20,D21,D22,D23,D24,D25,D78,D79,D80,D81,D82,D83,D84,D85,D86,D87,D88,D89,D90,D91,D92)</f>
        <v>0</v>
      </c>
    </row>
    <row r="104" spans="1:4" x14ac:dyDescent="0.25">
      <c r="A104" t="s">
        <v>166</v>
      </c>
      <c r="D104">
        <f>AVERAGE(D26,D27,D28,D29,D30,D31,D32,D33,D34,D35,D36,D37,D38,D39,D40,D41,D42,D43,D44,D45,D46,D47,D48)</f>
        <v>0.52173913043478259</v>
      </c>
    </row>
    <row r="105" spans="1:4" x14ac:dyDescent="0.25">
      <c r="A105" t="s">
        <v>167</v>
      </c>
      <c r="D105">
        <f>AVERAGE(D49,D50,D51,D52,D53,D54,D55,D56,D57,D58,D59,D60,D61,D62,D63,D64)</f>
        <v>-3.125</v>
      </c>
    </row>
    <row r="106" spans="1:4" x14ac:dyDescent="0.25">
      <c r="A106" t="s">
        <v>168</v>
      </c>
      <c r="D106">
        <f>AVERAGE(D65,D66,D67,D68,D69,D70,D71,D72,D73,D74,D75,D76,D77)</f>
        <v>-1.2307692307692308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1208</v>
      </c>
      <c r="C2" t="s">
        <v>6</v>
      </c>
      <c r="D2">
        <v>2</v>
      </c>
    </row>
    <row r="3" spans="1:4" x14ac:dyDescent="0.25">
      <c r="A3" t="s">
        <v>4</v>
      </c>
      <c r="B3" t="s">
        <v>1929</v>
      </c>
      <c r="C3" t="s">
        <v>1572</v>
      </c>
      <c r="D3">
        <v>5</v>
      </c>
    </row>
    <row r="4" spans="1:4" x14ac:dyDescent="0.25">
      <c r="A4" t="s">
        <v>4</v>
      </c>
      <c r="B4" t="s">
        <v>271</v>
      </c>
      <c r="C4" t="s">
        <v>1347</v>
      </c>
      <c r="D4">
        <v>3</v>
      </c>
    </row>
    <row r="5" spans="1:4" x14ac:dyDescent="0.25">
      <c r="A5" t="s">
        <v>4</v>
      </c>
      <c r="B5" t="s">
        <v>329</v>
      </c>
      <c r="C5" t="s">
        <v>2592</v>
      </c>
      <c r="D5">
        <v>5</v>
      </c>
    </row>
    <row r="6" spans="1:4" x14ac:dyDescent="0.25">
      <c r="A6" t="s">
        <v>4</v>
      </c>
      <c r="B6" t="s">
        <v>1027</v>
      </c>
      <c r="C6" t="s">
        <v>1348</v>
      </c>
      <c r="D6">
        <v>3</v>
      </c>
    </row>
    <row r="7" spans="1:4" x14ac:dyDescent="0.25">
      <c r="A7" t="s">
        <v>4</v>
      </c>
      <c r="B7" t="s">
        <v>1027</v>
      </c>
      <c r="C7" t="s">
        <v>432</v>
      </c>
      <c r="D7">
        <v>2</v>
      </c>
    </row>
    <row r="8" spans="1:4" x14ac:dyDescent="0.25">
      <c r="A8" t="s">
        <v>4</v>
      </c>
      <c r="B8" t="s">
        <v>355</v>
      </c>
      <c r="C8" t="s">
        <v>1974</v>
      </c>
      <c r="D8">
        <v>5</v>
      </c>
    </row>
    <row r="9" spans="1:4" x14ac:dyDescent="0.25">
      <c r="A9" t="s">
        <v>4</v>
      </c>
      <c r="B9" t="s">
        <v>51</v>
      </c>
      <c r="C9" t="s">
        <v>22</v>
      </c>
      <c r="D9">
        <v>2</v>
      </c>
    </row>
    <row r="10" spans="1:4" x14ac:dyDescent="0.25">
      <c r="A10" t="s">
        <v>4</v>
      </c>
      <c r="B10" t="s">
        <v>1683</v>
      </c>
      <c r="C10" t="s">
        <v>1110</v>
      </c>
      <c r="D10">
        <v>0</v>
      </c>
    </row>
    <row r="11" spans="1:4" x14ac:dyDescent="0.25">
      <c r="A11" t="s">
        <v>4</v>
      </c>
      <c r="B11" t="s">
        <v>368</v>
      </c>
      <c r="C11" t="s">
        <v>917</v>
      </c>
      <c r="D11">
        <v>2</v>
      </c>
    </row>
    <row r="12" spans="1:4" x14ac:dyDescent="0.25">
      <c r="A12" t="s">
        <v>4</v>
      </c>
      <c r="B12" t="s">
        <v>596</v>
      </c>
      <c r="C12" t="s">
        <v>918</v>
      </c>
      <c r="D12">
        <v>3</v>
      </c>
    </row>
    <row r="13" spans="1:4" x14ac:dyDescent="0.25">
      <c r="A13" t="s">
        <v>4</v>
      </c>
      <c r="B13" t="s">
        <v>596</v>
      </c>
      <c r="C13" t="s">
        <v>1575</v>
      </c>
      <c r="D13">
        <v>4</v>
      </c>
    </row>
    <row r="14" spans="1:4" x14ac:dyDescent="0.25">
      <c r="A14" t="s">
        <v>4</v>
      </c>
      <c r="B14" t="s">
        <v>943</v>
      </c>
      <c r="C14" t="s">
        <v>321</v>
      </c>
      <c r="D14">
        <v>6</v>
      </c>
    </row>
    <row r="15" spans="1:4" x14ac:dyDescent="0.25">
      <c r="A15" t="s">
        <v>4</v>
      </c>
      <c r="B15" t="s">
        <v>729</v>
      </c>
      <c r="C15" t="s">
        <v>1873</v>
      </c>
      <c r="D15">
        <v>4</v>
      </c>
    </row>
    <row r="16" spans="1:4" x14ac:dyDescent="0.25">
      <c r="A16" t="s">
        <v>4</v>
      </c>
      <c r="B16" t="s">
        <v>1335</v>
      </c>
      <c r="C16" t="s">
        <v>1199</v>
      </c>
      <c r="D16">
        <v>6</v>
      </c>
    </row>
    <row r="17" spans="1:4" x14ac:dyDescent="0.25">
      <c r="A17" t="s">
        <v>4</v>
      </c>
      <c r="B17" t="s">
        <v>1398</v>
      </c>
      <c r="C17" t="s">
        <v>326</v>
      </c>
      <c r="D17">
        <v>8</v>
      </c>
    </row>
    <row r="18" spans="1:4" x14ac:dyDescent="0.25">
      <c r="A18" t="s">
        <v>4</v>
      </c>
      <c r="B18" t="s">
        <v>1622</v>
      </c>
      <c r="C18" t="s">
        <v>200</v>
      </c>
      <c r="D18">
        <v>5</v>
      </c>
    </row>
    <row r="19" spans="1:4" x14ac:dyDescent="0.25">
      <c r="A19" t="s">
        <v>4</v>
      </c>
      <c r="B19" t="s">
        <v>634</v>
      </c>
      <c r="C19" t="s">
        <v>791</v>
      </c>
      <c r="D19">
        <v>2</v>
      </c>
    </row>
    <row r="20" spans="1:4" x14ac:dyDescent="0.25">
      <c r="A20" t="s">
        <v>4</v>
      </c>
      <c r="B20" t="s">
        <v>78</v>
      </c>
      <c r="C20" t="s">
        <v>1207</v>
      </c>
      <c r="D20">
        <v>5</v>
      </c>
    </row>
    <row r="21" spans="1:4" x14ac:dyDescent="0.25">
      <c r="A21" t="s">
        <v>40</v>
      </c>
      <c r="B21" t="s">
        <v>2421</v>
      </c>
      <c r="C21" t="s">
        <v>712</v>
      </c>
      <c r="D21">
        <v>3</v>
      </c>
    </row>
    <row r="22" spans="1:4" x14ac:dyDescent="0.25">
      <c r="A22" t="s">
        <v>40</v>
      </c>
      <c r="B22" t="s">
        <v>2421</v>
      </c>
      <c r="C22" t="s">
        <v>1823</v>
      </c>
      <c r="D22">
        <v>2</v>
      </c>
    </row>
    <row r="23" spans="1:4" x14ac:dyDescent="0.25">
      <c r="A23" t="s">
        <v>40</v>
      </c>
      <c r="B23" t="s">
        <v>170</v>
      </c>
      <c r="C23" t="s">
        <v>1439</v>
      </c>
      <c r="D23">
        <v>4</v>
      </c>
    </row>
    <row r="24" spans="1:4" x14ac:dyDescent="0.25">
      <c r="A24" t="s">
        <v>40</v>
      </c>
      <c r="B24" t="s">
        <v>329</v>
      </c>
      <c r="C24" t="s">
        <v>1209</v>
      </c>
      <c r="D24">
        <v>7</v>
      </c>
    </row>
    <row r="25" spans="1:4" x14ac:dyDescent="0.25">
      <c r="A25" t="s">
        <v>40</v>
      </c>
      <c r="B25" t="s">
        <v>87</v>
      </c>
      <c r="C25" t="s">
        <v>2124</v>
      </c>
      <c r="D25">
        <v>6</v>
      </c>
    </row>
    <row r="26" spans="1:4" x14ac:dyDescent="0.25">
      <c r="A26" t="s">
        <v>40</v>
      </c>
      <c r="B26" t="s">
        <v>87</v>
      </c>
      <c r="C26" t="s">
        <v>2963</v>
      </c>
      <c r="D26">
        <v>5</v>
      </c>
    </row>
    <row r="27" spans="1:4" x14ac:dyDescent="0.25">
      <c r="A27" t="s">
        <v>40</v>
      </c>
      <c r="B27" t="s">
        <v>2510</v>
      </c>
      <c r="C27" t="s">
        <v>1583</v>
      </c>
      <c r="D27">
        <v>7</v>
      </c>
    </row>
    <row r="28" spans="1:4" x14ac:dyDescent="0.25">
      <c r="A28" t="s">
        <v>40</v>
      </c>
      <c r="B28" t="s">
        <v>648</v>
      </c>
      <c r="C28" t="s">
        <v>3090</v>
      </c>
      <c r="D28">
        <v>9</v>
      </c>
    </row>
    <row r="29" spans="1:4" x14ac:dyDescent="0.25">
      <c r="A29" t="s">
        <v>40</v>
      </c>
      <c r="B29" t="s">
        <v>519</v>
      </c>
      <c r="C29" t="s">
        <v>2976</v>
      </c>
      <c r="D29">
        <v>8</v>
      </c>
    </row>
    <row r="30" spans="1:4" x14ac:dyDescent="0.25">
      <c r="A30" t="s">
        <v>40</v>
      </c>
      <c r="B30" t="s">
        <v>519</v>
      </c>
      <c r="C30" t="s">
        <v>1585</v>
      </c>
      <c r="D30">
        <v>7</v>
      </c>
    </row>
    <row r="31" spans="1:4" x14ac:dyDescent="0.25">
      <c r="A31" t="s">
        <v>40</v>
      </c>
      <c r="B31" t="s">
        <v>23</v>
      </c>
      <c r="C31" t="s">
        <v>2781</v>
      </c>
      <c r="D31">
        <v>5</v>
      </c>
    </row>
    <row r="32" spans="1:4" x14ac:dyDescent="0.25">
      <c r="A32" t="s">
        <v>40</v>
      </c>
      <c r="B32" t="s">
        <v>317</v>
      </c>
      <c r="C32" t="s">
        <v>2529</v>
      </c>
      <c r="D32">
        <v>8</v>
      </c>
    </row>
    <row r="33" spans="1:4" x14ac:dyDescent="0.25">
      <c r="A33" t="s">
        <v>40</v>
      </c>
      <c r="B33" t="s">
        <v>442</v>
      </c>
      <c r="C33" t="s">
        <v>1444</v>
      </c>
      <c r="D33">
        <v>5</v>
      </c>
    </row>
    <row r="34" spans="1:4" x14ac:dyDescent="0.25">
      <c r="A34" t="s">
        <v>40</v>
      </c>
      <c r="B34" t="s">
        <v>414</v>
      </c>
      <c r="C34" t="s">
        <v>1445</v>
      </c>
      <c r="D34">
        <v>7</v>
      </c>
    </row>
    <row r="35" spans="1:4" x14ac:dyDescent="0.25">
      <c r="A35" t="s">
        <v>40</v>
      </c>
      <c r="B35" t="s">
        <v>529</v>
      </c>
      <c r="C35" t="s">
        <v>3027</v>
      </c>
      <c r="D35">
        <v>9</v>
      </c>
    </row>
    <row r="36" spans="1:4" x14ac:dyDescent="0.25">
      <c r="A36" t="s">
        <v>40</v>
      </c>
      <c r="B36" t="s">
        <v>31</v>
      </c>
      <c r="C36" t="s">
        <v>2909</v>
      </c>
      <c r="D36">
        <v>12</v>
      </c>
    </row>
    <row r="37" spans="1:4" x14ac:dyDescent="0.25">
      <c r="A37" t="s">
        <v>40</v>
      </c>
      <c r="B37" t="s">
        <v>582</v>
      </c>
      <c r="C37" t="s">
        <v>1447</v>
      </c>
      <c r="D37">
        <v>13</v>
      </c>
    </row>
    <row r="38" spans="1:4" x14ac:dyDescent="0.25">
      <c r="A38" t="s">
        <v>40</v>
      </c>
      <c r="B38" t="s">
        <v>582</v>
      </c>
      <c r="C38" t="s">
        <v>1448</v>
      </c>
      <c r="D38">
        <v>14</v>
      </c>
    </row>
    <row r="39" spans="1:4" x14ac:dyDescent="0.25">
      <c r="A39" t="s">
        <v>40</v>
      </c>
      <c r="B39" t="s">
        <v>301</v>
      </c>
      <c r="C39" t="s">
        <v>3435</v>
      </c>
      <c r="D39">
        <v>13</v>
      </c>
    </row>
    <row r="40" spans="1:4" x14ac:dyDescent="0.25">
      <c r="A40" t="s">
        <v>40</v>
      </c>
      <c r="B40" t="s">
        <v>301</v>
      </c>
      <c r="C40" t="s">
        <v>3198</v>
      </c>
      <c r="D40">
        <v>12</v>
      </c>
    </row>
    <row r="41" spans="1:4" x14ac:dyDescent="0.25">
      <c r="A41" t="s">
        <v>40</v>
      </c>
      <c r="B41" t="s">
        <v>930</v>
      </c>
      <c r="C41" t="s">
        <v>3014</v>
      </c>
      <c r="D41">
        <v>13</v>
      </c>
    </row>
    <row r="42" spans="1:4" x14ac:dyDescent="0.25">
      <c r="A42" t="s">
        <v>40</v>
      </c>
      <c r="B42" t="s">
        <v>930</v>
      </c>
      <c r="C42" t="s">
        <v>1450</v>
      </c>
      <c r="D42">
        <v>14</v>
      </c>
    </row>
    <row r="43" spans="1:4" x14ac:dyDescent="0.25">
      <c r="A43" t="s">
        <v>80</v>
      </c>
      <c r="B43" t="s">
        <v>490</v>
      </c>
      <c r="C43" t="s">
        <v>1451</v>
      </c>
      <c r="D43">
        <v>12</v>
      </c>
    </row>
    <row r="44" spans="1:4" x14ac:dyDescent="0.25">
      <c r="A44" t="s">
        <v>80</v>
      </c>
      <c r="B44" t="s">
        <v>623</v>
      </c>
      <c r="C44" t="s">
        <v>2167</v>
      </c>
      <c r="D44">
        <v>9</v>
      </c>
    </row>
    <row r="45" spans="1:4" x14ac:dyDescent="0.25">
      <c r="A45" t="s">
        <v>80</v>
      </c>
      <c r="B45" t="s">
        <v>277</v>
      </c>
      <c r="C45" t="s">
        <v>1674</v>
      </c>
      <c r="D45">
        <v>8</v>
      </c>
    </row>
    <row r="46" spans="1:4" x14ac:dyDescent="0.25">
      <c r="A46" t="s">
        <v>80</v>
      </c>
      <c r="B46" t="s">
        <v>259</v>
      </c>
      <c r="C46" t="s">
        <v>2609</v>
      </c>
      <c r="D46">
        <v>5</v>
      </c>
    </row>
    <row r="47" spans="1:4" x14ac:dyDescent="0.25">
      <c r="A47" t="s">
        <v>80</v>
      </c>
      <c r="B47" t="s">
        <v>95</v>
      </c>
      <c r="C47" t="s">
        <v>2337</v>
      </c>
      <c r="D47">
        <v>7</v>
      </c>
    </row>
    <row r="48" spans="1:4" x14ac:dyDescent="0.25">
      <c r="A48" t="s">
        <v>80</v>
      </c>
      <c r="B48" t="s">
        <v>740</v>
      </c>
      <c r="C48" t="s">
        <v>2530</v>
      </c>
      <c r="D48">
        <v>5</v>
      </c>
    </row>
    <row r="49" spans="1:4" x14ac:dyDescent="0.25">
      <c r="A49" t="s">
        <v>80</v>
      </c>
      <c r="B49" t="s">
        <v>1038</v>
      </c>
      <c r="C49" t="s">
        <v>2611</v>
      </c>
      <c r="D49">
        <v>2</v>
      </c>
    </row>
    <row r="50" spans="1:4" x14ac:dyDescent="0.25">
      <c r="A50" t="s">
        <v>80</v>
      </c>
      <c r="B50" t="s">
        <v>1517</v>
      </c>
      <c r="C50" t="s">
        <v>489</v>
      </c>
      <c r="D50">
        <v>4</v>
      </c>
    </row>
    <row r="51" spans="1:4" x14ac:dyDescent="0.25">
      <c r="A51" t="s">
        <v>80</v>
      </c>
      <c r="B51" t="s">
        <v>475</v>
      </c>
      <c r="C51" t="s">
        <v>2339</v>
      </c>
      <c r="D51">
        <v>6</v>
      </c>
    </row>
    <row r="52" spans="1:4" x14ac:dyDescent="0.25">
      <c r="A52" t="s">
        <v>80</v>
      </c>
      <c r="B52" t="s">
        <v>1048</v>
      </c>
      <c r="C52" t="s">
        <v>2727</v>
      </c>
      <c r="D52">
        <v>4</v>
      </c>
    </row>
    <row r="53" spans="1:4" x14ac:dyDescent="0.25">
      <c r="A53" t="s">
        <v>80</v>
      </c>
      <c r="B53" t="s">
        <v>231</v>
      </c>
      <c r="C53" t="s">
        <v>1526</v>
      </c>
      <c r="D53">
        <v>5</v>
      </c>
    </row>
    <row r="54" spans="1:4" x14ac:dyDescent="0.25">
      <c r="A54" t="s">
        <v>80</v>
      </c>
      <c r="B54" t="s">
        <v>231</v>
      </c>
      <c r="C54" t="s">
        <v>3583</v>
      </c>
      <c r="D54">
        <v>6</v>
      </c>
    </row>
    <row r="55" spans="1:4" x14ac:dyDescent="0.25">
      <c r="A55" t="s">
        <v>80</v>
      </c>
      <c r="B55" t="s">
        <v>554</v>
      </c>
      <c r="C55" t="s">
        <v>2273</v>
      </c>
      <c r="D55">
        <v>5</v>
      </c>
    </row>
    <row r="56" spans="1:4" x14ac:dyDescent="0.25">
      <c r="A56" t="s">
        <v>80</v>
      </c>
      <c r="B56" t="s">
        <v>554</v>
      </c>
      <c r="C56" t="s">
        <v>1835</v>
      </c>
      <c r="D56">
        <v>4</v>
      </c>
    </row>
    <row r="57" spans="1:4" x14ac:dyDescent="0.25">
      <c r="A57" t="s">
        <v>80</v>
      </c>
      <c r="B57" t="s">
        <v>927</v>
      </c>
      <c r="C57" t="s">
        <v>495</v>
      </c>
      <c r="D57">
        <v>5</v>
      </c>
    </row>
    <row r="58" spans="1:4" x14ac:dyDescent="0.25">
      <c r="A58" t="s">
        <v>123</v>
      </c>
      <c r="B58" t="s">
        <v>795</v>
      </c>
      <c r="C58" t="s">
        <v>496</v>
      </c>
      <c r="D58">
        <v>4</v>
      </c>
    </row>
    <row r="59" spans="1:4" x14ac:dyDescent="0.25">
      <c r="A59" t="s">
        <v>123</v>
      </c>
      <c r="B59" t="s">
        <v>1022</v>
      </c>
      <c r="C59" t="s">
        <v>383</v>
      </c>
      <c r="D59">
        <v>2</v>
      </c>
    </row>
    <row r="60" spans="1:4" x14ac:dyDescent="0.25">
      <c r="A60" t="s">
        <v>123</v>
      </c>
      <c r="B60" t="s">
        <v>2443</v>
      </c>
      <c r="C60" t="s">
        <v>2177</v>
      </c>
      <c r="D60">
        <v>4</v>
      </c>
    </row>
    <row r="61" spans="1:4" x14ac:dyDescent="0.25">
      <c r="A61" t="s">
        <v>123</v>
      </c>
      <c r="B61" t="s">
        <v>1190</v>
      </c>
      <c r="C61" t="s">
        <v>2450</v>
      </c>
      <c r="D61">
        <v>5</v>
      </c>
    </row>
    <row r="62" spans="1:4" x14ac:dyDescent="0.25">
      <c r="A62" t="s">
        <v>123</v>
      </c>
      <c r="B62" t="s">
        <v>954</v>
      </c>
      <c r="C62" t="s">
        <v>498</v>
      </c>
      <c r="D62">
        <v>3</v>
      </c>
    </row>
    <row r="63" spans="1:4" x14ac:dyDescent="0.25">
      <c r="A63" t="s">
        <v>123</v>
      </c>
      <c r="B63" t="s">
        <v>912</v>
      </c>
      <c r="C63" t="s">
        <v>500</v>
      </c>
      <c r="D63">
        <v>5</v>
      </c>
    </row>
    <row r="64" spans="1:4" x14ac:dyDescent="0.25">
      <c r="A64" t="s">
        <v>123</v>
      </c>
      <c r="B64" t="s">
        <v>250</v>
      </c>
      <c r="C64" t="s">
        <v>2180</v>
      </c>
      <c r="D64">
        <v>3</v>
      </c>
    </row>
    <row r="65" spans="1:4" x14ac:dyDescent="0.25">
      <c r="A65" t="s">
        <v>123</v>
      </c>
      <c r="B65" t="s">
        <v>1146</v>
      </c>
      <c r="C65" t="s">
        <v>502</v>
      </c>
      <c r="D65">
        <v>4</v>
      </c>
    </row>
    <row r="66" spans="1:4" x14ac:dyDescent="0.25">
      <c r="A66" t="s">
        <v>123</v>
      </c>
      <c r="B66" t="s">
        <v>1105</v>
      </c>
      <c r="C66" t="s">
        <v>1840</v>
      </c>
      <c r="D66">
        <v>2</v>
      </c>
    </row>
    <row r="67" spans="1:4" x14ac:dyDescent="0.25">
      <c r="A67" t="s">
        <v>123</v>
      </c>
      <c r="B67" t="s">
        <v>368</v>
      </c>
      <c r="C67" t="s">
        <v>3584</v>
      </c>
      <c r="D67">
        <v>3</v>
      </c>
    </row>
    <row r="68" spans="1:4" x14ac:dyDescent="0.25">
      <c r="A68" t="s">
        <v>123</v>
      </c>
      <c r="B68" t="s">
        <v>368</v>
      </c>
      <c r="C68" t="s">
        <v>1841</v>
      </c>
      <c r="D68">
        <v>4</v>
      </c>
    </row>
    <row r="69" spans="1:4" x14ac:dyDescent="0.25">
      <c r="A69" t="s">
        <v>123</v>
      </c>
      <c r="B69" t="s">
        <v>60</v>
      </c>
      <c r="C69" t="s">
        <v>1737</v>
      </c>
      <c r="D69">
        <v>1</v>
      </c>
    </row>
    <row r="70" spans="1:4" x14ac:dyDescent="0.25">
      <c r="A70" t="s">
        <v>123</v>
      </c>
      <c r="B70" t="s">
        <v>539</v>
      </c>
      <c r="C70" t="s">
        <v>507</v>
      </c>
      <c r="D70">
        <v>0</v>
      </c>
    </row>
    <row r="71" spans="1:4" x14ac:dyDescent="0.25">
      <c r="A71" t="s">
        <v>123</v>
      </c>
      <c r="B71" t="s">
        <v>807</v>
      </c>
      <c r="C71" t="s">
        <v>2916</v>
      </c>
      <c r="D71">
        <v>1</v>
      </c>
    </row>
    <row r="72" spans="1:4" x14ac:dyDescent="0.25">
      <c r="A72" t="s">
        <v>123</v>
      </c>
      <c r="B72" t="s">
        <v>112</v>
      </c>
      <c r="C72" t="s">
        <v>2499</v>
      </c>
      <c r="D72">
        <v>-1</v>
      </c>
    </row>
    <row r="73" spans="1:4" x14ac:dyDescent="0.25">
      <c r="A73" t="s">
        <v>123</v>
      </c>
      <c r="B73" t="s">
        <v>290</v>
      </c>
      <c r="C73" t="s">
        <v>2422</v>
      </c>
      <c r="D73">
        <v>-3</v>
      </c>
    </row>
    <row r="74" spans="1:4" x14ac:dyDescent="0.25">
      <c r="A74" t="s">
        <v>123</v>
      </c>
      <c r="B74" t="s">
        <v>996</v>
      </c>
      <c r="C74" t="s">
        <v>847</v>
      </c>
      <c r="D74">
        <v>-1</v>
      </c>
    </row>
    <row r="75" spans="1:4" x14ac:dyDescent="0.25">
      <c r="A75" t="s">
        <v>123</v>
      </c>
      <c r="B75" t="s">
        <v>1206</v>
      </c>
      <c r="C75" t="s">
        <v>3031</v>
      </c>
      <c r="D75">
        <v>0</v>
      </c>
    </row>
    <row r="76" spans="1:4" x14ac:dyDescent="0.25">
      <c r="A76" t="s">
        <v>123</v>
      </c>
      <c r="B76" t="s">
        <v>1206</v>
      </c>
      <c r="C76" t="s">
        <v>652</v>
      </c>
      <c r="D76">
        <v>1</v>
      </c>
    </row>
    <row r="77" spans="1:4" x14ac:dyDescent="0.25">
      <c r="A77" t="s">
        <v>123</v>
      </c>
      <c r="B77" t="s">
        <v>1646</v>
      </c>
      <c r="C77" t="s">
        <v>2604</v>
      </c>
      <c r="D77">
        <v>2</v>
      </c>
    </row>
    <row r="78" spans="1:4" x14ac:dyDescent="0.25">
      <c r="A78" t="s">
        <v>123</v>
      </c>
      <c r="B78" t="s">
        <v>1646</v>
      </c>
      <c r="C78" t="s">
        <v>2605</v>
      </c>
      <c r="D78">
        <v>3</v>
      </c>
    </row>
    <row r="79" spans="1:4" x14ac:dyDescent="0.25">
      <c r="A79" t="s">
        <v>123</v>
      </c>
      <c r="B79" t="s">
        <v>508</v>
      </c>
      <c r="C79" t="s">
        <v>1960</v>
      </c>
      <c r="D79">
        <v>1</v>
      </c>
    </row>
    <row r="80" spans="1:4" x14ac:dyDescent="0.25">
      <c r="A80" t="s">
        <v>123</v>
      </c>
      <c r="B80" t="s">
        <v>451</v>
      </c>
      <c r="C80" t="s">
        <v>2458</v>
      </c>
      <c r="D80">
        <v>2</v>
      </c>
    </row>
    <row r="81" spans="1:4" x14ac:dyDescent="0.25">
      <c r="A81" t="s">
        <v>123</v>
      </c>
      <c r="B81" t="s">
        <v>451</v>
      </c>
      <c r="C81" t="s">
        <v>2732</v>
      </c>
      <c r="D81">
        <v>3</v>
      </c>
    </row>
    <row r="82" spans="1:4" x14ac:dyDescent="0.25">
      <c r="A82" t="s">
        <v>123</v>
      </c>
      <c r="B82" t="s">
        <v>584</v>
      </c>
      <c r="C82" t="s">
        <v>3069</v>
      </c>
      <c r="D82">
        <v>2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4.8395061728395063</v>
      </c>
    </row>
    <row r="86" spans="1:4" x14ac:dyDescent="0.25">
      <c r="A86" t="s">
        <v>159</v>
      </c>
      <c r="D86">
        <f>MAX(D2:D82)</f>
        <v>14</v>
      </c>
    </row>
    <row r="87" spans="1:4" x14ac:dyDescent="0.25">
      <c r="A87" t="s">
        <v>160</v>
      </c>
      <c r="D87">
        <f>MIN(D2:D82)</f>
        <v>-3</v>
      </c>
    </row>
    <row r="88" spans="1:4" x14ac:dyDescent="0.25">
      <c r="A88" t="s">
        <v>161</v>
      </c>
      <c r="D88">
        <f>COUNTIF(D2:D82,"&gt;0")</f>
        <v>75</v>
      </c>
    </row>
    <row r="89" spans="1:4" x14ac:dyDescent="0.25">
      <c r="A89" t="s">
        <v>162</v>
      </c>
      <c r="D89">
        <f>COUNTIF(D2:D82,"=0")</f>
        <v>3</v>
      </c>
    </row>
    <row r="90" spans="1:4" x14ac:dyDescent="0.25">
      <c r="A90" t="s">
        <v>1264</v>
      </c>
      <c r="D90">
        <f>COUNTIF(D2:D82,"&lt;0")</f>
        <v>3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AVERAGE(D2,D3,D4,D5,D6,D7,D8,D9,D10,D11,D12,D13,D14,D15,D16,D17,D18,D19,D20)</f>
        <v>3.7894736842105261</v>
      </c>
    </row>
    <row r="94" spans="1:4" x14ac:dyDescent="0.25">
      <c r="A94" t="s">
        <v>166</v>
      </c>
      <c r="D94">
        <f>AVERAGE(D21,D22,D23,D24,D25,D26,D27,D28,D29,D30,D31,D32,D33,D34,D35,D36,D37,D38,D39,D40,D41,D42)</f>
        <v>8.3181818181818183</v>
      </c>
    </row>
    <row r="95" spans="1:4" x14ac:dyDescent="0.25">
      <c r="A95" t="s">
        <v>167</v>
      </c>
      <c r="D95">
        <f>AVERAGE(D43,D44,D45,D46,D47,D48,D49,D50,D51,D52,D53,D54,D55,D56,D57)</f>
        <v>5.8</v>
      </c>
    </row>
    <row r="96" spans="1:4" x14ac:dyDescent="0.25">
      <c r="A96" t="s">
        <v>168</v>
      </c>
      <c r="D96">
        <f>AVERAGE(D58,D59,D60,D61,D62,D63,D64,D65,D66,D67,D68,D69,D70,D71,D72,D73,D74,D75,D76,D77,D78,D79,D80,D81,D82)</f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9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1430</v>
      </c>
      <c r="C2" t="s">
        <v>6</v>
      </c>
      <c r="D2">
        <v>2</v>
      </c>
    </row>
    <row r="3" spans="1:4" x14ac:dyDescent="0.25">
      <c r="A3" t="s">
        <v>4</v>
      </c>
      <c r="B3" t="s">
        <v>857</v>
      </c>
      <c r="C3" t="s">
        <v>8</v>
      </c>
      <c r="D3">
        <v>0</v>
      </c>
    </row>
    <row r="4" spans="1:4" x14ac:dyDescent="0.25">
      <c r="A4" t="s">
        <v>4</v>
      </c>
      <c r="B4" t="s">
        <v>1524</v>
      </c>
      <c r="C4" t="s">
        <v>564</v>
      </c>
      <c r="D4">
        <v>2</v>
      </c>
    </row>
    <row r="5" spans="1:4" x14ac:dyDescent="0.25">
      <c r="A5" t="s">
        <v>4</v>
      </c>
      <c r="B5" t="s">
        <v>1735</v>
      </c>
      <c r="C5" t="s">
        <v>12</v>
      </c>
      <c r="D5">
        <v>0</v>
      </c>
    </row>
    <row r="6" spans="1:4" x14ac:dyDescent="0.25">
      <c r="A6" t="s">
        <v>4</v>
      </c>
      <c r="B6" t="s">
        <v>1768</v>
      </c>
      <c r="C6" t="s">
        <v>178</v>
      </c>
      <c r="D6">
        <v>2</v>
      </c>
    </row>
    <row r="7" spans="1:4" x14ac:dyDescent="0.25">
      <c r="A7" t="s">
        <v>4</v>
      </c>
      <c r="B7" t="s">
        <v>912</v>
      </c>
      <c r="C7" t="s">
        <v>16</v>
      </c>
      <c r="D7">
        <v>-1</v>
      </c>
    </row>
    <row r="8" spans="1:4" x14ac:dyDescent="0.25">
      <c r="A8" t="s">
        <v>4</v>
      </c>
      <c r="B8" t="s">
        <v>1836</v>
      </c>
      <c r="C8" t="s">
        <v>696</v>
      </c>
      <c r="D8">
        <v>1</v>
      </c>
    </row>
    <row r="9" spans="1:4" x14ac:dyDescent="0.25">
      <c r="A9" t="s">
        <v>4</v>
      </c>
      <c r="B9" t="s">
        <v>431</v>
      </c>
      <c r="C9" t="s">
        <v>1351</v>
      </c>
      <c r="D9">
        <v>3</v>
      </c>
    </row>
    <row r="10" spans="1:4" x14ac:dyDescent="0.25">
      <c r="A10" t="s">
        <v>4</v>
      </c>
      <c r="B10" t="s">
        <v>1816</v>
      </c>
      <c r="C10" t="s">
        <v>1110</v>
      </c>
      <c r="D10">
        <v>0</v>
      </c>
    </row>
    <row r="11" spans="1:4" x14ac:dyDescent="0.25">
      <c r="A11" t="s">
        <v>4</v>
      </c>
      <c r="B11" t="s">
        <v>1069</v>
      </c>
      <c r="C11" t="s">
        <v>1925</v>
      </c>
      <c r="D11">
        <v>-3</v>
      </c>
    </row>
    <row r="12" spans="1:4" x14ac:dyDescent="0.25">
      <c r="A12" t="s">
        <v>4</v>
      </c>
      <c r="B12" t="s">
        <v>1776</v>
      </c>
      <c r="C12" t="s">
        <v>1501</v>
      </c>
      <c r="D12">
        <v>-4</v>
      </c>
    </row>
    <row r="13" spans="1:4" x14ac:dyDescent="0.25">
      <c r="A13" t="s">
        <v>4</v>
      </c>
      <c r="B13" t="s">
        <v>1776</v>
      </c>
      <c r="C13" t="s">
        <v>1701</v>
      </c>
      <c r="D13">
        <v>-5</v>
      </c>
    </row>
    <row r="14" spans="1:4" x14ac:dyDescent="0.25">
      <c r="A14" t="s">
        <v>4</v>
      </c>
      <c r="B14" t="s">
        <v>101</v>
      </c>
      <c r="C14" t="s">
        <v>2607</v>
      </c>
      <c r="D14">
        <v>-6</v>
      </c>
    </row>
    <row r="15" spans="1:4" x14ac:dyDescent="0.25">
      <c r="A15" t="s">
        <v>4</v>
      </c>
      <c r="B15" t="s">
        <v>288</v>
      </c>
      <c r="C15" t="s">
        <v>703</v>
      </c>
      <c r="D15">
        <v>-3</v>
      </c>
    </row>
    <row r="16" spans="1:4" x14ac:dyDescent="0.25">
      <c r="A16" t="s">
        <v>4</v>
      </c>
      <c r="B16" t="s">
        <v>472</v>
      </c>
      <c r="C16" t="s">
        <v>1705</v>
      </c>
      <c r="D16">
        <v>-6</v>
      </c>
    </row>
    <row r="17" spans="1:4" x14ac:dyDescent="0.25">
      <c r="A17" t="s">
        <v>4</v>
      </c>
      <c r="B17" t="s">
        <v>228</v>
      </c>
      <c r="C17" t="s">
        <v>3585</v>
      </c>
      <c r="D17">
        <v>-9</v>
      </c>
    </row>
    <row r="18" spans="1:4" x14ac:dyDescent="0.25">
      <c r="A18" t="s">
        <v>4</v>
      </c>
      <c r="B18" t="s">
        <v>1112</v>
      </c>
      <c r="C18" t="s">
        <v>2432</v>
      </c>
      <c r="D18">
        <v>-7</v>
      </c>
    </row>
    <row r="19" spans="1:4" x14ac:dyDescent="0.25">
      <c r="A19" t="s">
        <v>4</v>
      </c>
      <c r="B19" t="s">
        <v>1019</v>
      </c>
      <c r="C19" t="s">
        <v>2433</v>
      </c>
      <c r="D19">
        <v>-9</v>
      </c>
    </row>
    <row r="20" spans="1:4" x14ac:dyDescent="0.25">
      <c r="A20" t="s">
        <v>4</v>
      </c>
      <c r="B20" t="s">
        <v>1988</v>
      </c>
      <c r="C20" t="s">
        <v>2404</v>
      </c>
      <c r="D20">
        <v>-6</v>
      </c>
    </row>
    <row r="21" spans="1:4" x14ac:dyDescent="0.25">
      <c r="A21" t="s">
        <v>4</v>
      </c>
      <c r="B21" t="s">
        <v>301</v>
      </c>
      <c r="C21" t="s">
        <v>48</v>
      </c>
      <c r="D21">
        <v>-3</v>
      </c>
    </row>
    <row r="22" spans="1:4" x14ac:dyDescent="0.25">
      <c r="A22" t="s">
        <v>40</v>
      </c>
      <c r="B22" t="s">
        <v>325</v>
      </c>
      <c r="C22" t="s">
        <v>2702</v>
      </c>
      <c r="D22">
        <v>-1</v>
      </c>
    </row>
    <row r="23" spans="1:4" x14ac:dyDescent="0.25">
      <c r="A23" t="s">
        <v>40</v>
      </c>
      <c r="B23" t="s">
        <v>325</v>
      </c>
      <c r="C23" t="s">
        <v>2780</v>
      </c>
      <c r="D23">
        <v>0</v>
      </c>
    </row>
    <row r="24" spans="1:4" x14ac:dyDescent="0.25">
      <c r="A24" t="s">
        <v>40</v>
      </c>
      <c r="B24" t="s">
        <v>2052</v>
      </c>
      <c r="C24" t="s">
        <v>592</v>
      </c>
      <c r="D24">
        <v>-2</v>
      </c>
    </row>
    <row r="25" spans="1:4" x14ac:dyDescent="0.25">
      <c r="A25" t="s">
        <v>40</v>
      </c>
      <c r="B25" t="s">
        <v>565</v>
      </c>
      <c r="C25" t="s">
        <v>2331</v>
      </c>
      <c r="D25">
        <v>0</v>
      </c>
    </row>
    <row r="26" spans="1:4" x14ac:dyDescent="0.25">
      <c r="A26" t="s">
        <v>40</v>
      </c>
      <c r="B26" t="s">
        <v>862</v>
      </c>
      <c r="C26" t="s">
        <v>1715</v>
      </c>
      <c r="D26">
        <v>-3</v>
      </c>
    </row>
    <row r="27" spans="1:4" x14ac:dyDescent="0.25">
      <c r="A27" t="s">
        <v>40</v>
      </c>
      <c r="B27" t="s">
        <v>175</v>
      </c>
      <c r="C27" t="s">
        <v>59</v>
      </c>
      <c r="D27">
        <v>-1</v>
      </c>
    </row>
    <row r="28" spans="1:4" x14ac:dyDescent="0.25">
      <c r="A28" t="s">
        <v>40</v>
      </c>
      <c r="B28" t="s">
        <v>405</v>
      </c>
      <c r="C28" t="s">
        <v>1212</v>
      </c>
      <c r="D28">
        <v>1</v>
      </c>
    </row>
    <row r="29" spans="1:4" x14ac:dyDescent="0.25">
      <c r="A29" t="s">
        <v>40</v>
      </c>
      <c r="B29" t="s">
        <v>2431</v>
      </c>
      <c r="C29" t="s">
        <v>63</v>
      </c>
      <c r="D29">
        <v>-1</v>
      </c>
    </row>
    <row r="30" spans="1:4" x14ac:dyDescent="0.25">
      <c r="A30" t="s">
        <v>40</v>
      </c>
      <c r="B30" t="s">
        <v>1349</v>
      </c>
      <c r="C30" t="s">
        <v>1717</v>
      </c>
      <c r="D30">
        <v>-4</v>
      </c>
    </row>
    <row r="31" spans="1:4" x14ac:dyDescent="0.25">
      <c r="A31" t="s">
        <v>40</v>
      </c>
      <c r="B31" t="s">
        <v>188</v>
      </c>
      <c r="C31" t="s">
        <v>69</v>
      </c>
      <c r="D31">
        <v>-6</v>
      </c>
    </row>
    <row r="32" spans="1:4" x14ac:dyDescent="0.25">
      <c r="A32" t="s">
        <v>40</v>
      </c>
      <c r="B32" t="s">
        <v>1536</v>
      </c>
      <c r="C32" t="s">
        <v>2128</v>
      </c>
      <c r="D32">
        <v>-5</v>
      </c>
    </row>
    <row r="33" spans="1:4" x14ac:dyDescent="0.25">
      <c r="A33" t="s">
        <v>40</v>
      </c>
      <c r="B33" t="s">
        <v>380</v>
      </c>
      <c r="C33" t="s">
        <v>2334</v>
      </c>
      <c r="D33">
        <v>-6</v>
      </c>
    </row>
    <row r="34" spans="1:4" x14ac:dyDescent="0.25">
      <c r="A34" t="s">
        <v>40</v>
      </c>
      <c r="B34" t="s">
        <v>380</v>
      </c>
      <c r="C34" t="s">
        <v>2213</v>
      </c>
      <c r="D34">
        <v>-7</v>
      </c>
    </row>
    <row r="35" spans="1:4" x14ac:dyDescent="0.25">
      <c r="A35" t="s">
        <v>40</v>
      </c>
      <c r="B35" t="s">
        <v>1619</v>
      </c>
      <c r="C35" t="s">
        <v>73</v>
      </c>
      <c r="D35">
        <v>-6</v>
      </c>
    </row>
    <row r="36" spans="1:4" x14ac:dyDescent="0.25">
      <c r="A36" t="s">
        <v>40</v>
      </c>
      <c r="B36" t="s">
        <v>1619</v>
      </c>
      <c r="C36" t="s">
        <v>1719</v>
      </c>
      <c r="D36">
        <v>-5</v>
      </c>
    </row>
    <row r="37" spans="1:4" x14ac:dyDescent="0.25">
      <c r="A37" t="s">
        <v>40</v>
      </c>
      <c r="B37" t="s">
        <v>877</v>
      </c>
      <c r="C37" t="s">
        <v>2215</v>
      </c>
      <c r="D37">
        <v>-7</v>
      </c>
    </row>
    <row r="38" spans="1:4" x14ac:dyDescent="0.25">
      <c r="A38" t="s">
        <v>40</v>
      </c>
      <c r="B38" t="s">
        <v>31</v>
      </c>
      <c r="C38" t="s">
        <v>3586</v>
      </c>
      <c r="D38">
        <v>-9</v>
      </c>
    </row>
    <row r="39" spans="1:4" x14ac:dyDescent="0.25">
      <c r="A39" t="s">
        <v>40</v>
      </c>
      <c r="B39" t="s">
        <v>1050</v>
      </c>
      <c r="C39" t="s">
        <v>3587</v>
      </c>
      <c r="D39">
        <v>-10</v>
      </c>
    </row>
    <row r="40" spans="1:4" x14ac:dyDescent="0.25">
      <c r="A40" t="s">
        <v>40</v>
      </c>
      <c r="B40" t="s">
        <v>1050</v>
      </c>
      <c r="C40" t="s">
        <v>2441</v>
      </c>
      <c r="D40">
        <v>-11</v>
      </c>
    </row>
    <row r="41" spans="1:4" x14ac:dyDescent="0.25">
      <c r="A41" t="s">
        <v>80</v>
      </c>
      <c r="B41" t="s">
        <v>1973</v>
      </c>
      <c r="C41" t="s">
        <v>3588</v>
      </c>
      <c r="D41">
        <v>-13</v>
      </c>
    </row>
    <row r="42" spans="1:4" x14ac:dyDescent="0.25">
      <c r="A42" t="s">
        <v>80</v>
      </c>
      <c r="B42" t="s">
        <v>1973</v>
      </c>
      <c r="C42" t="s">
        <v>3589</v>
      </c>
      <c r="D42">
        <v>-14</v>
      </c>
    </row>
    <row r="43" spans="1:4" x14ac:dyDescent="0.25">
      <c r="A43" t="s">
        <v>80</v>
      </c>
      <c r="B43" t="s">
        <v>1210</v>
      </c>
      <c r="C43" t="s">
        <v>3590</v>
      </c>
      <c r="D43">
        <v>-12</v>
      </c>
    </row>
    <row r="44" spans="1:4" x14ac:dyDescent="0.25">
      <c r="A44" t="s">
        <v>80</v>
      </c>
      <c r="B44" t="s">
        <v>723</v>
      </c>
      <c r="C44" t="s">
        <v>3591</v>
      </c>
      <c r="D44">
        <v>-10</v>
      </c>
    </row>
    <row r="45" spans="1:4" x14ac:dyDescent="0.25">
      <c r="A45" t="s">
        <v>80</v>
      </c>
      <c r="B45" t="s">
        <v>641</v>
      </c>
      <c r="C45" t="s">
        <v>3592</v>
      </c>
      <c r="D45">
        <v>-13</v>
      </c>
    </row>
    <row r="46" spans="1:4" x14ac:dyDescent="0.25">
      <c r="A46" t="s">
        <v>80</v>
      </c>
      <c r="B46" t="s">
        <v>621</v>
      </c>
      <c r="C46" t="s">
        <v>3593</v>
      </c>
      <c r="D46">
        <v>-11</v>
      </c>
    </row>
    <row r="47" spans="1:4" x14ac:dyDescent="0.25">
      <c r="A47" t="s">
        <v>80</v>
      </c>
      <c r="B47" t="s">
        <v>91</v>
      </c>
      <c r="C47" t="s">
        <v>3594</v>
      </c>
      <c r="D47">
        <v>-13</v>
      </c>
    </row>
    <row r="48" spans="1:4" x14ac:dyDescent="0.25">
      <c r="A48" t="s">
        <v>80</v>
      </c>
      <c r="B48" t="s">
        <v>179</v>
      </c>
      <c r="C48" t="s">
        <v>3595</v>
      </c>
      <c r="D48">
        <v>-12</v>
      </c>
    </row>
    <row r="49" spans="1:4" x14ac:dyDescent="0.25">
      <c r="A49" t="s">
        <v>80</v>
      </c>
      <c r="B49" t="s">
        <v>179</v>
      </c>
      <c r="C49" t="s">
        <v>3596</v>
      </c>
      <c r="D49">
        <v>-11</v>
      </c>
    </row>
    <row r="50" spans="1:4" x14ac:dyDescent="0.25">
      <c r="A50" t="s">
        <v>80</v>
      </c>
      <c r="B50" t="s">
        <v>259</v>
      </c>
      <c r="C50" t="s">
        <v>3597</v>
      </c>
      <c r="D50">
        <v>-13</v>
      </c>
    </row>
    <row r="51" spans="1:4" x14ac:dyDescent="0.25">
      <c r="A51" t="s">
        <v>80</v>
      </c>
      <c r="B51" t="s">
        <v>1776</v>
      </c>
      <c r="C51" t="s">
        <v>3598</v>
      </c>
      <c r="D51">
        <v>-15</v>
      </c>
    </row>
    <row r="52" spans="1:4" x14ac:dyDescent="0.25">
      <c r="A52" t="s">
        <v>80</v>
      </c>
      <c r="B52" t="s">
        <v>1855</v>
      </c>
      <c r="C52" t="s">
        <v>1898</v>
      </c>
      <c r="D52">
        <v>-17</v>
      </c>
    </row>
    <row r="53" spans="1:4" x14ac:dyDescent="0.25">
      <c r="A53" t="s">
        <v>80</v>
      </c>
      <c r="B53" t="s">
        <v>922</v>
      </c>
      <c r="C53" t="s">
        <v>3599</v>
      </c>
      <c r="D53">
        <v>-14</v>
      </c>
    </row>
    <row r="54" spans="1:4" x14ac:dyDescent="0.25">
      <c r="A54" t="s">
        <v>80</v>
      </c>
      <c r="B54" t="s">
        <v>577</v>
      </c>
      <c r="C54" t="s">
        <v>3600</v>
      </c>
      <c r="D54">
        <v>-13</v>
      </c>
    </row>
    <row r="55" spans="1:4" x14ac:dyDescent="0.25">
      <c r="A55" t="s">
        <v>80</v>
      </c>
      <c r="B55" t="s">
        <v>577</v>
      </c>
      <c r="C55" t="s">
        <v>831</v>
      </c>
      <c r="D55">
        <v>-12</v>
      </c>
    </row>
    <row r="56" spans="1:4" x14ac:dyDescent="0.25">
      <c r="A56" t="s">
        <v>80</v>
      </c>
      <c r="B56" t="s">
        <v>671</v>
      </c>
      <c r="C56" t="s">
        <v>3601</v>
      </c>
      <c r="D56">
        <v>-14</v>
      </c>
    </row>
    <row r="57" spans="1:4" x14ac:dyDescent="0.25">
      <c r="A57" t="s">
        <v>80</v>
      </c>
      <c r="B57" t="s">
        <v>118</v>
      </c>
      <c r="C57" t="s">
        <v>3602</v>
      </c>
      <c r="D57">
        <v>-11</v>
      </c>
    </row>
    <row r="58" spans="1:4" x14ac:dyDescent="0.25">
      <c r="A58" t="s">
        <v>80</v>
      </c>
      <c r="B58" t="s">
        <v>927</v>
      </c>
      <c r="C58" t="s">
        <v>3603</v>
      </c>
      <c r="D58">
        <v>-10</v>
      </c>
    </row>
    <row r="59" spans="1:4" x14ac:dyDescent="0.25">
      <c r="A59" t="s">
        <v>123</v>
      </c>
      <c r="B59" t="s">
        <v>237</v>
      </c>
      <c r="C59" t="s">
        <v>3604</v>
      </c>
      <c r="D59">
        <v>-12</v>
      </c>
    </row>
    <row r="60" spans="1:4" x14ac:dyDescent="0.25">
      <c r="A60" t="s">
        <v>123</v>
      </c>
      <c r="B60" t="s">
        <v>689</v>
      </c>
      <c r="C60" t="s">
        <v>3605</v>
      </c>
      <c r="D60">
        <v>-14</v>
      </c>
    </row>
    <row r="61" spans="1:4" x14ac:dyDescent="0.25">
      <c r="A61" t="s">
        <v>123</v>
      </c>
      <c r="B61" t="s">
        <v>723</v>
      </c>
      <c r="C61" t="s">
        <v>2575</v>
      </c>
      <c r="D61">
        <v>-11</v>
      </c>
    </row>
    <row r="62" spans="1:4" x14ac:dyDescent="0.25">
      <c r="A62" t="s">
        <v>123</v>
      </c>
      <c r="B62" t="s">
        <v>1498</v>
      </c>
      <c r="C62" t="s">
        <v>3606</v>
      </c>
      <c r="D62">
        <v>-14</v>
      </c>
    </row>
    <row r="63" spans="1:4" x14ac:dyDescent="0.25">
      <c r="A63" t="s">
        <v>123</v>
      </c>
      <c r="B63" t="s">
        <v>405</v>
      </c>
      <c r="C63" t="s">
        <v>3607</v>
      </c>
      <c r="D63">
        <v>-12</v>
      </c>
    </row>
    <row r="64" spans="1:4" x14ac:dyDescent="0.25">
      <c r="A64" t="s">
        <v>123</v>
      </c>
      <c r="B64" t="s">
        <v>184</v>
      </c>
      <c r="C64" t="s">
        <v>3608</v>
      </c>
      <c r="D64">
        <v>-14</v>
      </c>
    </row>
    <row r="65" spans="1:4" x14ac:dyDescent="0.25">
      <c r="A65" t="s">
        <v>123</v>
      </c>
      <c r="B65" t="s">
        <v>1288</v>
      </c>
      <c r="C65" t="s">
        <v>3609</v>
      </c>
      <c r="D65">
        <v>-12</v>
      </c>
    </row>
    <row r="66" spans="1:4" x14ac:dyDescent="0.25">
      <c r="A66" t="s">
        <v>123</v>
      </c>
      <c r="B66" t="s">
        <v>21</v>
      </c>
      <c r="C66" t="s">
        <v>2968</v>
      </c>
      <c r="D66">
        <v>-10</v>
      </c>
    </row>
    <row r="67" spans="1:4" x14ac:dyDescent="0.25">
      <c r="A67" t="s">
        <v>123</v>
      </c>
      <c r="B67" t="s">
        <v>1436</v>
      </c>
      <c r="C67" t="s">
        <v>1241</v>
      </c>
      <c r="D67">
        <v>-9</v>
      </c>
    </row>
    <row r="68" spans="1:4" x14ac:dyDescent="0.25">
      <c r="A68" t="s">
        <v>123</v>
      </c>
      <c r="B68" t="s">
        <v>1436</v>
      </c>
      <c r="C68" t="s">
        <v>283</v>
      </c>
      <c r="D68">
        <v>-8</v>
      </c>
    </row>
    <row r="69" spans="1:4" x14ac:dyDescent="0.25">
      <c r="A69" t="s">
        <v>123</v>
      </c>
      <c r="B69" t="s">
        <v>605</v>
      </c>
      <c r="C69" t="s">
        <v>1539</v>
      </c>
      <c r="D69">
        <v>-10</v>
      </c>
    </row>
    <row r="70" spans="1:4" x14ac:dyDescent="0.25">
      <c r="A70" t="s">
        <v>123</v>
      </c>
      <c r="B70" t="s">
        <v>472</v>
      </c>
      <c r="C70" t="s">
        <v>1540</v>
      </c>
      <c r="D70">
        <v>-12</v>
      </c>
    </row>
    <row r="71" spans="1:4" x14ac:dyDescent="0.25">
      <c r="A71" t="s">
        <v>123</v>
      </c>
      <c r="B71" t="s">
        <v>477</v>
      </c>
      <c r="C71" t="s">
        <v>2619</v>
      </c>
      <c r="D71">
        <v>-15</v>
      </c>
    </row>
    <row r="72" spans="1:4" x14ac:dyDescent="0.25">
      <c r="A72" t="s">
        <v>123</v>
      </c>
      <c r="B72" t="s">
        <v>29</v>
      </c>
      <c r="C72" t="s">
        <v>1247</v>
      </c>
      <c r="D72">
        <v>-14</v>
      </c>
    </row>
    <row r="73" spans="1:4" x14ac:dyDescent="0.25">
      <c r="A73" t="s">
        <v>123</v>
      </c>
      <c r="B73" t="s">
        <v>29</v>
      </c>
      <c r="C73" t="s">
        <v>1786</v>
      </c>
      <c r="D73">
        <v>-13</v>
      </c>
    </row>
    <row r="74" spans="1:4" x14ac:dyDescent="0.25">
      <c r="A74" t="s">
        <v>123</v>
      </c>
      <c r="B74" t="s">
        <v>392</v>
      </c>
      <c r="C74" t="s">
        <v>2771</v>
      </c>
      <c r="D74">
        <v>-11</v>
      </c>
    </row>
    <row r="75" spans="1:4" x14ac:dyDescent="0.25">
      <c r="A75" t="s">
        <v>123</v>
      </c>
      <c r="B75" t="s">
        <v>1437</v>
      </c>
      <c r="C75" t="s">
        <v>3610</v>
      </c>
      <c r="D75">
        <v>-13</v>
      </c>
    </row>
    <row r="76" spans="1:4" x14ac:dyDescent="0.25">
      <c r="A76" t="s">
        <v>123</v>
      </c>
      <c r="B76" t="s">
        <v>1437</v>
      </c>
      <c r="C76" t="s">
        <v>3100</v>
      </c>
      <c r="D76">
        <v>-14</v>
      </c>
    </row>
    <row r="77" spans="1:4" x14ac:dyDescent="0.25">
      <c r="A77" t="s">
        <v>123</v>
      </c>
      <c r="B77" t="s">
        <v>294</v>
      </c>
      <c r="C77" t="s">
        <v>2772</v>
      </c>
      <c r="D77">
        <v>-12</v>
      </c>
    </row>
    <row r="78" spans="1:4" x14ac:dyDescent="0.25">
      <c r="A78" t="s">
        <v>123</v>
      </c>
      <c r="B78" t="s">
        <v>2608</v>
      </c>
      <c r="C78" t="s">
        <v>2773</v>
      </c>
      <c r="D78">
        <v>-11</v>
      </c>
    </row>
    <row r="79" spans="1:4" x14ac:dyDescent="0.25">
      <c r="A79" t="s">
        <v>123</v>
      </c>
      <c r="B79" t="s">
        <v>2608</v>
      </c>
      <c r="C79" t="s">
        <v>2429</v>
      </c>
      <c r="D79">
        <v>-10</v>
      </c>
    </row>
    <row r="81" spans="1:4" x14ac:dyDescent="0.25">
      <c r="A81" s="2" t="s">
        <v>157</v>
      </c>
    </row>
    <row r="82" spans="1:4" x14ac:dyDescent="0.25">
      <c r="A82" t="s">
        <v>158</v>
      </c>
      <c r="D82">
        <f>AVERAGE(D2:D79)</f>
        <v>-7.8717948717948714</v>
      </c>
    </row>
    <row r="83" spans="1:4" x14ac:dyDescent="0.25">
      <c r="A83" t="s">
        <v>159</v>
      </c>
      <c r="D83">
        <f>MAX(D2:D79)</f>
        <v>3</v>
      </c>
    </row>
    <row r="84" spans="1:4" x14ac:dyDescent="0.25">
      <c r="A84" t="s">
        <v>160</v>
      </c>
      <c r="D84">
        <f>MIN(D2:D79)</f>
        <v>-17</v>
      </c>
    </row>
    <row r="85" spans="1:4" x14ac:dyDescent="0.25">
      <c r="A85" t="s">
        <v>161</v>
      </c>
      <c r="D85">
        <f>COUNTIF(D2:D79,"&gt;0")</f>
        <v>6</v>
      </c>
    </row>
    <row r="86" spans="1:4" x14ac:dyDescent="0.25">
      <c r="A86" t="s">
        <v>162</v>
      </c>
      <c r="D86">
        <f>COUNTIF(D2:D79,"=0")</f>
        <v>5</v>
      </c>
    </row>
    <row r="87" spans="1:4" x14ac:dyDescent="0.25">
      <c r="A87" t="s">
        <v>1186</v>
      </c>
      <c r="D87">
        <f>COUNTIF(D2:D79,"&lt;0")</f>
        <v>67</v>
      </c>
    </row>
    <row r="89" spans="1:4" x14ac:dyDescent="0.25">
      <c r="A89" s="2" t="s">
        <v>164</v>
      </c>
    </row>
    <row r="90" spans="1:4" x14ac:dyDescent="0.25">
      <c r="A90" t="s">
        <v>165</v>
      </c>
      <c r="D90">
        <f>AVERAGE(D2,D3,D4,D5,D6,D7,D8,D9,D10,D11,D12,D13,D14,D15,D16,D17,D18,D19,D20,D21)</f>
        <v>-2.6</v>
      </c>
    </row>
    <row r="91" spans="1:4" x14ac:dyDescent="0.25">
      <c r="A91" t="s">
        <v>166</v>
      </c>
      <c r="D91">
        <f>AVERAGE(D22,D23,D24,D25,D26,D27,D28,D29,D30,D31,D32,D33,D34,D35,D36,D37,D38,D39,D40)</f>
        <v>-4.3684210526315788</v>
      </c>
    </row>
    <row r="92" spans="1:4" x14ac:dyDescent="0.25">
      <c r="A92" t="s">
        <v>167</v>
      </c>
      <c r="D92">
        <f>AVERAGE(D41,D42,D43,D44,D45,D46,D47,D48,D49,D50,D51,D52,D53,D54,D55,D56,D57,D58)</f>
        <v>-12.666666666666666</v>
      </c>
    </row>
    <row r="93" spans="1:4" x14ac:dyDescent="0.25">
      <c r="A93" t="s">
        <v>168</v>
      </c>
      <c r="D93">
        <f>AVERAGE(D59,D60,D61,D62,D63,D64,D65,D66,D67,D68,D69,D70,D71,D72,D73,D74,D75,D76,D77,D78,D79)</f>
        <v>-11.952380952380953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1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453</v>
      </c>
      <c r="C2" t="s">
        <v>908</v>
      </c>
      <c r="D2">
        <v>-2</v>
      </c>
    </row>
    <row r="3" spans="1:4" x14ac:dyDescent="0.25">
      <c r="A3" t="s">
        <v>4</v>
      </c>
      <c r="B3" t="s">
        <v>271</v>
      </c>
      <c r="C3" t="s">
        <v>174</v>
      </c>
      <c r="D3">
        <v>1</v>
      </c>
    </row>
    <row r="4" spans="1:4" x14ac:dyDescent="0.25">
      <c r="A4" t="s">
        <v>4</v>
      </c>
      <c r="B4" t="s">
        <v>273</v>
      </c>
      <c r="C4" t="s">
        <v>910</v>
      </c>
      <c r="D4">
        <v>-2</v>
      </c>
    </row>
    <row r="5" spans="1:4" x14ac:dyDescent="0.25">
      <c r="A5" t="s">
        <v>4</v>
      </c>
      <c r="B5" t="s">
        <v>9</v>
      </c>
      <c r="C5" t="s">
        <v>2430</v>
      </c>
      <c r="D5">
        <v>0</v>
      </c>
    </row>
    <row r="6" spans="1:4" x14ac:dyDescent="0.25">
      <c r="A6" t="s">
        <v>4</v>
      </c>
      <c r="B6" t="s">
        <v>85</v>
      </c>
      <c r="C6" t="s">
        <v>913</v>
      </c>
      <c r="D6">
        <v>-2</v>
      </c>
    </row>
    <row r="7" spans="1:4" x14ac:dyDescent="0.25">
      <c r="A7" t="s">
        <v>4</v>
      </c>
      <c r="B7" t="s">
        <v>641</v>
      </c>
      <c r="C7" t="s">
        <v>1635</v>
      </c>
      <c r="D7">
        <v>-5</v>
      </c>
    </row>
    <row r="8" spans="1:4" x14ac:dyDescent="0.25">
      <c r="A8" t="s">
        <v>4</v>
      </c>
      <c r="B8" t="s">
        <v>865</v>
      </c>
      <c r="C8" t="s">
        <v>436</v>
      </c>
      <c r="D8">
        <v>-3</v>
      </c>
    </row>
    <row r="9" spans="1:4" x14ac:dyDescent="0.25">
      <c r="A9" t="s">
        <v>4</v>
      </c>
      <c r="B9" t="s">
        <v>1958</v>
      </c>
      <c r="C9" t="s">
        <v>3611</v>
      </c>
      <c r="D9">
        <v>-4</v>
      </c>
    </row>
    <row r="10" spans="1:4" x14ac:dyDescent="0.25">
      <c r="A10" t="s">
        <v>4</v>
      </c>
      <c r="B10" t="s">
        <v>1432</v>
      </c>
      <c r="C10" t="s">
        <v>1637</v>
      </c>
      <c r="D10">
        <v>-6</v>
      </c>
    </row>
    <row r="11" spans="1:4" x14ac:dyDescent="0.25">
      <c r="A11" t="s">
        <v>4</v>
      </c>
      <c r="B11" t="s">
        <v>58</v>
      </c>
      <c r="C11" t="s">
        <v>1639</v>
      </c>
      <c r="D11">
        <v>-8</v>
      </c>
    </row>
    <row r="12" spans="1:4" x14ac:dyDescent="0.25">
      <c r="A12" t="s">
        <v>4</v>
      </c>
      <c r="B12" t="s">
        <v>60</v>
      </c>
      <c r="C12" t="s">
        <v>1642</v>
      </c>
      <c r="D12">
        <v>-10</v>
      </c>
    </row>
    <row r="13" spans="1:4" x14ac:dyDescent="0.25">
      <c r="A13" t="s">
        <v>4</v>
      </c>
      <c r="B13" t="s">
        <v>1795</v>
      </c>
      <c r="C13" t="s">
        <v>2396</v>
      </c>
      <c r="D13">
        <v>-8</v>
      </c>
    </row>
    <row r="14" spans="1:4" x14ac:dyDescent="0.25">
      <c r="A14" t="s">
        <v>4</v>
      </c>
      <c r="B14" t="s">
        <v>190</v>
      </c>
      <c r="C14" t="s">
        <v>1502</v>
      </c>
      <c r="D14">
        <v>-7</v>
      </c>
    </row>
    <row r="15" spans="1:4" x14ac:dyDescent="0.25">
      <c r="A15" t="s">
        <v>4</v>
      </c>
      <c r="B15" t="s">
        <v>67</v>
      </c>
      <c r="C15" t="s">
        <v>3612</v>
      </c>
      <c r="D15">
        <v>-10</v>
      </c>
    </row>
    <row r="16" spans="1:4" x14ac:dyDescent="0.25">
      <c r="A16" t="s">
        <v>4</v>
      </c>
      <c r="B16" t="s">
        <v>25</v>
      </c>
      <c r="C16" t="s">
        <v>3613</v>
      </c>
      <c r="D16">
        <v>-7</v>
      </c>
    </row>
    <row r="17" spans="1:4" x14ac:dyDescent="0.25">
      <c r="A17" t="s">
        <v>4</v>
      </c>
      <c r="B17" t="s">
        <v>749</v>
      </c>
      <c r="C17" t="s">
        <v>3614</v>
      </c>
      <c r="D17">
        <v>-8</v>
      </c>
    </row>
    <row r="18" spans="1:4" x14ac:dyDescent="0.25">
      <c r="A18" t="s">
        <v>4</v>
      </c>
      <c r="B18" t="s">
        <v>749</v>
      </c>
      <c r="C18" t="s">
        <v>3585</v>
      </c>
      <c r="D18">
        <v>-9</v>
      </c>
    </row>
    <row r="19" spans="1:4" x14ac:dyDescent="0.25">
      <c r="A19" t="s">
        <v>4</v>
      </c>
      <c r="B19" t="s">
        <v>749</v>
      </c>
      <c r="C19" t="s">
        <v>3615</v>
      </c>
      <c r="D19">
        <v>-10</v>
      </c>
    </row>
    <row r="20" spans="1:4" x14ac:dyDescent="0.25">
      <c r="A20" t="s">
        <v>4</v>
      </c>
      <c r="B20" t="s">
        <v>1396</v>
      </c>
      <c r="C20" t="s">
        <v>3616</v>
      </c>
      <c r="D20">
        <v>-9</v>
      </c>
    </row>
    <row r="21" spans="1:4" x14ac:dyDescent="0.25">
      <c r="A21" t="s">
        <v>4</v>
      </c>
      <c r="B21" t="s">
        <v>1396</v>
      </c>
      <c r="C21" t="s">
        <v>3617</v>
      </c>
      <c r="D21">
        <v>-8</v>
      </c>
    </row>
    <row r="22" spans="1:4" x14ac:dyDescent="0.25">
      <c r="A22" t="s">
        <v>4</v>
      </c>
      <c r="B22" t="s">
        <v>1844</v>
      </c>
      <c r="C22" t="s">
        <v>3618</v>
      </c>
      <c r="D22">
        <v>-11</v>
      </c>
    </row>
    <row r="23" spans="1:4" x14ac:dyDescent="0.25">
      <c r="A23" t="s">
        <v>4</v>
      </c>
      <c r="B23" t="s">
        <v>72</v>
      </c>
      <c r="C23" t="s">
        <v>3619</v>
      </c>
      <c r="D23">
        <v>-8</v>
      </c>
    </row>
    <row r="24" spans="1:4" x14ac:dyDescent="0.25">
      <c r="A24" t="s">
        <v>4</v>
      </c>
      <c r="B24" t="s">
        <v>74</v>
      </c>
      <c r="C24" t="s">
        <v>3620</v>
      </c>
      <c r="D24">
        <v>-10</v>
      </c>
    </row>
    <row r="25" spans="1:4" x14ac:dyDescent="0.25">
      <c r="A25" t="s">
        <v>4</v>
      </c>
      <c r="B25" t="s">
        <v>301</v>
      </c>
      <c r="C25" t="s">
        <v>3621</v>
      </c>
      <c r="D25">
        <v>-8</v>
      </c>
    </row>
    <row r="26" spans="1:4" x14ac:dyDescent="0.25">
      <c r="A26" t="s">
        <v>4</v>
      </c>
      <c r="B26" t="s">
        <v>1002</v>
      </c>
      <c r="C26" t="s">
        <v>3622</v>
      </c>
      <c r="D26">
        <v>-10</v>
      </c>
    </row>
    <row r="27" spans="1:4" x14ac:dyDescent="0.25">
      <c r="A27" t="s">
        <v>4</v>
      </c>
      <c r="B27" t="s">
        <v>1002</v>
      </c>
      <c r="C27" t="s">
        <v>3623</v>
      </c>
      <c r="D27">
        <v>-11</v>
      </c>
    </row>
    <row r="28" spans="1:4" x14ac:dyDescent="0.25">
      <c r="A28" t="s">
        <v>4</v>
      </c>
      <c r="B28" t="s">
        <v>38</v>
      </c>
      <c r="C28" t="s">
        <v>3624</v>
      </c>
      <c r="D28">
        <v>-9</v>
      </c>
    </row>
    <row r="29" spans="1:4" x14ac:dyDescent="0.25">
      <c r="A29" t="s">
        <v>40</v>
      </c>
      <c r="B29" t="s">
        <v>795</v>
      </c>
      <c r="C29" t="s">
        <v>2208</v>
      </c>
      <c r="D29">
        <v>-7</v>
      </c>
    </row>
    <row r="30" spans="1:4" x14ac:dyDescent="0.25">
      <c r="A30" t="s">
        <v>40</v>
      </c>
      <c r="B30" t="s">
        <v>1007</v>
      </c>
      <c r="C30" t="s">
        <v>2861</v>
      </c>
      <c r="D30">
        <v>-10</v>
      </c>
    </row>
    <row r="31" spans="1:4" x14ac:dyDescent="0.25">
      <c r="A31" t="s">
        <v>40</v>
      </c>
      <c r="B31" t="s">
        <v>689</v>
      </c>
      <c r="C31" t="s">
        <v>2211</v>
      </c>
      <c r="D31">
        <v>-7</v>
      </c>
    </row>
    <row r="32" spans="1:4" x14ac:dyDescent="0.25">
      <c r="A32" t="s">
        <v>40</v>
      </c>
      <c r="B32" t="s">
        <v>757</v>
      </c>
      <c r="C32" t="s">
        <v>3625</v>
      </c>
      <c r="D32">
        <v>-10</v>
      </c>
    </row>
    <row r="33" spans="1:4" x14ac:dyDescent="0.25">
      <c r="A33" t="s">
        <v>40</v>
      </c>
      <c r="B33" t="s">
        <v>1691</v>
      </c>
      <c r="C33" t="s">
        <v>806</v>
      </c>
      <c r="D33">
        <v>-9</v>
      </c>
    </row>
    <row r="34" spans="1:4" x14ac:dyDescent="0.25">
      <c r="A34" t="s">
        <v>40</v>
      </c>
      <c r="B34" t="s">
        <v>1691</v>
      </c>
      <c r="C34" t="s">
        <v>608</v>
      </c>
      <c r="D34">
        <v>-8</v>
      </c>
    </row>
    <row r="35" spans="1:4" x14ac:dyDescent="0.25">
      <c r="A35" t="s">
        <v>40</v>
      </c>
      <c r="B35" t="s">
        <v>273</v>
      </c>
      <c r="C35" t="s">
        <v>3626</v>
      </c>
      <c r="D35">
        <v>-10</v>
      </c>
    </row>
    <row r="36" spans="1:4" x14ac:dyDescent="0.25">
      <c r="A36" t="s">
        <v>40</v>
      </c>
      <c r="B36" t="s">
        <v>1408</v>
      </c>
      <c r="C36" t="s">
        <v>2335</v>
      </c>
      <c r="D36">
        <v>-8</v>
      </c>
    </row>
    <row r="37" spans="1:4" x14ac:dyDescent="0.25">
      <c r="A37" t="s">
        <v>40</v>
      </c>
      <c r="B37" t="s">
        <v>641</v>
      </c>
      <c r="C37" t="s">
        <v>3627</v>
      </c>
      <c r="D37">
        <v>-10</v>
      </c>
    </row>
    <row r="38" spans="1:4" x14ac:dyDescent="0.25">
      <c r="A38" t="s">
        <v>40</v>
      </c>
      <c r="B38" t="s">
        <v>275</v>
      </c>
      <c r="C38" t="s">
        <v>3628</v>
      </c>
      <c r="D38">
        <v>-12</v>
      </c>
    </row>
    <row r="39" spans="1:4" x14ac:dyDescent="0.25">
      <c r="A39" t="s">
        <v>40</v>
      </c>
      <c r="B39" t="s">
        <v>363</v>
      </c>
      <c r="C39" t="s">
        <v>3587</v>
      </c>
      <c r="D39">
        <v>-10</v>
      </c>
    </row>
    <row r="40" spans="1:4" x14ac:dyDescent="0.25">
      <c r="A40" t="s">
        <v>40</v>
      </c>
      <c r="B40" t="s">
        <v>1227</v>
      </c>
      <c r="C40" t="s">
        <v>615</v>
      </c>
      <c r="D40">
        <v>-7</v>
      </c>
    </row>
    <row r="41" spans="1:4" x14ac:dyDescent="0.25">
      <c r="A41" t="s">
        <v>40</v>
      </c>
      <c r="B41" t="s">
        <v>1775</v>
      </c>
      <c r="C41" t="s">
        <v>86</v>
      </c>
      <c r="D41">
        <v>-9</v>
      </c>
    </row>
    <row r="42" spans="1:4" x14ac:dyDescent="0.25">
      <c r="A42" t="s">
        <v>40</v>
      </c>
      <c r="B42" t="s">
        <v>219</v>
      </c>
      <c r="C42" t="s">
        <v>2219</v>
      </c>
      <c r="D42">
        <v>-6</v>
      </c>
    </row>
    <row r="43" spans="1:4" x14ac:dyDescent="0.25">
      <c r="A43" t="s">
        <v>40</v>
      </c>
      <c r="B43" t="s">
        <v>284</v>
      </c>
      <c r="C43" t="s">
        <v>620</v>
      </c>
      <c r="D43">
        <v>-9</v>
      </c>
    </row>
    <row r="44" spans="1:4" x14ac:dyDescent="0.25">
      <c r="A44" t="s">
        <v>40</v>
      </c>
      <c r="B44" t="s">
        <v>1481</v>
      </c>
      <c r="C44" t="s">
        <v>3593</v>
      </c>
      <c r="D44">
        <v>-11</v>
      </c>
    </row>
    <row r="45" spans="1:4" x14ac:dyDescent="0.25">
      <c r="A45" t="s">
        <v>40</v>
      </c>
      <c r="B45" t="s">
        <v>1129</v>
      </c>
      <c r="C45" t="s">
        <v>2444</v>
      </c>
      <c r="D45">
        <v>-9</v>
      </c>
    </row>
    <row r="46" spans="1:4" x14ac:dyDescent="0.25">
      <c r="A46" t="s">
        <v>40</v>
      </c>
      <c r="B46" t="s">
        <v>198</v>
      </c>
      <c r="C46" t="s">
        <v>98</v>
      </c>
      <c r="D46">
        <v>-8</v>
      </c>
    </row>
    <row r="47" spans="1:4" x14ac:dyDescent="0.25">
      <c r="A47" t="s">
        <v>40</v>
      </c>
      <c r="B47" t="s">
        <v>198</v>
      </c>
      <c r="C47" t="s">
        <v>2566</v>
      </c>
      <c r="D47">
        <v>-7</v>
      </c>
    </row>
    <row r="48" spans="1:4" x14ac:dyDescent="0.25">
      <c r="A48" t="s">
        <v>40</v>
      </c>
      <c r="B48" t="s">
        <v>1177</v>
      </c>
      <c r="C48" t="s">
        <v>824</v>
      </c>
      <c r="D48">
        <v>-8</v>
      </c>
    </row>
    <row r="49" spans="1:4" x14ac:dyDescent="0.25">
      <c r="A49" t="s">
        <v>40</v>
      </c>
      <c r="B49" t="s">
        <v>1177</v>
      </c>
      <c r="C49" t="s">
        <v>825</v>
      </c>
      <c r="D49">
        <v>-9</v>
      </c>
    </row>
    <row r="50" spans="1:4" x14ac:dyDescent="0.25">
      <c r="A50" t="s">
        <v>40</v>
      </c>
      <c r="B50" t="s">
        <v>320</v>
      </c>
      <c r="C50" t="s">
        <v>1766</v>
      </c>
      <c r="D50">
        <v>-6</v>
      </c>
    </row>
    <row r="51" spans="1:4" x14ac:dyDescent="0.25">
      <c r="A51" t="s">
        <v>40</v>
      </c>
      <c r="B51" t="s">
        <v>927</v>
      </c>
      <c r="C51" t="s">
        <v>1767</v>
      </c>
      <c r="D51">
        <v>-4</v>
      </c>
    </row>
    <row r="52" spans="1:4" x14ac:dyDescent="0.25">
      <c r="A52" t="s">
        <v>40</v>
      </c>
      <c r="B52" t="s">
        <v>396</v>
      </c>
      <c r="C52" t="s">
        <v>2226</v>
      </c>
      <c r="D52">
        <v>-7</v>
      </c>
    </row>
    <row r="53" spans="1:4" x14ac:dyDescent="0.25">
      <c r="A53" t="s">
        <v>80</v>
      </c>
      <c r="B53" t="s">
        <v>2443</v>
      </c>
      <c r="C53" t="s">
        <v>2227</v>
      </c>
      <c r="D53">
        <v>-5</v>
      </c>
    </row>
    <row r="54" spans="1:4" x14ac:dyDescent="0.25">
      <c r="A54" t="s">
        <v>80</v>
      </c>
      <c r="B54" t="s">
        <v>2405</v>
      </c>
      <c r="C54" t="s">
        <v>750</v>
      </c>
      <c r="D54">
        <v>-3</v>
      </c>
    </row>
    <row r="55" spans="1:4" x14ac:dyDescent="0.25">
      <c r="A55" t="s">
        <v>80</v>
      </c>
      <c r="B55" t="s">
        <v>1851</v>
      </c>
      <c r="C55" t="s">
        <v>268</v>
      </c>
      <c r="D55">
        <v>-5</v>
      </c>
    </row>
    <row r="56" spans="1:4" x14ac:dyDescent="0.25">
      <c r="A56" t="s">
        <v>80</v>
      </c>
      <c r="B56" t="s">
        <v>800</v>
      </c>
      <c r="C56" t="s">
        <v>837</v>
      </c>
      <c r="D56">
        <v>-6</v>
      </c>
    </row>
    <row r="57" spans="1:4" x14ac:dyDescent="0.25">
      <c r="A57" t="s">
        <v>80</v>
      </c>
      <c r="B57" t="s">
        <v>759</v>
      </c>
      <c r="C57" t="s">
        <v>1233</v>
      </c>
      <c r="D57">
        <v>-7</v>
      </c>
    </row>
    <row r="58" spans="1:4" x14ac:dyDescent="0.25">
      <c r="A58" t="s">
        <v>80</v>
      </c>
      <c r="B58" t="s">
        <v>759</v>
      </c>
      <c r="C58" t="s">
        <v>2137</v>
      </c>
      <c r="D58">
        <v>-8</v>
      </c>
    </row>
    <row r="59" spans="1:4" x14ac:dyDescent="0.25">
      <c r="A59" t="s">
        <v>80</v>
      </c>
      <c r="B59" t="s">
        <v>1011</v>
      </c>
      <c r="C59" t="s">
        <v>3629</v>
      </c>
      <c r="D59">
        <v>-10</v>
      </c>
    </row>
    <row r="60" spans="1:4" x14ac:dyDescent="0.25">
      <c r="A60" t="s">
        <v>80</v>
      </c>
      <c r="B60" t="s">
        <v>1693</v>
      </c>
      <c r="C60" t="s">
        <v>3630</v>
      </c>
      <c r="D60">
        <v>-12</v>
      </c>
    </row>
    <row r="61" spans="1:4" x14ac:dyDescent="0.25">
      <c r="A61" t="s">
        <v>80</v>
      </c>
      <c r="B61" t="s">
        <v>433</v>
      </c>
      <c r="C61" t="s">
        <v>3631</v>
      </c>
      <c r="D61">
        <v>-14</v>
      </c>
    </row>
    <row r="62" spans="1:4" x14ac:dyDescent="0.25">
      <c r="A62" t="s">
        <v>80</v>
      </c>
      <c r="B62" t="s">
        <v>1475</v>
      </c>
      <c r="C62" t="s">
        <v>3632</v>
      </c>
      <c r="D62">
        <v>-17</v>
      </c>
    </row>
    <row r="63" spans="1:4" x14ac:dyDescent="0.25">
      <c r="A63" t="s">
        <v>80</v>
      </c>
      <c r="B63" t="s">
        <v>2250</v>
      </c>
      <c r="C63" t="s">
        <v>3633</v>
      </c>
      <c r="D63">
        <v>-18</v>
      </c>
    </row>
    <row r="64" spans="1:4" x14ac:dyDescent="0.25">
      <c r="A64" t="s">
        <v>80</v>
      </c>
      <c r="B64" t="s">
        <v>2250</v>
      </c>
      <c r="C64" t="s">
        <v>3634</v>
      </c>
      <c r="D64">
        <v>-19</v>
      </c>
    </row>
    <row r="65" spans="1:4" x14ac:dyDescent="0.25">
      <c r="A65" t="s">
        <v>80</v>
      </c>
      <c r="B65" t="s">
        <v>104</v>
      </c>
      <c r="C65" t="s">
        <v>3635</v>
      </c>
      <c r="D65">
        <v>-18</v>
      </c>
    </row>
    <row r="66" spans="1:4" x14ac:dyDescent="0.25">
      <c r="A66" t="s">
        <v>80</v>
      </c>
      <c r="B66" t="s">
        <v>104</v>
      </c>
      <c r="C66" t="s">
        <v>3636</v>
      </c>
      <c r="D66">
        <v>-17</v>
      </c>
    </row>
    <row r="67" spans="1:4" x14ac:dyDescent="0.25">
      <c r="A67" t="s">
        <v>80</v>
      </c>
      <c r="B67" t="s">
        <v>1602</v>
      </c>
      <c r="C67" t="s">
        <v>3637</v>
      </c>
      <c r="D67">
        <v>-19</v>
      </c>
    </row>
    <row r="68" spans="1:4" x14ac:dyDescent="0.25">
      <c r="A68" t="s">
        <v>80</v>
      </c>
      <c r="B68" t="s">
        <v>142</v>
      </c>
      <c r="C68" t="s">
        <v>3638</v>
      </c>
      <c r="D68">
        <v>-17</v>
      </c>
    </row>
    <row r="69" spans="1:4" x14ac:dyDescent="0.25">
      <c r="A69" t="s">
        <v>80</v>
      </c>
      <c r="B69" t="s">
        <v>142</v>
      </c>
      <c r="C69" t="s">
        <v>3639</v>
      </c>
      <c r="D69">
        <v>-16</v>
      </c>
    </row>
    <row r="70" spans="1:4" x14ac:dyDescent="0.25">
      <c r="A70" t="s">
        <v>80</v>
      </c>
      <c r="B70" t="s">
        <v>1040</v>
      </c>
      <c r="C70" t="s">
        <v>3640</v>
      </c>
      <c r="D70">
        <v>-19</v>
      </c>
    </row>
    <row r="71" spans="1:4" x14ac:dyDescent="0.25">
      <c r="A71" t="s">
        <v>80</v>
      </c>
      <c r="B71" t="s">
        <v>1398</v>
      </c>
      <c r="C71" t="s">
        <v>3641</v>
      </c>
      <c r="D71">
        <v>-21</v>
      </c>
    </row>
    <row r="72" spans="1:4" x14ac:dyDescent="0.25">
      <c r="A72" t="s">
        <v>80</v>
      </c>
      <c r="B72" t="s">
        <v>582</v>
      </c>
      <c r="C72" t="s">
        <v>3642</v>
      </c>
      <c r="D72">
        <v>-23</v>
      </c>
    </row>
    <row r="73" spans="1:4" x14ac:dyDescent="0.25">
      <c r="A73" t="s">
        <v>80</v>
      </c>
      <c r="B73" t="s">
        <v>683</v>
      </c>
      <c r="C73" t="s">
        <v>3643</v>
      </c>
      <c r="D73">
        <v>-21</v>
      </c>
    </row>
    <row r="74" spans="1:4" x14ac:dyDescent="0.25">
      <c r="A74" t="s">
        <v>80</v>
      </c>
      <c r="B74" t="s">
        <v>396</v>
      </c>
      <c r="C74" t="s">
        <v>3644</v>
      </c>
      <c r="D74">
        <v>-24</v>
      </c>
    </row>
    <row r="75" spans="1:4" x14ac:dyDescent="0.25">
      <c r="A75" t="s">
        <v>123</v>
      </c>
      <c r="B75" t="s">
        <v>237</v>
      </c>
      <c r="C75" t="s">
        <v>2588</v>
      </c>
      <c r="D75">
        <v>-21</v>
      </c>
    </row>
    <row r="76" spans="1:4" x14ac:dyDescent="0.25">
      <c r="A76" t="s">
        <v>123</v>
      </c>
      <c r="B76" t="s">
        <v>81</v>
      </c>
      <c r="C76" t="s">
        <v>3645</v>
      </c>
      <c r="D76">
        <v>-19</v>
      </c>
    </row>
    <row r="77" spans="1:4" x14ac:dyDescent="0.25">
      <c r="A77" t="s">
        <v>123</v>
      </c>
      <c r="B77" t="s">
        <v>859</v>
      </c>
      <c r="C77" t="s">
        <v>2590</v>
      </c>
      <c r="D77">
        <v>-16</v>
      </c>
    </row>
    <row r="78" spans="1:4" x14ac:dyDescent="0.25">
      <c r="A78" t="s">
        <v>123</v>
      </c>
      <c r="B78" t="s">
        <v>355</v>
      </c>
      <c r="C78" t="s">
        <v>1552</v>
      </c>
      <c r="D78">
        <v>-14</v>
      </c>
    </row>
    <row r="79" spans="1:4" x14ac:dyDescent="0.25">
      <c r="A79" t="s">
        <v>123</v>
      </c>
      <c r="B79" t="s">
        <v>175</v>
      </c>
      <c r="C79" t="s">
        <v>3646</v>
      </c>
      <c r="D79">
        <v>-16</v>
      </c>
    </row>
    <row r="80" spans="1:4" x14ac:dyDescent="0.25">
      <c r="A80" t="s">
        <v>123</v>
      </c>
      <c r="B80" t="s">
        <v>431</v>
      </c>
      <c r="C80" t="s">
        <v>3647</v>
      </c>
      <c r="D80">
        <v>-13</v>
      </c>
    </row>
    <row r="81" spans="1:4" x14ac:dyDescent="0.25">
      <c r="A81" t="s">
        <v>123</v>
      </c>
      <c r="B81" t="s">
        <v>914</v>
      </c>
      <c r="C81" t="s">
        <v>1554</v>
      </c>
      <c r="D81">
        <v>-14</v>
      </c>
    </row>
    <row r="82" spans="1:4" x14ac:dyDescent="0.25">
      <c r="A82" t="s">
        <v>123</v>
      </c>
      <c r="B82" t="s">
        <v>916</v>
      </c>
      <c r="C82" t="s">
        <v>1556</v>
      </c>
      <c r="D82">
        <v>-12</v>
      </c>
    </row>
    <row r="83" spans="1:4" x14ac:dyDescent="0.25">
      <c r="A83" t="s">
        <v>123</v>
      </c>
      <c r="B83" t="s">
        <v>1723</v>
      </c>
      <c r="C83" t="s">
        <v>1557</v>
      </c>
      <c r="D83">
        <v>-15</v>
      </c>
    </row>
    <row r="84" spans="1:4" x14ac:dyDescent="0.25">
      <c r="A84" t="s">
        <v>123</v>
      </c>
      <c r="B84" t="s">
        <v>259</v>
      </c>
      <c r="C84" t="s">
        <v>3648</v>
      </c>
      <c r="D84">
        <v>-17</v>
      </c>
    </row>
    <row r="85" spans="1:4" x14ac:dyDescent="0.25">
      <c r="A85" t="s">
        <v>123</v>
      </c>
      <c r="B85" t="s">
        <v>1724</v>
      </c>
      <c r="C85" t="s">
        <v>3649</v>
      </c>
      <c r="D85">
        <v>-15</v>
      </c>
    </row>
    <row r="86" spans="1:4" x14ac:dyDescent="0.25">
      <c r="A86" t="s">
        <v>123</v>
      </c>
      <c r="B86" t="s">
        <v>1434</v>
      </c>
      <c r="C86" t="s">
        <v>3650</v>
      </c>
      <c r="D86">
        <v>-13</v>
      </c>
    </row>
    <row r="87" spans="1:4" x14ac:dyDescent="0.25">
      <c r="A87" t="s">
        <v>123</v>
      </c>
      <c r="B87" t="s">
        <v>337</v>
      </c>
      <c r="C87" t="s">
        <v>3651</v>
      </c>
      <c r="D87">
        <v>-11</v>
      </c>
    </row>
    <row r="88" spans="1:4" x14ac:dyDescent="0.25">
      <c r="A88" t="s">
        <v>123</v>
      </c>
      <c r="B88" t="s">
        <v>1436</v>
      </c>
      <c r="C88" t="s">
        <v>3652</v>
      </c>
      <c r="D88">
        <v>-8</v>
      </c>
    </row>
    <row r="89" spans="1:4" x14ac:dyDescent="0.25">
      <c r="A89" t="s">
        <v>123</v>
      </c>
      <c r="B89" t="s">
        <v>1153</v>
      </c>
      <c r="C89" t="s">
        <v>3653</v>
      </c>
      <c r="D89">
        <v>-10</v>
      </c>
    </row>
    <row r="90" spans="1:4" x14ac:dyDescent="0.25">
      <c r="A90" t="s">
        <v>123</v>
      </c>
      <c r="B90" t="s">
        <v>225</v>
      </c>
      <c r="C90" t="s">
        <v>3654</v>
      </c>
      <c r="D90">
        <v>-8</v>
      </c>
    </row>
    <row r="91" spans="1:4" x14ac:dyDescent="0.25">
      <c r="A91" t="s">
        <v>123</v>
      </c>
      <c r="B91" t="s">
        <v>2112</v>
      </c>
      <c r="C91" t="s">
        <v>3655</v>
      </c>
      <c r="D91">
        <v>-6</v>
      </c>
    </row>
    <row r="92" spans="1:4" x14ac:dyDescent="0.25">
      <c r="A92" t="s">
        <v>123</v>
      </c>
      <c r="B92" t="s">
        <v>1619</v>
      </c>
      <c r="C92" t="s">
        <v>557</v>
      </c>
      <c r="D92">
        <v>-3</v>
      </c>
    </row>
    <row r="93" spans="1:4" x14ac:dyDescent="0.25">
      <c r="A93" t="s">
        <v>123</v>
      </c>
      <c r="B93" t="s">
        <v>927</v>
      </c>
      <c r="C93" t="s">
        <v>3656</v>
      </c>
      <c r="D93">
        <v>-5</v>
      </c>
    </row>
    <row r="94" spans="1:4" x14ac:dyDescent="0.25">
      <c r="A94" t="s">
        <v>123</v>
      </c>
      <c r="B94" t="s">
        <v>930</v>
      </c>
      <c r="C94" t="s">
        <v>3657</v>
      </c>
      <c r="D94">
        <v>-6</v>
      </c>
    </row>
    <row r="95" spans="1:4" x14ac:dyDescent="0.25">
      <c r="A95" t="s">
        <v>123</v>
      </c>
      <c r="B95" t="s">
        <v>930</v>
      </c>
      <c r="C95" t="s">
        <v>3658</v>
      </c>
      <c r="D95">
        <v>-3</v>
      </c>
    </row>
    <row r="96" spans="1:4" x14ac:dyDescent="0.25">
      <c r="A96" t="s">
        <v>123</v>
      </c>
      <c r="B96" t="s">
        <v>1002</v>
      </c>
      <c r="C96" t="s">
        <v>3659</v>
      </c>
      <c r="D96">
        <v>-1</v>
      </c>
    </row>
    <row r="97" spans="1:4" x14ac:dyDescent="0.25">
      <c r="A97" t="s">
        <v>123</v>
      </c>
      <c r="B97" t="s">
        <v>508</v>
      </c>
      <c r="C97" t="s">
        <v>3660</v>
      </c>
      <c r="D97">
        <v>-2</v>
      </c>
    </row>
    <row r="98" spans="1:4" x14ac:dyDescent="0.25">
      <c r="A98" t="s">
        <v>123</v>
      </c>
      <c r="B98" t="s">
        <v>559</v>
      </c>
      <c r="C98" t="s">
        <v>3661</v>
      </c>
      <c r="D98">
        <v>-1</v>
      </c>
    </row>
    <row r="99" spans="1:4" x14ac:dyDescent="0.25">
      <c r="A99" t="s">
        <v>123</v>
      </c>
      <c r="B99" t="s">
        <v>78</v>
      </c>
      <c r="C99" t="s">
        <v>3662</v>
      </c>
      <c r="D99">
        <v>-2</v>
      </c>
    </row>
    <row r="101" spans="1:4" x14ac:dyDescent="0.25">
      <c r="A101" s="2" t="s">
        <v>157</v>
      </c>
    </row>
    <row r="102" spans="1:4" x14ac:dyDescent="0.25">
      <c r="A102" t="s">
        <v>158</v>
      </c>
      <c r="D102">
        <f>AVERAGE(D2:D99)</f>
        <v>-9.7448979591836729</v>
      </c>
    </row>
    <row r="103" spans="1:4" x14ac:dyDescent="0.25">
      <c r="A103" t="s">
        <v>159</v>
      </c>
      <c r="D103">
        <f>MAX(D2:D99)</f>
        <v>1</v>
      </c>
    </row>
    <row r="104" spans="1:4" x14ac:dyDescent="0.25">
      <c r="A104" t="s">
        <v>160</v>
      </c>
      <c r="D104">
        <f>MIN(D2:D99)</f>
        <v>-24</v>
      </c>
    </row>
    <row r="105" spans="1:4" x14ac:dyDescent="0.25">
      <c r="A105" t="s">
        <v>161</v>
      </c>
      <c r="D105">
        <f>COUNTIF(D2:D99,"&gt;0")</f>
        <v>1</v>
      </c>
    </row>
    <row r="106" spans="1:4" x14ac:dyDescent="0.25">
      <c r="A106" t="s">
        <v>162</v>
      </c>
      <c r="D106">
        <f>COUNTIF(D2:D99,"=0")</f>
        <v>1</v>
      </c>
    </row>
    <row r="107" spans="1:4" x14ac:dyDescent="0.25">
      <c r="A107" t="s">
        <v>1633</v>
      </c>
      <c r="D107">
        <f>COUNTIF(D2:D99,"&lt;0")</f>
        <v>96</v>
      </c>
    </row>
    <row r="109" spans="1:4" x14ac:dyDescent="0.25">
      <c r="A109" s="2" t="s">
        <v>164</v>
      </c>
    </row>
    <row r="110" spans="1:4" x14ac:dyDescent="0.25">
      <c r="A110" t="s">
        <v>165</v>
      </c>
      <c r="D110">
        <f>AVERAGE(D2,D3,D4,D5,D6,D7,D8,D9,D10,D11,D12,D13,D14,D15,D16,D17,D18,D19,D20,D21,D22,D23,D24,D25,D26,D27,D28)</f>
        <v>-6.8148148148148149</v>
      </c>
    </row>
    <row r="111" spans="1:4" x14ac:dyDescent="0.25">
      <c r="A111" t="s">
        <v>166</v>
      </c>
      <c r="D111">
        <f>AVERAGE(D29,D30,D31,D32,D33,D34,D35,D36,D37,D38,D39,D40,D41,D42,D43,D44,D45,D46,D47,D48,D49,D50,D51,D52)</f>
        <v>-8.375</v>
      </c>
    </row>
    <row r="112" spans="1:4" x14ac:dyDescent="0.25">
      <c r="A112" t="s">
        <v>167</v>
      </c>
      <c r="D112">
        <f>AVERAGE(D53,D54,D55,D56,D57,D58,D59,D60,D61,D62,D63,D64,D65,D66,D67,D68,D69,D70,D71,D72,D73,D74)</f>
        <v>-14.5</v>
      </c>
    </row>
    <row r="113" spans="1:4" x14ac:dyDescent="0.25">
      <c r="A113" t="s">
        <v>168</v>
      </c>
      <c r="D113">
        <f>AVERAGE(D75,D76,D77,D78,D79,D80,D81,D82,D83,D84,D85,D86,D87,D88,D89,D90,D91,D92,D93,D94,D95,D96,D97,D98,D99)</f>
        <v>-10.039999999999999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8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2873</v>
      </c>
    </row>
    <row r="2" spans="1:4" x14ac:dyDescent="0.25">
      <c r="A2" t="s">
        <v>4</v>
      </c>
      <c r="B2" t="s">
        <v>242</v>
      </c>
      <c r="C2" t="s">
        <v>908</v>
      </c>
      <c r="D2">
        <v>-2</v>
      </c>
    </row>
    <row r="3" spans="1:4" x14ac:dyDescent="0.25">
      <c r="A3" t="s">
        <v>4</v>
      </c>
      <c r="B3" t="s">
        <v>912</v>
      </c>
      <c r="C3" t="s">
        <v>1008</v>
      </c>
      <c r="D3">
        <v>-3</v>
      </c>
    </row>
    <row r="4" spans="1:4" x14ac:dyDescent="0.25">
      <c r="A4" t="s">
        <v>4</v>
      </c>
      <c r="B4" t="s">
        <v>912</v>
      </c>
      <c r="C4" t="s">
        <v>1692</v>
      </c>
      <c r="D4">
        <v>-4</v>
      </c>
    </row>
    <row r="5" spans="1:4" x14ac:dyDescent="0.25">
      <c r="A5" t="s">
        <v>4</v>
      </c>
      <c r="B5" t="s">
        <v>865</v>
      </c>
      <c r="C5" t="s">
        <v>2045</v>
      </c>
      <c r="D5">
        <v>-1</v>
      </c>
    </row>
    <row r="6" spans="1:4" x14ac:dyDescent="0.25">
      <c r="A6" t="s">
        <v>4</v>
      </c>
      <c r="B6" t="s">
        <v>497</v>
      </c>
      <c r="C6" t="s">
        <v>178</v>
      </c>
      <c r="D6">
        <v>2</v>
      </c>
    </row>
    <row r="7" spans="1:4" x14ac:dyDescent="0.25">
      <c r="A7" t="s">
        <v>4</v>
      </c>
      <c r="B7" t="s">
        <v>804</v>
      </c>
      <c r="C7" t="s">
        <v>2046</v>
      </c>
      <c r="D7">
        <v>0</v>
      </c>
    </row>
    <row r="8" spans="1:4" x14ac:dyDescent="0.25">
      <c r="A8" t="s">
        <v>4</v>
      </c>
      <c r="B8" t="s">
        <v>804</v>
      </c>
      <c r="C8" t="s">
        <v>16</v>
      </c>
      <c r="D8">
        <v>-1</v>
      </c>
    </row>
    <row r="9" spans="1:4" x14ac:dyDescent="0.25">
      <c r="A9" t="s">
        <v>4</v>
      </c>
      <c r="B9" t="s">
        <v>1819</v>
      </c>
      <c r="C9" t="s">
        <v>1636</v>
      </c>
      <c r="D9">
        <v>-4</v>
      </c>
    </row>
    <row r="10" spans="1:4" x14ac:dyDescent="0.25">
      <c r="A10" t="s">
        <v>4</v>
      </c>
      <c r="B10" t="s">
        <v>1108</v>
      </c>
      <c r="C10" t="s">
        <v>915</v>
      </c>
      <c r="D10">
        <v>-2</v>
      </c>
    </row>
    <row r="11" spans="1:4" x14ac:dyDescent="0.25">
      <c r="A11" t="s">
        <v>4</v>
      </c>
      <c r="B11" t="s">
        <v>285</v>
      </c>
      <c r="C11" t="s">
        <v>1110</v>
      </c>
      <c r="D11">
        <v>0</v>
      </c>
    </row>
    <row r="12" spans="1:4" x14ac:dyDescent="0.25">
      <c r="A12" t="s">
        <v>4</v>
      </c>
      <c r="B12" t="s">
        <v>749</v>
      </c>
      <c r="C12" t="s">
        <v>917</v>
      </c>
      <c r="D12">
        <v>2</v>
      </c>
    </row>
    <row r="13" spans="1:4" x14ac:dyDescent="0.25">
      <c r="A13" t="s">
        <v>4</v>
      </c>
      <c r="B13" t="s">
        <v>788</v>
      </c>
      <c r="C13" t="s">
        <v>2155</v>
      </c>
      <c r="D13">
        <v>0</v>
      </c>
    </row>
    <row r="14" spans="1:4" x14ac:dyDescent="0.25">
      <c r="A14" t="s">
        <v>4</v>
      </c>
      <c r="B14" t="s">
        <v>1844</v>
      </c>
      <c r="C14" t="s">
        <v>920</v>
      </c>
      <c r="D14">
        <v>3</v>
      </c>
    </row>
    <row r="15" spans="1:4" x14ac:dyDescent="0.25">
      <c r="A15" t="s">
        <v>4</v>
      </c>
      <c r="B15" t="s">
        <v>233</v>
      </c>
      <c r="C15" t="s">
        <v>1577</v>
      </c>
      <c r="D15">
        <v>5</v>
      </c>
    </row>
    <row r="16" spans="1:4" x14ac:dyDescent="0.25">
      <c r="A16" t="s">
        <v>40</v>
      </c>
      <c r="B16" t="s">
        <v>1545</v>
      </c>
      <c r="C16" t="s">
        <v>324</v>
      </c>
      <c r="D16">
        <v>7</v>
      </c>
    </row>
    <row r="17" spans="1:4" x14ac:dyDescent="0.25">
      <c r="A17" t="s">
        <v>40</v>
      </c>
      <c r="B17" t="s">
        <v>935</v>
      </c>
      <c r="C17" t="s">
        <v>1580</v>
      </c>
      <c r="D17">
        <v>5</v>
      </c>
    </row>
    <row r="18" spans="1:4" x14ac:dyDescent="0.25">
      <c r="A18" t="s">
        <v>40</v>
      </c>
      <c r="B18" t="s">
        <v>693</v>
      </c>
      <c r="C18" t="s">
        <v>328</v>
      </c>
      <c r="D18">
        <v>7</v>
      </c>
    </row>
    <row r="19" spans="1:4" x14ac:dyDescent="0.25">
      <c r="A19" t="s">
        <v>40</v>
      </c>
      <c r="B19" t="s">
        <v>566</v>
      </c>
      <c r="C19" t="s">
        <v>2480</v>
      </c>
      <c r="D19">
        <v>4</v>
      </c>
    </row>
    <row r="20" spans="1:4" x14ac:dyDescent="0.25">
      <c r="A20" t="s">
        <v>40</v>
      </c>
      <c r="B20" t="s">
        <v>177</v>
      </c>
      <c r="C20" t="s">
        <v>1822</v>
      </c>
      <c r="D20">
        <v>2</v>
      </c>
    </row>
    <row r="21" spans="1:4" x14ac:dyDescent="0.25">
      <c r="A21" t="s">
        <v>40</v>
      </c>
      <c r="B21" t="s">
        <v>497</v>
      </c>
      <c r="C21" t="s">
        <v>207</v>
      </c>
      <c r="D21">
        <v>5</v>
      </c>
    </row>
    <row r="22" spans="1:4" x14ac:dyDescent="0.25">
      <c r="A22" t="s">
        <v>40</v>
      </c>
      <c r="B22" t="s">
        <v>1228</v>
      </c>
      <c r="C22" t="s">
        <v>210</v>
      </c>
      <c r="D22">
        <v>7</v>
      </c>
    </row>
    <row r="23" spans="1:4" x14ac:dyDescent="0.25">
      <c r="A23" t="s">
        <v>40</v>
      </c>
      <c r="B23" t="s">
        <v>874</v>
      </c>
      <c r="C23" t="s">
        <v>212</v>
      </c>
      <c r="D23">
        <v>5</v>
      </c>
    </row>
    <row r="24" spans="1:4" x14ac:dyDescent="0.25">
      <c r="A24" t="s">
        <v>40</v>
      </c>
      <c r="B24" t="s">
        <v>661</v>
      </c>
      <c r="C24" t="s">
        <v>1209</v>
      </c>
      <c r="D24">
        <v>7</v>
      </c>
    </row>
    <row r="25" spans="1:4" x14ac:dyDescent="0.25">
      <c r="A25" t="s">
        <v>40</v>
      </c>
      <c r="B25" t="s">
        <v>339</v>
      </c>
      <c r="C25" t="s">
        <v>2963</v>
      </c>
      <c r="D25">
        <v>5</v>
      </c>
    </row>
    <row r="26" spans="1:4" x14ac:dyDescent="0.25">
      <c r="A26" t="s">
        <v>40</v>
      </c>
      <c r="B26" t="s">
        <v>766</v>
      </c>
      <c r="C26" t="s">
        <v>1583</v>
      </c>
      <c r="D26">
        <v>7</v>
      </c>
    </row>
    <row r="27" spans="1:4" x14ac:dyDescent="0.25">
      <c r="A27" t="s">
        <v>40</v>
      </c>
      <c r="B27" t="s">
        <v>475</v>
      </c>
      <c r="C27" t="s">
        <v>2159</v>
      </c>
      <c r="D27">
        <v>8</v>
      </c>
    </row>
    <row r="28" spans="1:4" x14ac:dyDescent="0.25">
      <c r="A28" t="s">
        <v>40</v>
      </c>
      <c r="B28" t="s">
        <v>198</v>
      </c>
      <c r="C28" t="s">
        <v>3433</v>
      </c>
      <c r="D28">
        <v>7</v>
      </c>
    </row>
    <row r="29" spans="1:4" x14ac:dyDescent="0.25">
      <c r="A29" t="s">
        <v>40</v>
      </c>
      <c r="B29" t="s">
        <v>198</v>
      </c>
      <c r="C29" t="s">
        <v>1125</v>
      </c>
      <c r="D29">
        <v>6</v>
      </c>
    </row>
    <row r="30" spans="1:4" x14ac:dyDescent="0.25">
      <c r="A30" t="s">
        <v>40</v>
      </c>
      <c r="B30" t="s">
        <v>118</v>
      </c>
      <c r="C30" t="s">
        <v>1935</v>
      </c>
      <c r="D30">
        <v>8</v>
      </c>
    </row>
    <row r="31" spans="1:4" x14ac:dyDescent="0.25">
      <c r="A31" t="s">
        <v>40</v>
      </c>
      <c r="B31" t="s">
        <v>550</v>
      </c>
      <c r="C31" t="s">
        <v>2527</v>
      </c>
      <c r="D31">
        <v>7</v>
      </c>
    </row>
    <row r="32" spans="1:4" x14ac:dyDescent="0.25">
      <c r="A32" t="s">
        <v>40</v>
      </c>
      <c r="B32" t="s">
        <v>344</v>
      </c>
      <c r="C32" t="s">
        <v>2160</v>
      </c>
      <c r="D32">
        <v>8</v>
      </c>
    </row>
    <row r="33" spans="1:4" x14ac:dyDescent="0.25">
      <c r="A33" t="s">
        <v>40</v>
      </c>
      <c r="B33" t="s">
        <v>344</v>
      </c>
      <c r="C33" t="s">
        <v>2528</v>
      </c>
      <c r="D33">
        <v>9</v>
      </c>
    </row>
    <row r="34" spans="1:4" x14ac:dyDescent="0.25">
      <c r="A34" t="s">
        <v>40</v>
      </c>
      <c r="B34" t="s">
        <v>235</v>
      </c>
      <c r="C34" t="s">
        <v>2542</v>
      </c>
      <c r="D34">
        <v>11</v>
      </c>
    </row>
    <row r="35" spans="1:4" x14ac:dyDescent="0.25">
      <c r="A35" t="s">
        <v>80</v>
      </c>
      <c r="B35" t="s">
        <v>453</v>
      </c>
      <c r="C35" t="s">
        <v>2654</v>
      </c>
      <c r="D35">
        <v>14</v>
      </c>
    </row>
    <row r="36" spans="1:4" x14ac:dyDescent="0.25">
      <c r="A36" t="s">
        <v>80</v>
      </c>
      <c r="B36" t="s">
        <v>1664</v>
      </c>
      <c r="C36" t="s">
        <v>3663</v>
      </c>
      <c r="D36">
        <v>11</v>
      </c>
    </row>
    <row r="37" spans="1:4" x14ac:dyDescent="0.25">
      <c r="A37" t="s">
        <v>80</v>
      </c>
      <c r="B37" t="s">
        <v>2443</v>
      </c>
      <c r="C37" t="s">
        <v>1589</v>
      </c>
      <c r="D37">
        <v>9</v>
      </c>
    </row>
    <row r="38" spans="1:4" x14ac:dyDescent="0.25">
      <c r="A38" t="s">
        <v>80</v>
      </c>
      <c r="B38" t="s">
        <v>9</v>
      </c>
      <c r="C38" t="s">
        <v>1590</v>
      </c>
      <c r="D38">
        <v>7</v>
      </c>
    </row>
    <row r="39" spans="1:4" x14ac:dyDescent="0.25">
      <c r="A39" t="s">
        <v>80</v>
      </c>
      <c r="B39" t="s">
        <v>1248</v>
      </c>
      <c r="C39" t="s">
        <v>2269</v>
      </c>
      <c r="D39">
        <v>4</v>
      </c>
    </row>
    <row r="40" spans="1:4" x14ac:dyDescent="0.25">
      <c r="A40" t="s">
        <v>80</v>
      </c>
      <c r="B40" t="s">
        <v>364</v>
      </c>
      <c r="C40" t="s">
        <v>1671</v>
      </c>
      <c r="D40">
        <v>6</v>
      </c>
    </row>
    <row r="41" spans="1:4" x14ac:dyDescent="0.25">
      <c r="A41" t="s">
        <v>80</v>
      </c>
      <c r="B41" t="s">
        <v>1816</v>
      </c>
      <c r="C41" t="s">
        <v>2546</v>
      </c>
      <c r="D41">
        <v>4</v>
      </c>
    </row>
    <row r="42" spans="1:4" x14ac:dyDescent="0.25">
      <c r="A42" t="s">
        <v>80</v>
      </c>
      <c r="B42" t="s">
        <v>698</v>
      </c>
      <c r="C42" t="s">
        <v>3208</v>
      </c>
      <c r="D42">
        <v>7</v>
      </c>
    </row>
    <row r="43" spans="1:4" x14ac:dyDescent="0.25">
      <c r="A43" t="s">
        <v>80</v>
      </c>
      <c r="B43" t="s">
        <v>1829</v>
      </c>
      <c r="C43" t="s">
        <v>2597</v>
      </c>
      <c r="D43">
        <v>4</v>
      </c>
    </row>
    <row r="44" spans="1:4" x14ac:dyDescent="0.25">
      <c r="A44" t="s">
        <v>80</v>
      </c>
      <c r="B44" t="s">
        <v>376</v>
      </c>
      <c r="C44" t="s">
        <v>2598</v>
      </c>
      <c r="D44">
        <v>6</v>
      </c>
    </row>
    <row r="45" spans="1:4" x14ac:dyDescent="0.25">
      <c r="A45" t="s">
        <v>80</v>
      </c>
      <c r="B45" t="s">
        <v>1040</v>
      </c>
      <c r="C45" t="s">
        <v>2338</v>
      </c>
      <c r="D45">
        <v>9</v>
      </c>
    </row>
    <row r="46" spans="1:4" x14ac:dyDescent="0.25">
      <c r="A46" t="s">
        <v>80</v>
      </c>
      <c r="B46" t="s">
        <v>319</v>
      </c>
      <c r="C46" t="s">
        <v>2531</v>
      </c>
      <c r="D46">
        <v>7</v>
      </c>
    </row>
    <row r="47" spans="1:4" x14ac:dyDescent="0.25">
      <c r="A47" t="s">
        <v>80</v>
      </c>
      <c r="B47" t="s">
        <v>1396</v>
      </c>
      <c r="C47" t="s">
        <v>3439</v>
      </c>
      <c r="D47">
        <v>9</v>
      </c>
    </row>
    <row r="48" spans="1:4" x14ac:dyDescent="0.25">
      <c r="A48" t="s">
        <v>80</v>
      </c>
      <c r="B48" t="s">
        <v>1132</v>
      </c>
      <c r="C48" t="s">
        <v>2912</v>
      </c>
      <c r="D48">
        <v>7</v>
      </c>
    </row>
    <row r="49" spans="1:4" x14ac:dyDescent="0.25">
      <c r="A49" t="s">
        <v>80</v>
      </c>
      <c r="B49" t="s">
        <v>78</v>
      </c>
      <c r="C49" t="s">
        <v>3440</v>
      </c>
      <c r="D49">
        <v>5</v>
      </c>
    </row>
    <row r="50" spans="1:4" x14ac:dyDescent="0.25">
      <c r="A50" t="s">
        <v>123</v>
      </c>
      <c r="B50" t="s">
        <v>237</v>
      </c>
      <c r="C50" t="s">
        <v>2174</v>
      </c>
      <c r="D50">
        <v>3</v>
      </c>
    </row>
    <row r="51" spans="1:4" x14ac:dyDescent="0.25">
      <c r="A51" t="s">
        <v>123</v>
      </c>
      <c r="B51" t="s">
        <v>797</v>
      </c>
      <c r="C51" t="s">
        <v>493</v>
      </c>
      <c r="D51">
        <v>6</v>
      </c>
    </row>
    <row r="52" spans="1:4" x14ac:dyDescent="0.25">
      <c r="A52" t="s">
        <v>123</v>
      </c>
      <c r="B52" t="s">
        <v>954</v>
      </c>
      <c r="C52" t="s">
        <v>2274</v>
      </c>
      <c r="D52">
        <v>8</v>
      </c>
    </row>
    <row r="53" spans="1:4" x14ac:dyDescent="0.25">
      <c r="A53" t="s">
        <v>123</v>
      </c>
      <c r="B53" t="s">
        <v>357</v>
      </c>
      <c r="C53" t="s">
        <v>2275</v>
      </c>
      <c r="D53">
        <v>7</v>
      </c>
    </row>
    <row r="54" spans="1:4" x14ac:dyDescent="0.25">
      <c r="A54" t="s">
        <v>123</v>
      </c>
      <c r="B54" t="s">
        <v>800</v>
      </c>
      <c r="C54" t="s">
        <v>1161</v>
      </c>
      <c r="D54">
        <v>10</v>
      </c>
    </row>
    <row r="55" spans="1:4" x14ac:dyDescent="0.25">
      <c r="A55" t="s">
        <v>123</v>
      </c>
      <c r="B55" t="s">
        <v>1826</v>
      </c>
      <c r="C55" t="s">
        <v>2792</v>
      </c>
      <c r="D55">
        <v>11</v>
      </c>
    </row>
    <row r="56" spans="1:4" x14ac:dyDescent="0.25">
      <c r="A56" t="s">
        <v>123</v>
      </c>
      <c r="B56" t="s">
        <v>2080</v>
      </c>
      <c r="C56" t="s">
        <v>3067</v>
      </c>
      <c r="D56">
        <v>9</v>
      </c>
    </row>
    <row r="57" spans="1:4" x14ac:dyDescent="0.25">
      <c r="A57" t="s">
        <v>123</v>
      </c>
      <c r="B57" t="s">
        <v>17</v>
      </c>
      <c r="C57" t="s">
        <v>3664</v>
      </c>
      <c r="D57">
        <v>11</v>
      </c>
    </row>
    <row r="58" spans="1:4" x14ac:dyDescent="0.25">
      <c r="A58" t="s">
        <v>123</v>
      </c>
      <c r="B58" t="s">
        <v>99</v>
      </c>
      <c r="C58" t="s">
        <v>2987</v>
      </c>
      <c r="D58">
        <v>13</v>
      </c>
    </row>
    <row r="59" spans="1:4" x14ac:dyDescent="0.25">
      <c r="A59" t="s">
        <v>123</v>
      </c>
      <c r="B59" t="s">
        <v>99</v>
      </c>
      <c r="C59" t="s">
        <v>2866</v>
      </c>
      <c r="D59">
        <v>14</v>
      </c>
    </row>
    <row r="60" spans="1:4" x14ac:dyDescent="0.25">
      <c r="A60" t="s">
        <v>123</v>
      </c>
      <c r="B60" t="s">
        <v>104</v>
      </c>
      <c r="C60" t="s">
        <v>2672</v>
      </c>
      <c r="D60">
        <v>13</v>
      </c>
    </row>
    <row r="61" spans="1:4" x14ac:dyDescent="0.25">
      <c r="A61" t="s">
        <v>123</v>
      </c>
      <c r="B61" t="s">
        <v>1481</v>
      </c>
      <c r="C61" t="s">
        <v>3665</v>
      </c>
      <c r="D61">
        <v>14</v>
      </c>
    </row>
    <row r="62" spans="1:4" x14ac:dyDescent="0.25">
      <c r="A62" t="s">
        <v>123</v>
      </c>
      <c r="B62" t="s">
        <v>1481</v>
      </c>
      <c r="C62" t="s">
        <v>2867</v>
      </c>
      <c r="D62">
        <v>15</v>
      </c>
    </row>
    <row r="63" spans="1:4" x14ac:dyDescent="0.25">
      <c r="A63" t="s">
        <v>123</v>
      </c>
      <c r="B63" t="s">
        <v>788</v>
      </c>
      <c r="C63" t="s">
        <v>2941</v>
      </c>
      <c r="D63">
        <v>16</v>
      </c>
    </row>
    <row r="64" spans="1:4" x14ac:dyDescent="0.25">
      <c r="A64" t="s">
        <v>123</v>
      </c>
      <c r="B64" t="s">
        <v>448</v>
      </c>
      <c r="C64" t="s">
        <v>2674</v>
      </c>
      <c r="D64">
        <v>13</v>
      </c>
    </row>
    <row r="65" spans="1:4" x14ac:dyDescent="0.25">
      <c r="A65" t="s">
        <v>123</v>
      </c>
      <c r="B65" t="s">
        <v>550</v>
      </c>
      <c r="C65" t="s">
        <v>2798</v>
      </c>
      <c r="D65">
        <v>15</v>
      </c>
    </row>
    <row r="66" spans="1:4" x14ac:dyDescent="0.25">
      <c r="A66" t="s">
        <v>123</v>
      </c>
      <c r="B66" t="s">
        <v>1646</v>
      </c>
      <c r="C66" t="s">
        <v>3666</v>
      </c>
      <c r="D66">
        <v>17</v>
      </c>
    </row>
    <row r="68" spans="1:4" x14ac:dyDescent="0.25">
      <c r="A68" s="2" t="s">
        <v>157</v>
      </c>
    </row>
    <row r="69" spans="1:4" x14ac:dyDescent="0.25">
      <c r="A69" t="s">
        <v>158</v>
      </c>
      <c r="D69">
        <f>AVERAGE(D2:D66)</f>
        <v>6.523076923076923</v>
      </c>
    </row>
    <row r="70" spans="1:4" x14ac:dyDescent="0.25">
      <c r="A70" t="s">
        <v>159</v>
      </c>
      <c r="D70">
        <f>MAX(D2:D66)</f>
        <v>17</v>
      </c>
    </row>
    <row r="71" spans="1:4" x14ac:dyDescent="0.25">
      <c r="A71" t="s">
        <v>160</v>
      </c>
      <c r="D71">
        <f>MIN(D2:D66)</f>
        <v>-4</v>
      </c>
    </row>
    <row r="72" spans="1:4" x14ac:dyDescent="0.25">
      <c r="A72" t="s">
        <v>161</v>
      </c>
      <c r="D72">
        <f>COUNTIF(D2:D66,"&gt;0")</f>
        <v>55</v>
      </c>
    </row>
    <row r="73" spans="1:4" x14ac:dyDescent="0.25">
      <c r="A73" t="s">
        <v>162</v>
      </c>
      <c r="D73">
        <f>COUNTIF(D2:D66,"=0")</f>
        <v>3</v>
      </c>
    </row>
    <row r="74" spans="1:4" x14ac:dyDescent="0.25">
      <c r="A74" t="s">
        <v>2890</v>
      </c>
      <c r="D74">
        <f>COUNTIF(D2:D66,"&lt;0")</f>
        <v>7</v>
      </c>
    </row>
    <row r="76" spans="1:4" x14ac:dyDescent="0.25">
      <c r="A76" s="2" t="s">
        <v>164</v>
      </c>
    </row>
    <row r="77" spans="1:4" x14ac:dyDescent="0.25">
      <c r="A77" t="s">
        <v>165</v>
      </c>
      <c r="D77">
        <f>AVERAGE(D2,D3,D4,D5,D6,D7,D8,D9,D10,D11,D12,D13,D14,D15)</f>
        <v>-0.35714285714285715</v>
      </c>
    </row>
    <row r="78" spans="1:4" x14ac:dyDescent="0.25">
      <c r="A78" t="s">
        <v>166</v>
      </c>
      <c r="D78">
        <f>AVERAGE(D16,D17,D18,D19,D20,D21,D22,D23,D24,D25,D26,D27,D28,D29,D30,D31,D32,D33,D34)</f>
        <v>6.5789473684210522</v>
      </c>
    </row>
    <row r="79" spans="1:4" x14ac:dyDescent="0.25">
      <c r="A79" t="s">
        <v>167</v>
      </c>
      <c r="D79">
        <f>AVERAGE(D35,D36,D37,D38,D39,D40,D41,D42,D43,D44,D45,D46,D47,D48,D49)</f>
        <v>7.2666666666666666</v>
      </c>
    </row>
    <row r="80" spans="1:4" x14ac:dyDescent="0.25">
      <c r="A80" t="s">
        <v>168</v>
      </c>
      <c r="D80">
        <f>AVERAGE(D50,D51,D52,D53,D54,D55,D56,D57,D58,D59,D60,D61,D62,D63,D64,D65,D66)</f>
        <v>11.470588235294118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8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823</v>
      </c>
      <c r="C2" t="s">
        <v>6</v>
      </c>
      <c r="D2">
        <v>2</v>
      </c>
    </row>
    <row r="3" spans="1:4" x14ac:dyDescent="0.25">
      <c r="A3" t="s">
        <v>4</v>
      </c>
      <c r="B3" t="s">
        <v>1244</v>
      </c>
      <c r="C3" t="s">
        <v>8</v>
      </c>
      <c r="D3">
        <v>0</v>
      </c>
    </row>
    <row r="4" spans="1:4" x14ac:dyDescent="0.25">
      <c r="A4" t="s">
        <v>4</v>
      </c>
      <c r="B4" t="s">
        <v>1613</v>
      </c>
      <c r="C4" t="s">
        <v>564</v>
      </c>
      <c r="D4">
        <v>2</v>
      </c>
    </row>
    <row r="5" spans="1:4" x14ac:dyDescent="0.25">
      <c r="A5" t="s">
        <v>4</v>
      </c>
      <c r="B5" t="s">
        <v>1613</v>
      </c>
      <c r="C5" t="s">
        <v>1347</v>
      </c>
      <c r="D5">
        <v>3</v>
      </c>
    </row>
    <row r="6" spans="1:4" x14ac:dyDescent="0.25">
      <c r="A6" t="s">
        <v>4</v>
      </c>
      <c r="B6" t="s">
        <v>759</v>
      </c>
      <c r="C6" t="s">
        <v>1106</v>
      </c>
      <c r="D6">
        <v>1</v>
      </c>
    </row>
    <row r="7" spans="1:4" x14ac:dyDescent="0.25">
      <c r="A7" t="s">
        <v>4</v>
      </c>
      <c r="B7" t="s">
        <v>275</v>
      </c>
      <c r="C7" t="s">
        <v>1348</v>
      </c>
      <c r="D7">
        <v>3</v>
      </c>
    </row>
    <row r="8" spans="1:4" x14ac:dyDescent="0.25">
      <c r="A8" t="s">
        <v>4</v>
      </c>
      <c r="B8" t="s">
        <v>254</v>
      </c>
      <c r="C8" t="s">
        <v>311</v>
      </c>
      <c r="D8">
        <v>1</v>
      </c>
    </row>
    <row r="9" spans="1:4" x14ac:dyDescent="0.25">
      <c r="A9" t="s">
        <v>4</v>
      </c>
      <c r="B9" t="s">
        <v>1284</v>
      </c>
      <c r="C9" t="s">
        <v>434</v>
      </c>
      <c r="D9">
        <v>-1</v>
      </c>
    </row>
    <row r="10" spans="1:4" x14ac:dyDescent="0.25">
      <c r="A10" t="s">
        <v>4</v>
      </c>
      <c r="B10" t="s">
        <v>2032</v>
      </c>
      <c r="C10" t="s">
        <v>436</v>
      </c>
      <c r="D10">
        <v>-3</v>
      </c>
    </row>
    <row r="11" spans="1:4" x14ac:dyDescent="0.25">
      <c r="A11" t="s">
        <v>4</v>
      </c>
      <c r="B11" t="s">
        <v>219</v>
      </c>
      <c r="C11" t="s">
        <v>1110</v>
      </c>
      <c r="D11">
        <v>0</v>
      </c>
    </row>
    <row r="12" spans="1:4" x14ac:dyDescent="0.25">
      <c r="A12" t="s">
        <v>4</v>
      </c>
      <c r="B12" t="s">
        <v>961</v>
      </c>
      <c r="C12" t="s">
        <v>1500</v>
      </c>
      <c r="D12">
        <v>-2</v>
      </c>
    </row>
    <row r="13" spans="1:4" x14ac:dyDescent="0.25">
      <c r="A13" t="s">
        <v>4</v>
      </c>
      <c r="B13" t="s">
        <v>1231</v>
      </c>
      <c r="C13" t="s">
        <v>1501</v>
      </c>
      <c r="D13">
        <v>-4</v>
      </c>
    </row>
    <row r="14" spans="1:4" x14ac:dyDescent="0.25">
      <c r="A14" t="s">
        <v>4</v>
      </c>
      <c r="B14" t="s">
        <v>106</v>
      </c>
      <c r="C14" t="s">
        <v>2607</v>
      </c>
      <c r="D14">
        <v>-6</v>
      </c>
    </row>
    <row r="15" spans="1:4" x14ac:dyDescent="0.25">
      <c r="A15" t="s">
        <v>4</v>
      </c>
      <c r="B15" t="s">
        <v>142</v>
      </c>
      <c r="C15" t="s">
        <v>3667</v>
      </c>
      <c r="D15">
        <v>-4</v>
      </c>
    </row>
    <row r="16" spans="1:4" x14ac:dyDescent="0.25">
      <c r="A16" t="s">
        <v>4</v>
      </c>
      <c r="B16" t="s">
        <v>1517</v>
      </c>
      <c r="C16" t="s">
        <v>3554</v>
      </c>
      <c r="D16">
        <v>-6</v>
      </c>
    </row>
    <row r="17" spans="1:4" x14ac:dyDescent="0.25">
      <c r="A17" t="s">
        <v>4</v>
      </c>
      <c r="B17" t="s">
        <v>1076</v>
      </c>
      <c r="C17" t="s">
        <v>3668</v>
      </c>
      <c r="D17">
        <v>-8</v>
      </c>
    </row>
    <row r="18" spans="1:4" x14ac:dyDescent="0.25">
      <c r="A18" t="s">
        <v>4</v>
      </c>
      <c r="B18" t="s">
        <v>1204</v>
      </c>
      <c r="C18" t="s">
        <v>3669</v>
      </c>
      <c r="D18">
        <v>-10</v>
      </c>
    </row>
    <row r="19" spans="1:4" x14ac:dyDescent="0.25">
      <c r="A19" t="s">
        <v>4</v>
      </c>
      <c r="B19" t="s">
        <v>451</v>
      </c>
      <c r="C19" t="s">
        <v>1707</v>
      </c>
      <c r="D19">
        <v>-8</v>
      </c>
    </row>
    <row r="20" spans="1:4" x14ac:dyDescent="0.25">
      <c r="A20" t="s">
        <v>40</v>
      </c>
      <c r="B20" t="s">
        <v>329</v>
      </c>
      <c r="C20" t="s">
        <v>3670</v>
      </c>
      <c r="D20">
        <v>-10</v>
      </c>
    </row>
    <row r="21" spans="1:4" x14ac:dyDescent="0.25">
      <c r="A21" t="s">
        <v>40</v>
      </c>
      <c r="B21" t="s">
        <v>1877</v>
      </c>
      <c r="C21" t="s">
        <v>3206</v>
      </c>
      <c r="D21">
        <v>-7</v>
      </c>
    </row>
    <row r="22" spans="1:4" x14ac:dyDescent="0.25">
      <c r="A22" t="s">
        <v>40</v>
      </c>
      <c r="B22" t="s">
        <v>1824</v>
      </c>
      <c r="C22" t="s">
        <v>2404</v>
      </c>
      <c r="D22">
        <v>-6</v>
      </c>
    </row>
    <row r="23" spans="1:4" x14ac:dyDescent="0.25">
      <c r="A23" t="s">
        <v>40</v>
      </c>
      <c r="B23" t="s">
        <v>572</v>
      </c>
      <c r="C23" t="s">
        <v>46</v>
      </c>
      <c r="D23">
        <v>-5</v>
      </c>
    </row>
    <row r="24" spans="1:4" x14ac:dyDescent="0.25">
      <c r="A24" t="s">
        <v>40</v>
      </c>
      <c r="B24" t="s">
        <v>181</v>
      </c>
      <c r="C24" t="s">
        <v>1711</v>
      </c>
      <c r="D24">
        <v>-8</v>
      </c>
    </row>
    <row r="25" spans="1:4" x14ac:dyDescent="0.25">
      <c r="A25" t="s">
        <v>40</v>
      </c>
      <c r="B25" t="s">
        <v>654</v>
      </c>
      <c r="C25" t="s">
        <v>1712</v>
      </c>
      <c r="D25">
        <v>-6</v>
      </c>
    </row>
    <row r="26" spans="1:4" x14ac:dyDescent="0.25">
      <c r="A26" t="s">
        <v>40</v>
      </c>
      <c r="B26" t="s">
        <v>1231</v>
      </c>
      <c r="C26" t="s">
        <v>2724</v>
      </c>
      <c r="D26">
        <v>-8</v>
      </c>
    </row>
    <row r="27" spans="1:4" x14ac:dyDescent="0.25">
      <c r="A27" t="s">
        <v>40</v>
      </c>
      <c r="B27" t="s">
        <v>337</v>
      </c>
      <c r="C27" t="s">
        <v>3555</v>
      </c>
      <c r="D27">
        <v>-7</v>
      </c>
    </row>
    <row r="28" spans="1:4" x14ac:dyDescent="0.25">
      <c r="A28" t="s">
        <v>40</v>
      </c>
      <c r="B28" t="s">
        <v>108</v>
      </c>
      <c r="C28" t="s">
        <v>1879</v>
      </c>
      <c r="D28">
        <v>-5</v>
      </c>
    </row>
    <row r="29" spans="1:4" x14ac:dyDescent="0.25">
      <c r="A29" t="s">
        <v>40</v>
      </c>
      <c r="B29" t="s">
        <v>67</v>
      </c>
      <c r="C29" t="s">
        <v>1715</v>
      </c>
      <c r="D29">
        <v>-3</v>
      </c>
    </row>
    <row r="30" spans="1:4" x14ac:dyDescent="0.25">
      <c r="A30" t="s">
        <v>40</v>
      </c>
      <c r="B30" t="s">
        <v>1073</v>
      </c>
      <c r="C30" t="s">
        <v>1825</v>
      </c>
      <c r="D30">
        <v>0</v>
      </c>
    </row>
    <row r="31" spans="1:4" x14ac:dyDescent="0.25">
      <c r="A31" t="s">
        <v>40</v>
      </c>
      <c r="B31" t="s">
        <v>706</v>
      </c>
      <c r="C31" t="s">
        <v>1514</v>
      </c>
      <c r="D31">
        <v>-2</v>
      </c>
    </row>
    <row r="32" spans="1:4" x14ac:dyDescent="0.25">
      <c r="A32" t="s">
        <v>40</v>
      </c>
      <c r="B32" t="s">
        <v>579</v>
      </c>
      <c r="C32" t="s">
        <v>345</v>
      </c>
      <c r="D32">
        <v>0</v>
      </c>
    </row>
    <row r="33" spans="1:4" x14ac:dyDescent="0.25">
      <c r="A33" t="s">
        <v>40</v>
      </c>
      <c r="B33" t="s">
        <v>1132</v>
      </c>
      <c r="C33" t="s">
        <v>347</v>
      </c>
      <c r="D33">
        <v>2</v>
      </c>
    </row>
    <row r="34" spans="1:4" x14ac:dyDescent="0.25">
      <c r="A34" t="s">
        <v>40</v>
      </c>
      <c r="B34" t="s">
        <v>1113</v>
      </c>
      <c r="C34" t="s">
        <v>349</v>
      </c>
      <c r="D34">
        <v>3</v>
      </c>
    </row>
    <row r="35" spans="1:4" x14ac:dyDescent="0.25">
      <c r="A35" t="s">
        <v>40</v>
      </c>
      <c r="B35" t="s">
        <v>1113</v>
      </c>
      <c r="C35" t="s">
        <v>727</v>
      </c>
      <c r="D35">
        <v>4</v>
      </c>
    </row>
    <row r="36" spans="1:4" x14ac:dyDescent="0.25">
      <c r="A36" t="s">
        <v>40</v>
      </c>
      <c r="B36" t="s">
        <v>78</v>
      </c>
      <c r="C36" t="s">
        <v>940</v>
      </c>
      <c r="D36">
        <v>6</v>
      </c>
    </row>
    <row r="37" spans="1:4" x14ac:dyDescent="0.25">
      <c r="A37" t="s">
        <v>80</v>
      </c>
      <c r="B37" t="s">
        <v>43</v>
      </c>
      <c r="C37" t="s">
        <v>1589</v>
      </c>
      <c r="D37">
        <v>9</v>
      </c>
    </row>
    <row r="38" spans="1:4" x14ac:dyDescent="0.25">
      <c r="A38" t="s">
        <v>80</v>
      </c>
      <c r="B38" t="s">
        <v>85</v>
      </c>
      <c r="C38" t="s">
        <v>2935</v>
      </c>
      <c r="D38">
        <v>11</v>
      </c>
    </row>
    <row r="39" spans="1:4" x14ac:dyDescent="0.25">
      <c r="A39" t="s">
        <v>80</v>
      </c>
      <c r="B39" t="s">
        <v>93</v>
      </c>
      <c r="C39" t="s">
        <v>3435</v>
      </c>
      <c r="D39">
        <v>13</v>
      </c>
    </row>
    <row r="40" spans="1:4" x14ac:dyDescent="0.25">
      <c r="A40" t="s">
        <v>80</v>
      </c>
      <c r="B40" t="s">
        <v>740</v>
      </c>
      <c r="C40" t="s">
        <v>3436</v>
      </c>
      <c r="D40">
        <v>16</v>
      </c>
    </row>
    <row r="41" spans="1:4" x14ac:dyDescent="0.25">
      <c r="A41" t="s">
        <v>80</v>
      </c>
      <c r="B41" t="s">
        <v>1108</v>
      </c>
      <c r="C41" t="s">
        <v>3437</v>
      </c>
      <c r="D41">
        <v>14</v>
      </c>
    </row>
    <row r="42" spans="1:4" x14ac:dyDescent="0.25">
      <c r="A42" t="s">
        <v>80</v>
      </c>
      <c r="B42" t="s">
        <v>70</v>
      </c>
      <c r="C42" t="s">
        <v>3671</v>
      </c>
      <c r="D42">
        <v>17</v>
      </c>
    </row>
    <row r="43" spans="1:4" x14ac:dyDescent="0.25">
      <c r="A43" t="s">
        <v>80</v>
      </c>
      <c r="B43" t="s">
        <v>2147</v>
      </c>
      <c r="C43" t="s">
        <v>952</v>
      </c>
      <c r="D43">
        <v>15</v>
      </c>
    </row>
    <row r="44" spans="1:4" x14ac:dyDescent="0.25">
      <c r="A44" t="s">
        <v>80</v>
      </c>
      <c r="B44" t="s">
        <v>2147</v>
      </c>
      <c r="C44" t="s">
        <v>1945</v>
      </c>
      <c r="D44">
        <v>14</v>
      </c>
    </row>
    <row r="45" spans="1:4" x14ac:dyDescent="0.25">
      <c r="A45" t="s">
        <v>80</v>
      </c>
      <c r="B45" t="s">
        <v>732</v>
      </c>
      <c r="C45" t="s">
        <v>1946</v>
      </c>
      <c r="D45">
        <v>16</v>
      </c>
    </row>
    <row r="46" spans="1:4" x14ac:dyDescent="0.25">
      <c r="A46" t="s">
        <v>80</v>
      </c>
      <c r="B46" t="s">
        <v>1135</v>
      </c>
      <c r="C46" t="s">
        <v>3127</v>
      </c>
      <c r="D46">
        <v>19</v>
      </c>
    </row>
    <row r="47" spans="1:4" x14ac:dyDescent="0.25">
      <c r="A47" t="s">
        <v>80</v>
      </c>
      <c r="B47" t="s">
        <v>559</v>
      </c>
      <c r="C47" t="s">
        <v>3128</v>
      </c>
      <c r="D47">
        <v>18</v>
      </c>
    </row>
    <row r="48" spans="1:4" x14ac:dyDescent="0.25">
      <c r="A48" t="s">
        <v>80</v>
      </c>
      <c r="B48" t="s">
        <v>559</v>
      </c>
      <c r="C48" t="s">
        <v>2664</v>
      </c>
      <c r="D48">
        <v>17</v>
      </c>
    </row>
    <row r="49" spans="1:4" x14ac:dyDescent="0.25">
      <c r="A49" t="s">
        <v>80</v>
      </c>
      <c r="B49" t="s">
        <v>817</v>
      </c>
      <c r="C49" t="s">
        <v>3672</v>
      </c>
      <c r="D49">
        <v>18</v>
      </c>
    </row>
    <row r="50" spans="1:4" x14ac:dyDescent="0.25">
      <c r="A50" t="s">
        <v>80</v>
      </c>
      <c r="B50" t="s">
        <v>817</v>
      </c>
      <c r="C50" t="s">
        <v>3061</v>
      </c>
      <c r="D50">
        <v>19</v>
      </c>
    </row>
    <row r="51" spans="1:4" x14ac:dyDescent="0.25">
      <c r="A51" t="s">
        <v>80</v>
      </c>
      <c r="B51" t="s">
        <v>817</v>
      </c>
      <c r="C51" t="s">
        <v>958</v>
      </c>
      <c r="D51">
        <v>20</v>
      </c>
    </row>
    <row r="52" spans="1:4" x14ac:dyDescent="0.25">
      <c r="A52" t="s">
        <v>123</v>
      </c>
      <c r="B52" t="s">
        <v>239</v>
      </c>
      <c r="C52" t="s">
        <v>959</v>
      </c>
      <c r="D52">
        <v>22</v>
      </c>
    </row>
    <row r="53" spans="1:4" x14ac:dyDescent="0.25">
      <c r="A53" t="s">
        <v>123</v>
      </c>
      <c r="B53" t="s">
        <v>1768</v>
      </c>
      <c r="C53" t="s">
        <v>3174</v>
      </c>
      <c r="D53">
        <v>25</v>
      </c>
    </row>
    <row r="54" spans="1:4" x14ac:dyDescent="0.25">
      <c r="A54" t="s">
        <v>123</v>
      </c>
      <c r="B54" t="s">
        <v>458</v>
      </c>
      <c r="C54" t="s">
        <v>3175</v>
      </c>
      <c r="D54">
        <v>22</v>
      </c>
    </row>
    <row r="55" spans="1:4" x14ac:dyDescent="0.25">
      <c r="A55" t="s">
        <v>123</v>
      </c>
      <c r="B55" t="s">
        <v>865</v>
      </c>
      <c r="C55" t="s">
        <v>3673</v>
      </c>
      <c r="D55">
        <v>24</v>
      </c>
    </row>
    <row r="56" spans="1:4" x14ac:dyDescent="0.25">
      <c r="A56" t="s">
        <v>123</v>
      </c>
      <c r="B56" t="s">
        <v>832</v>
      </c>
      <c r="C56" t="s">
        <v>3674</v>
      </c>
      <c r="D56">
        <v>27</v>
      </c>
    </row>
    <row r="57" spans="1:4" x14ac:dyDescent="0.25">
      <c r="A57" t="s">
        <v>123</v>
      </c>
      <c r="B57" t="s">
        <v>1013</v>
      </c>
      <c r="C57" t="s">
        <v>3675</v>
      </c>
      <c r="D57">
        <v>25</v>
      </c>
    </row>
    <row r="58" spans="1:4" x14ac:dyDescent="0.25">
      <c r="A58" t="s">
        <v>123</v>
      </c>
      <c r="B58" t="s">
        <v>836</v>
      </c>
      <c r="C58" t="s">
        <v>3215</v>
      </c>
      <c r="D58">
        <v>28</v>
      </c>
    </row>
    <row r="59" spans="1:4" x14ac:dyDescent="0.25">
      <c r="A59" t="s">
        <v>123</v>
      </c>
      <c r="B59" t="s">
        <v>726</v>
      </c>
      <c r="C59" t="s">
        <v>3676</v>
      </c>
      <c r="D59">
        <v>27</v>
      </c>
    </row>
    <row r="60" spans="1:4" x14ac:dyDescent="0.25">
      <c r="A60" t="s">
        <v>123</v>
      </c>
      <c r="B60" t="s">
        <v>726</v>
      </c>
      <c r="C60" t="s">
        <v>2830</v>
      </c>
      <c r="D60">
        <v>26</v>
      </c>
    </row>
    <row r="61" spans="1:4" x14ac:dyDescent="0.25">
      <c r="A61" t="s">
        <v>123</v>
      </c>
      <c r="B61" t="s">
        <v>872</v>
      </c>
      <c r="C61" t="s">
        <v>3677</v>
      </c>
      <c r="D61">
        <v>27</v>
      </c>
    </row>
    <row r="62" spans="1:4" x14ac:dyDescent="0.25">
      <c r="A62" t="s">
        <v>123</v>
      </c>
      <c r="B62" t="s">
        <v>872</v>
      </c>
      <c r="C62" t="s">
        <v>2831</v>
      </c>
      <c r="D62">
        <v>28</v>
      </c>
    </row>
    <row r="63" spans="1:4" x14ac:dyDescent="0.25">
      <c r="A63" t="s">
        <v>123</v>
      </c>
      <c r="B63" t="s">
        <v>315</v>
      </c>
      <c r="C63" t="s">
        <v>2833</v>
      </c>
      <c r="D63">
        <v>26</v>
      </c>
    </row>
    <row r="64" spans="1:4" x14ac:dyDescent="0.25">
      <c r="A64" t="s">
        <v>123</v>
      </c>
      <c r="B64" t="s">
        <v>380</v>
      </c>
      <c r="C64" t="s">
        <v>3139</v>
      </c>
      <c r="D64">
        <v>24</v>
      </c>
    </row>
    <row r="65" spans="1:4" x14ac:dyDescent="0.25">
      <c r="A65" t="s">
        <v>123</v>
      </c>
      <c r="B65" t="s">
        <v>1376</v>
      </c>
      <c r="C65" t="s">
        <v>2836</v>
      </c>
      <c r="D65">
        <v>26</v>
      </c>
    </row>
    <row r="66" spans="1:4" x14ac:dyDescent="0.25">
      <c r="A66" t="s">
        <v>123</v>
      </c>
      <c r="B66" t="s">
        <v>473</v>
      </c>
      <c r="C66" t="s">
        <v>2088</v>
      </c>
      <c r="D66">
        <v>24</v>
      </c>
    </row>
    <row r="67" spans="1:4" x14ac:dyDescent="0.25">
      <c r="A67" t="s">
        <v>123</v>
      </c>
      <c r="B67" t="s">
        <v>228</v>
      </c>
      <c r="C67" t="s">
        <v>3678</v>
      </c>
      <c r="D67">
        <v>27</v>
      </c>
    </row>
    <row r="68" spans="1:4" x14ac:dyDescent="0.25">
      <c r="A68" t="s">
        <v>123</v>
      </c>
      <c r="B68" t="s">
        <v>301</v>
      </c>
      <c r="C68" t="s">
        <v>3679</v>
      </c>
      <c r="D68">
        <v>30</v>
      </c>
    </row>
    <row r="70" spans="1:4" x14ac:dyDescent="0.25">
      <c r="A70" s="2" t="s">
        <v>157</v>
      </c>
    </row>
    <row r="71" spans="1:4" x14ac:dyDescent="0.25">
      <c r="A71" t="s">
        <v>158</v>
      </c>
      <c r="D71">
        <f>AVERAGE(D2:D68)</f>
        <v>8.6865671641791042</v>
      </c>
    </row>
    <row r="72" spans="1:4" x14ac:dyDescent="0.25">
      <c r="A72" t="s">
        <v>159</v>
      </c>
      <c r="D72">
        <f>MAX(D2:D68)</f>
        <v>30</v>
      </c>
    </row>
    <row r="73" spans="1:4" x14ac:dyDescent="0.25">
      <c r="A73" t="s">
        <v>160</v>
      </c>
      <c r="D73">
        <f>MIN(D2:D68)</f>
        <v>-10</v>
      </c>
    </row>
    <row r="74" spans="1:4" x14ac:dyDescent="0.25">
      <c r="A74" t="s">
        <v>161</v>
      </c>
      <c r="D74">
        <f>COUNTIF(D2:D68,"&gt;0")</f>
        <v>42</v>
      </c>
    </row>
    <row r="75" spans="1:4" x14ac:dyDescent="0.25">
      <c r="A75" t="s">
        <v>162</v>
      </c>
      <c r="D75">
        <f>COUNTIF(D2:D68,"=0")</f>
        <v>4</v>
      </c>
    </row>
    <row r="76" spans="1:4" x14ac:dyDescent="0.25">
      <c r="A76" t="s">
        <v>1740</v>
      </c>
      <c r="D76">
        <f>COUNTIF(D2:D68,"&lt;0")</f>
        <v>21</v>
      </c>
    </row>
    <row r="78" spans="1:4" x14ac:dyDescent="0.25">
      <c r="A78" s="2" t="s">
        <v>164</v>
      </c>
    </row>
    <row r="79" spans="1:4" x14ac:dyDescent="0.25">
      <c r="A79" t="s">
        <v>165</v>
      </c>
      <c r="D79">
        <f>AVERAGE(D2,D3,D4,D5,D6,D7,D8,D9,D10,D11,D12,D13,D14,D15,D16,D17,D18,D19)</f>
        <v>-2.2222222222222223</v>
      </c>
    </row>
    <row r="80" spans="1:4" x14ac:dyDescent="0.25">
      <c r="A80" t="s">
        <v>166</v>
      </c>
      <c r="D80">
        <f>AVERAGE(D20,D21,D22,D23,D24,D25,D26,D27,D28,D29,D30,D31,D32,D33,D34,D35,D36)</f>
        <v>-3.0588235294117645</v>
      </c>
    </row>
    <row r="81" spans="1:4" x14ac:dyDescent="0.25">
      <c r="A81" t="s">
        <v>167</v>
      </c>
      <c r="D81">
        <f>AVERAGE(D37,D38,D39,D40,D41,D42,D43,D44,D45,D46,D47,D48,D49,D50,D51)</f>
        <v>15.733333333333333</v>
      </c>
    </row>
    <row r="82" spans="1:4" x14ac:dyDescent="0.25">
      <c r="A82" t="s">
        <v>168</v>
      </c>
      <c r="D82">
        <f>AVERAGE(D52,D53,D54,D55,D56,D57,D58,D59,D60,D61,D62,D63,D64,D65,D66,D67,D68)</f>
        <v>25.764705882352942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1680</v>
      </c>
      <c r="C2" t="s">
        <v>1008</v>
      </c>
      <c r="D2">
        <v>-3</v>
      </c>
    </row>
    <row r="3" spans="1:4" x14ac:dyDescent="0.25">
      <c r="A3" t="s">
        <v>4</v>
      </c>
      <c r="B3" t="s">
        <v>1543</v>
      </c>
      <c r="C3" t="s">
        <v>1191</v>
      </c>
      <c r="D3">
        <v>0</v>
      </c>
    </row>
    <row r="4" spans="1:4" x14ac:dyDescent="0.25">
      <c r="A4" t="s">
        <v>4</v>
      </c>
      <c r="B4" t="s">
        <v>1849</v>
      </c>
      <c r="C4" t="s">
        <v>429</v>
      </c>
      <c r="D4">
        <v>2</v>
      </c>
    </row>
    <row r="5" spans="1:4" x14ac:dyDescent="0.25">
      <c r="A5" t="s">
        <v>4</v>
      </c>
      <c r="B5" t="s">
        <v>862</v>
      </c>
      <c r="C5" t="s">
        <v>430</v>
      </c>
      <c r="D5">
        <v>4</v>
      </c>
    </row>
    <row r="6" spans="1:4" x14ac:dyDescent="0.25">
      <c r="A6" t="s">
        <v>4</v>
      </c>
      <c r="B6" t="s">
        <v>1411</v>
      </c>
      <c r="C6" t="s">
        <v>780</v>
      </c>
      <c r="D6">
        <v>6</v>
      </c>
    </row>
    <row r="7" spans="1:4" x14ac:dyDescent="0.25">
      <c r="A7" t="s">
        <v>4</v>
      </c>
      <c r="B7" t="s">
        <v>1683</v>
      </c>
      <c r="C7" t="s">
        <v>1012</v>
      </c>
      <c r="D7">
        <v>4</v>
      </c>
    </row>
    <row r="8" spans="1:4" x14ac:dyDescent="0.25">
      <c r="A8" t="s">
        <v>4</v>
      </c>
      <c r="B8" t="s">
        <v>648</v>
      </c>
      <c r="C8" t="s">
        <v>1974</v>
      </c>
      <c r="D8">
        <v>5</v>
      </c>
    </row>
    <row r="9" spans="1:4" x14ac:dyDescent="0.25">
      <c r="A9" t="s">
        <v>4</v>
      </c>
      <c r="B9" t="s">
        <v>648</v>
      </c>
      <c r="C9" t="s">
        <v>2594</v>
      </c>
      <c r="D9">
        <v>6</v>
      </c>
    </row>
    <row r="10" spans="1:4" x14ac:dyDescent="0.25">
      <c r="A10" t="s">
        <v>4</v>
      </c>
      <c r="B10" t="s">
        <v>366</v>
      </c>
      <c r="C10" t="s">
        <v>1353</v>
      </c>
      <c r="D10">
        <v>3</v>
      </c>
    </row>
    <row r="11" spans="1:4" x14ac:dyDescent="0.25">
      <c r="A11" t="s">
        <v>4</v>
      </c>
      <c r="B11" t="s">
        <v>64</v>
      </c>
      <c r="C11" t="s">
        <v>318</v>
      </c>
      <c r="D11">
        <v>6</v>
      </c>
    </row>
    <row r="12" spans="1:4" x14ac:dyDescent="0.25">
      <c r="A12" t="s">
        <v>4</v>
      </c>
      <c r="B12" t="s">
        <v>1536</v>
      </c>
      <c r="C12" t="s">
        <v>191</v>
      </c>
      <c r="D12">
        <v>8</v>
      </c>
    </row>
    <row r="13" spans="1:4" x14ac:dyDescent="0.25">
      <c r="A13" t="s">
        <v>4</v>
      </c>
      <c r="B13" t="s">
        <v>319</v>
      </c>
      <c r="C13" t="s">
        <v>193</v>
      </c>
      <c r="D13">
        <v>10</v>
      </c>
    </row>
    <row r="14" spans="1:4" x14ac:dyDescent="0.25">
      <c r="A14" t="s">
        <v>4</v>
      </c>
      <c r="B14" t="s">
        <v>1376</v>
      </c>
      <c r="C14" t="s">
        <v>194</v>
      </c>
      <c r="D14">
        <v>9</v>
      </c>
    </row>
    <row r="15" spans="1:4" x14ac:dyDescent="0.25">
      <c r="A15" t="s">
        <v>4</v>
      </c>
      <c r="B15" t="s">
        <v>116</v>
      </c>
      <c r="C15" t="s">
        <v>3680</v>
      </c>
      <c r="D15">
        <v>11</v>
      </c>
    </row>
    <row r="16" spans="1:4" x14ac:dyDescent="0.25">
      <c r="A16" t="s">
        <v>4</v>
      </c>
      <c r="B16" t="s">
        <v>118</v>
      </c>
      <c r="C16" t="s">
        <v>1357</v>
      </c>
      <c r="D16">
        <v>9</v>
      </c>
    </row>
    <row r="17" spans="1:4" x14ac:dyDescent="0.25">
      <c r="A17" t="s">
        <v>4</v>
      </c>
      <c r="B17" t="s">
        <v>1356</v>
      </c>
      <c r="C17" t="s">
        <v>199</v>
      </c>
      <c r="D17">
        <v>7</v>
      </c>
    </row>
    <row r="18" spans="1:4" x14ac:dyDescent="0.25">
      <c r="A18" t="s">
        <v>4</v>
      </c>
      <c r="B18" t="s">
        <v>880</v>
      </c>
      <c r="C18" t="s">
        <v>2975</v>
      </c>
      <c r="D18">
        <v>9</v>
      </c>
    </row>
    <row r="19" spans="1:4" x14ac:dyDescent="0.25">
      <c r="A19" t="s">
        <v>4</v>
      </c>
      <c r="B19" t="s">
        <v>451</v>
      </c>
      <c r="C19" t="s">
        <v>2519</v>
      </c>
      <c r="D19">
        <v>11</v>
      </c>
    </row>
    <row r="20" spans="1:4" x14ac:dyDescent="0.25">
      <c r="A20" t="s">
        <v>40</v>
      </c>
      <c r="B20" t="s">
        <v>1024</v>
      </c>
      <c r="C20" t="s">
        <v>3681</v>
      </c>
      <c r="D20">
        <v>13</v>
      </c>
    </row>
    <row r="21" spans="1:4" x14ac:dyDescent="0.25">
      <c r="A21" t="s">
        <v>40</v>
      </c>
      <c r="B21" t="s">
        <v>716</v>
      </c>
      <c r="C21" t="s">
        <v>1023</v>
      </c>
      <c r="D21">
        <v>11</v>
      </c>
    </row>
    <row r="22" spans="1:4" x14ac:dyDescent="0.25">
      <c r="A22" t="s">
        <v>40</v>
      </c>
      <c r="B22" t="s">
        <v>487</v>
      </c>
      <c r="C22" t="s">
        <v>2899</v>
      </c>
      <c r="D22">
        <v>13</v>
      </c>
    </row>
    <row r="23" spans="1:4" x14ac:dyDescent="0.25">
      <c r="A23" t="s">
        <v>40</v>
      </c>
      <c r="B23" t="s">
        <v>1613</v>
      </c>
      <c r="C23" t="s">
        <v>1026</v>
      </c>
      <c r="D23">
        <v>10</v>
      </c>
    </row>
    <row r="24" spans="1:4" x14ac:dyDescent="0.25">
      <c r="A24" t="s">
        <v>40</v>
      </c>
      <c r="B24" t="s">
        <v>724</v>
      </c>
      <c r="C24" t="s">
        <v>2523</v>
      </c>
      <c r="D24">
        <v>8</v>
      </c>
    </row>
    <row r="25" spans="1:4" x14ac:dyDescent="0.25">
      <c r="A25" t="s">
        <v>40</v>
      </c>
      <c r="B25" t="s">
        <v>937</v>
      </c>
      <c r="C25" t="s">
        <v>2124</v>
      </c>
      <c r="D25">
        <v>6</v>
      </c>
    </row>
    <row r="26" spans="1:4" x14ac:dyDescent="0.25">
      <c r="A26" t="s">
        <v>40</v>
      </c>
      <c r="B26" t="s">
        <v>56</v>
      </c>
      <c r="C26" t="s">
        <v>2525</v>
      </c>
      <c r="D26">
        <v>9</v>
      </c>
    </row>
    <row r="27" spans="1:4" x14ac:dyDescent="0.25">
      <c r="A27" t="s">
        <v>40</v>
      </c>
      <c r="B27" t="s">
        <v>217</v>
      </c>
      <c r="C27" t="s">
        <v>3433</v>
      </c>
      <c r="D27">
        <v>7</v>
      </c>
    </row>
    <row r="28" spans="1:4" x14ac:dyDescent="0.25">
      <c r="A28" t="s">
        <v>40</v>
      </c>
      <c r="B28" t="s">
        <v>1230</v>
      </c>
      <c r="C28" t="s">
        <v>2932</v>
      </c>
      <c r="D28">
        <v>10</v>
      </c>
    </row>
    <row r="29" spans="1:4" x14ac:dyDescent="0.25">
      <c r="A29" t="s">
        <v>40</v>
      </c>
      <c r="B29" t="s">
        <v>190</v>
      </c>
      <c r="C29" t="s">
        <v>2160</v>
      </c>
      <c r="D29">
        <v>8</v>
      </c>
    </row>
    <row r="30" spans="1:4" x14ac:dyDescent="0.25">
      <c r="A30" t="s">
        <v>40</v>
      </c>
      <c r="B30" t="s">
        <v>378</v>
      </c>
      <c r="C30" t="s">
        <v>2934</v>
      </c>
      <c r="D30">
        <v>10</v>
      </c>
    </row>
    <row r="31" spans="1:4" x14ac:dyDescent="0.25">
      <c r="A31" t="s">
        <v>40</v>
      </c>
      <c r="B31" t="s">
        <v>467</v>
      </c>
      <c r="C31" t="s">
        <v>3123</v>
      </c>
      <c r="D31">
        <v>9</v>
      </c>
    </row>
    <row r="32" spans="1:4" x14ac:dyDescent="0.25">
      <c r="A32" t="s">
        <v>40</v>
      </c>
      <c r="B32" t="s">
        <v>467</v>
      </c>
      <c r="C32" t="s">
        <v>226</v>
      </c>
      <c r="D32">
        <v>8</v>
      </c>
    </row>
    <row r="33" spans="1:4" x14ac:dyDescent="0.25">
      <c r="A33" t="s">
        <v>40</v>
      </c>
      <c r="B33" t="s">
        <v>1638</v>
      </c>
      <c r="C33" t="s">
        <v>939</v>
      </c>
      <c r="D33">
        <v>5</v>
      </c>
    </row>
    <row r="34" spans="1:4" x14ac:dyDescent="0.25">
      <c r="A34" t="s">
        <v>40</v>
      </c>
      <c r="B34" t="s">
        <v>444</v>
      </c>
      <c r="C34" t="s">
        <v>940</v>
      </c>
      <c r="D34">
        <v>6</v>
      </c>
    </row>
    <row r="35" spans="1:4" x14ac:dyDescent="0.25">
      <c r="A35" t="s">
        <v>40</v>
      </c>
      <c r="B35" t="s">
        <v>444</v>
      </c>
      <c r="C35" t="s">
        <v>1938</v>
      </c>
      <c r="D35">
        <v>7</v>
      </c>
    </row>
    <row r="36" spans="1:4" x14ac:dyDescent="0.25">
      <c r="A36" t="s">
        <v>40</v>
      </c>
      <c r="B36" t="s">
        <v>1132</v>
      </c>
      <c r="C36" t="s">
        <v>3682</v>
      </c>
      <c r="D36">
        <v>5</v>
      </c>
    </row>
    <row r="37" spans="1:4" x14ac:dyDescent="0.25">
      <c r="A37" t="s">
        <v>40</v>
      </c>
      <c r="B37" t="s">
        <v>1568</v>
      </c>
      <c r="C37" t="s">
        <v>944</v>
      </c>
      <c r="D37">
        <v>6</v>
      </c>
    </row>
    <row r="38" spans="1:4" x14ac:dyDescent="0.25">
      <c r="A38" t="s">
        <v>80</v>
      </c>
      <c r="B38" t="s">
        <v>907</v>
      </c>
      <c r="C38" t="s">
        <v>945</v>
      </c>
      <c r="D38">
        <v>8</v>
      </c>
    </row>
    <row r="39" spans="1:4" x14ac:dyDescent="0.25">
      <c r="A39" t="s">
        <v>80</v>
      </c>
      <c r="B39" t="s">
        <v>126</v>
      </c>
      <c r="C39" t="s">
        <v>2270</v>
      </c>
      <c r="D39">
        <v>5</v>
      </c>
    </row>
    <row r="40" spans="1:4" x14ac:dyDescent="0.25">
      <c r="A40" t="s">
        <v>80</v>
      </c>
      <c r="B40" t="s">
        <v>490</v>
      </c>
      <c r="C40" t="s">
        <v>1142</v>
      </c>
      <c r="D40">
        <v>8</v>
      </c>
    </row>
    <row r="41" spans="1:4" x14ac:dyDescent="0.25">
      <c r="A41" t="s">
        <v>80</v>
      </c>
      <c r="B41" t="s">
        <v>778</v>
      </c>
      <c r="C41" t="s">
        <v>3683</v>
      </c>
      <c r="D41">
        <v>10</v>
      </c>
    </row>
    <row r="42" spans="1:4" x14ac:dyDescent="0.25">
      <c r="A42" t="s">
        <v>80</v>
      </c>
      <c r="B42" t="s">
        <v>332</v>
      </c>
      <c r="C42" t="s">
        <v>2784</v>
      </c>
      <c r="D42">
        <v>12</v>
      </c>
    </row>
    <row r="43" spans="1:4" x14ac:dyDescent="0.25">
      <c r="A43" t="s">
        <v>80</v>
      </c>
      <c r="B43" t="s">
        <v>2074</v>
      </c>
      <c r="C43" t="s">
        <v>3684</v>
      </c>
      <c r="D43">
        <v>13</v>
      </c>
    </row>
    <row r="44" spans="1:4" x14ac:dyDescent="0.25">
      <c r="A44" t="s">
        <v>80</v>
      </c>
      <c r="B44" t="s">
        <v>1549</v>
      </c>
      <c r="C44" t="s">
        <v>1596</v>
      </c>
      <c r="D44">
        <v>10</v>
      </c>
    </row>
    <row r="45" spans="1:4" x14ac:dyDescent="0.25">
      <c r="A45" t="s">
        <v>80</v>
      </c>
      <c r="B45" t="s">
        <v>13</v>
      </c>
      <c r="C45" t="s">
        <v>3343</v>
      </c>
      <c r="D45">
        <v>13</v>
      </c>
    </row>
    <row r="46" spans="1:4" x14ac:dyDescent="0.25">
      <c r="A46" t="s">
        <v>80</v>
      </c>
      <c r="B46" t="s">
        <v>364</v>
      </c>
      <c r="C46" t="s">
        <v>3344</v>
      </c>
      <c r="D46">
        <v>15</v>
      </c>
    </row>
    <row r="47" spans="1:4" x14ac:dyDescent="0.25">
      <c r="A47" t="s">
        <v>80</v>
      </c>
      <c r="B47" t="s">
        <v>802</v>
      </c>
      <c r="C47" t="s">
        <v>2365</v>
      </c>
      <c r="D47">
        <v>13</v>
      </c>
    </row>
    <row r="48" spans="1:4" x14ac:dyDescent="0.25">
      <c r="A48" t="s">
        <v>80</v>
      </c>
      <c r="B48" t="s">
        <v>1069</v>
      </c>
      <c r="C48" t="s">
        <v>2787</v>
      </c>
      <c r="D48">
        <v>16</v>
      </c>
    </row>
    <row r="49" spans="1:4" x14ac:dyDescent="0.25">
      <c r="A49" t="s">
        <v>80</v>
      </c>
      <c r="B49" t="s">
        <v>219</v>
      </c>
      <c r="C49" t="s">
        <v>2666</v>
      </c>
      <c r="D49">
        <v>14</v>
      </c>
    </row>
    <row r="50" spans="1:4" x14ac:dyDescent="0.25">
      <c r="A50" t="s">
        <v>80</v>
      </c>
      <c r="B50" t="s">
        <v>887</v>
      </c>
      <c r="C50" t="s">
        <v>3065</v>
      </c>
      <c r="D50">
        <v>16</v>
      </c>
    </row>
    <row r="51" spans="1:4" x14ac:dyDescent="0.25">
      <c r="A51" t="s">
        <v>80</v>
      </c>
      <c r="B51" t="s">
        <v>380</v>
      </c>
      <c r="C51" t="s">
        <v>3685</v>
      </c>
      <c r="D51">
        <v>18</v>
      </c>
    </row>
    <row r="52" spans="1:4" x14ac:dyDescent="0.25">
      <c r="A52" t="s">
        <v>80</v>
      </c>
      <c r="B52" t="s">
        <v>544</v>
      </c>
      <c r="C52" t="s">
        <v>3686</v>
      </c>
      <c r="D52">
        <v>16</v>
      </c>
    </row>
    <row r="53" spans="1:4" x14ac:dyDescent="0.25">
      <c r="A53" t="s">
        <v>80</v>
      </c>
      <c r="B53" t="s">
        <v>894</v>
      </c>
      <c r="C53" t="s">
        <v>965</v>
      </c>
      <c r="D53">
        <v>17</v>
      </c>
    </row>
    <row r="54" spans="1:4" x14ac:dyDescent="0.25">
      <c r="A54" t="s">
        <v>80</v>
      </c>
      <c r="B54" t="s">
        <v>894</v>
      </c>
      <c r="C54" t="s">
        <v>3687</v>
      </c>
      <c r="D54">
        <v>18</v>
      </c>
    </row>
    <row r="55" spans="1:4" x14ac:dyDescent="0.25">
      <c r="A55" t="s">
        <v>80</v>
      </c>
      <c r="B55" t="s">
        <v>417</v>
      </c>
      <c r="C55" t="s">
        <v>2668</v>
      </c>
      <c r="D55">
        <v>15</v>
      </c>
    </row>
    <row r="56" spans="1:4" x14ac:dyDescent="0.25">
      <c r="A56" t="s">
        <v>80</v>
      </c>
      <c r="B56" t="s">
        <v>346</v>
      </c>
      <c r="C56" t="s">
        <v>3688</v>
      </c>
      <c r="D56">
        <v>18</v>
      </c>
    </row>
    <row r="57" spans="1:4" x14ac:dyDescent="0.25">
      <c r="A57" t="s">
        <v>80</v>
      </c>
      <c r="B57" t="s">
        <v>582</v>
      </c>
      <c r="C57" t="s">
        <v>2939</v>
      </c>
      <c r="D57">
        <v>15</v>
      </c>
    </row>
    <row r="58" spans="1:4" x14ac:dyDescent="0.25">
      <c r="A58" t="s">
        <v>80</v>
      </c>
      <c r="B58" t="s">
        <v>1874</v>
      </c>
      <c r="C58" t="s">
        <v>3182</v>
      </c>
      <c r="D58">
        <v>18</v>
      </c>
    </row>
    <row r="59" spans="1:4" x14ac:dyDescent="0.25">
      <c r="A59" t="s">
        <v>80</v>
      </c>
      <c r="B59" t="s">
        <v>36</v>
      </c>
      <c r="C59" t="s">
        <v>2941</v>
      </c>
      <c r="D59">
        <v>16</v>
      </c>
    </row>
    <row r="60" spans="1:4" x14ac:dyDescent="0.25">
      <c r="A60" t="s">
        <v>123</v>
      </c>
      <c r="B60" t="s">
        <v>1648</v>
      </c>
      <c r="C60" t="s">
        <v>976</v>
      </c>
      <c r="D60">
        <v>19</v>
      </c>
    </row>
    <row r="61" spans="1:4" x14ac:dyDescent="0.25">
      <c r="A61" t="s">
        <v>123</v>
      </c>
      <c r="B61" t="s">
        <v>689</v>
      </c>
      <c r="C61" t="s">
        <v>2944</v>
      </c>
      <c r="D61">
        <v>17</v>
      </c>
    </row>
    <row r="62" spans="1:4" x14ac:dyDescent="0.25">
      <c r="A62" t="s">
        <v>123</v>
      </c>
      <c r="B62" t="s">
        <v>1010</v>
      </c>
      <c r="C62" t="s">
        <v>2378</v>
      </c>
      <c r="D62">
        <v>15</v>
      </c>
    </row>
    <row r="63" spans="1:4" x14ac:dyDescent="0.25">
      <c r="A63" t="s">
        <v>123</v>
      </c>
      <c r="B63" t="s">
        <v>1453</v>
      </c>
      <c r="C63" t="s">
        <v>2871</v>
      </c>
      <c r="D63">
        <v>12</v>
      </c>
    </row>
    <row r="64" spans="1:4" x14ac:dyDescent="0.25">
      <c r="A64" t="s">
        <v>123</v>
      </c>
      <c r="B64" t="s">
        <v>1325</v>
      </c>
      <c r="C64" t="s">
        <v>2675</v>
      </c>
      <c r="D64">
        <v>14</v>
      </c>
    </row>
    <row r="65" spans="1:4" x14ac:dyDescent="0.25">
      <c r="A65" t="s">
        <v>123</v>
      </c>
      <c r="B65" t="s">
        <v>1194</v>
      </c>
      <c r="C65" t="s">
        <v>2188</v>
      </c>
      <c r="D65">
        <v>12</v>
      </c>
    </row>
    <row r="66" spans="1:4" x14ac:dyDescent="0.25">
      <c r="A66" t="s">
        <v>123</v>
      </c>
      <c r="B66" t="s">
        <v>363</v>
      </c>
      <c r="C66" t="s">
        <v>1478</v>
      </c>
      <c r="D66">
        <v>15</v>
      </c>
    </row>
    <row r="67" spans="1:4" x14ac:dyDescent="0.25">
      <c r="A67" t="s">
        <v>123</v>
      </c>
      <c r="B67" t="s">
        <v>834</v>
      </c>
      <c r="C67" t="s">
        <v>2282</v>
      </c>
      <c r="D67">
        <v>13</v>
      </c>
    </row>
    <row r="68" spans="1:4" x14ac:dyDescent="0.25">
      <c r="A68" t="s">
        <v>123</v>
      </c>
      <c r="B68" t="s">
        <v>1105</v>
      </c>
      <c r="C68" t="s">
        <v>3356</v>
      </c>
      <c r="D68">
        <v>16</v>
      </c>
    </row>
    <row r="69" spans="1:4" x14ac:dyDescent="0.25">
      <c r="A69" t="s">
        <v>123</v>
      </c>
      <c r="B69" t="s">
        <v>1533</v>
      </c>
      <c r="C69" t="s">
        <v>2804</v>
      </c>
      <c r="D69">
        <v>18</v>
      </c>
    </row>
    <row r="70" spans="1:4" x14ac:dyDescent="0.25">
      <c r="A70" t="s">
        <v>123</v>
      </c>
      <c r="B70" t="s">
        <v>437</v>
      </c>
      <c r="C70" t="s">
        <v>3689</v>
      </c>
      <c r="D70">
        <v>20</v>
      </c>
    </row>
    <row r="71" spans="1:4" x14ac:dyDescent="0.25">
      <c r="A71" t="s">
        <v>123</v>
      </c>
      <c r="B71" t="s">
        <v>223</v>
      </c>
      <c r="C71" t="s">
        <v>3690</v>
      </c>
      <c r="D71">
        <v>22</v>
      </c>
    </row>
    <row r="72" spans="1:4" x14ac:dyDescent="0.25">
      <c r="A72" t="s">
        <v>123</v>
      </c>
      <c r="B72" t="s">
        <v>285</v>
      </c>
      <c r="C72" t="s">
        <v>3691</v>
      </c>
      <c r="D72">
        <v>19</v>
      </c>
    </row>
    <row r="73" spans="1:4" x14ac:dyDescent="0.25">
      <c r="A73" t="s">
        <v>123</v>
      </c>
      <c r="B73" t="s">
        <v>503</v>
      </c>
      <c r="C73" t="s">
        <v>3692</v>
      </c>
      <c r="D73">
        <v>21</v>
      </c>
    </row>
    <row r="74" spans="1:4" x14ac:dyDescent="0.25">
      <c r="A74" t="s">
        <v>123</v>
      </c>
      <c r="B74" t="s">
        <v>1339</v>
      </c>
      <c r="C74" t="s">
        <v>3693</v>
      </c>
      <c r="D74">
        <v>19</v>
      </c>
    </row>
    <row r="75" spans="1:4" x14ac:dyDescent="0.25">
      <c r="A75" t="s">
        <v>123</v>
      </c>
      <c r="B75" t="s">
        <v>534</v>
      </c>
      <c r="C75" t="s">
        <v>3694</v>
      </c>
      <c r="D75">
        <v>21</v>
      </c>
    </row>
    <row r="76" spans="1:4" x14ac:dyDescent="0.25">
      <c r="A76" t="s">
        <v>123</v>
      </c>
      <c r="B76" t="s">
        <v>534</v>
      </c>
      <c r="C76" t="s">
        <v>3265</v>
      </c>
      <c r="D76">
        <v>22</v>
      </c>
    </row>
    <row r="77" spans="1:4" x14ac:dyDescent="0.25">
      <c r="A77" t="s">
        <v>123</v>
      </c>
      <c r="B77" t="s">
        <v>681</v>
      </c>
      <c r="C77" t="s">
        <v>3194</v>
      </c>
      <c r="D77">
        <v>20</v>
      </c>
    </row>
    <row r="78" spans="1:4" x14ac:dyDescent="0.25">
      <c r="A78" t="s">
        <v>123</v>
      </c>
      <c r="B78" t="s">
        <v>770</v>
      </c>
      <c r="C78" t="s">
        <v>3695</v>
      </c>
      <c r="D78">
        <v>18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11.623376623376624</v>
      </c>
    </row>
    <row r="82" spans="1:4" x14ac:dyDescent="0.25">
      <c r="A82" t="s">
        <v>159</v>
      </c>
      <c r="D82">
        <f>MAX(D2:D78)</f>
        <v>22</v>
      </c>
    </row>
    <row r="83" spans="1:4" x14ac:dyDescent="0.25">
      <c r="A83" t="s">
        <v>160</v>
      </c>
      <c r="D83">
        <f>MIN(D2:D78)</f>
        <v>-3</v>
      </c>
    </row>
    <row r="84" spans="1:4" x14ac:dyDescent="0.25">
      <c r="A84" t="s">
        <v>161</v>
      </c>
      <c r="D84">
        <f>COUNTIF(D2:D78,"&gt;0")</f>
        <v>75</v>
      </c>
    </row>
    <row r="85" spans="1:4" x14ac:dyDescent="0.25">
      <c r="A85" t="s">
        <v>162</v>
      </c>
      <c r="D85">
        <f>COUNTIF(D2:D78,"=0")</f>
        <v>1</v>
      </c>
    </row>
    <row r="86" spans="1:4" x14ac:dyDescent="0.25">
      <c r="A86" t="s">
        <v>1428</v>
      </c>
      <c r="D86">
        <f>COUNTIF(D2:D78,"&lt;0")</f>
        <v>1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AVERAGE(D2,D3,D4,D5,D6,D7,D8,D9,D10,D11,D12,D13,D14,D15,D16,D17,D18,D19)</f>
        <v>5.9444444444444446</v>
      </c>
    </row>
    <row r="90" spans="1:4" x14ac:dyDescent="0.25">
      <c r="A90" t="s">
        <v>166</v>
      </c>
      <c r="D90">
        <f>AVERAGE(D20,D21,D22,D23,D24,D25,D26,D27,D28,D29,D30,D31,D32,D33,D34,D35,D36,D37)</f>
        <v>8.3888888888888893</v>
      </c>
    </row>
    <row r="91" spans="1:4" x14ac:dyDescent="0.25">
      <c r="A91" t="s">
        <v>167</v>
      </c>
      <c r="D91">
        <f>AVERAGE(D38,D39,D40,D41,D42,D43,D44,D45,D46,D47,D48,D49,D50,D51,D52,D53,D54,D55,D56,D57,D58,D59)</f>
        <v>13.818181818181818</v>
      </c>
    </row>
    <row r="92" spans="1:4" x14ac:dyDescent="0.25">
      <c r="A92" t="s">
        <v>168</v>
      </c>
      <c r="D92">
        <f>AVERAGE(D60,D61,D62,D63,D64,D65,D66,D67,D68,D69,D70,D71,D72,D73,D74,D75,D76,D77,D78)</f>
        <v>17.526315789473685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9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83</v>
      </c>
      <c r="C2" t="s">
        <v>6</v>
      </c>
      <c r="D2">
        <v>2</v>
      </c>
    </row>
    <row r="3" spans="1:4" x14ac:dyDescent="0.25">
      <c r="A3" t="s">
        <v>4</v>
      </c>
      <c r="B3" t="s">
        <v>47</v>
      </c>
      <c r="C3" t="s">
        <v>8</v>
      </c>
      <c r="D3">
        <v>0</v>
      </c>
    </row>
    <row r="4" spans="1:4" x14ac:dyDescent="0.25">
      <c r="A4" t="s">
        <v>4</v>
      </c>
      <c r="B4" t="s">
        <v>2405</v>
      </c>
      <c r="C4" t="s">
        <v>1869</v>
      </c>
      <c r="D4">
        <v>-3</v>
      </c>
    </row>
    <row r="5" spans="1:4" x14ac:dyDescent="0.25">
      <c r="A5" t="s">
        <v>4</v>
      </c>
      <c r="B5" t="s">
        <v>1119</v>
      </c>
      <c r="C5" t="s">
        <v>910</v>
      </c>
      <c r="D5">
        <v>-2</v>
      </c>
    </row>
    <row r="6" spans="1:4" x14ac:dyDescent="0.25">
      <c r="A6" t="s">
        <v>4</v>
      </c>
      <c r="B6" t="s">
        <v>1723</v>
      </c>
      <c r="C6" t="s">
        <v>911</v>
      </c>
      <c r="D6">
        <v>-4</v>
      </c>
    </row>
    <row r="7" spans="1:4" x14ac:dyDescent="0.25">
      <c r="A7" t="s">
        <v>4</v>
      </c>
      <c r="B7" t="s">
        <v>802</v>
      </c>
      <c r="C7" t="s">
        <v>913</v>
      </c>
      <c r="D7">
        <v>-2</v>
      </c>
    </row>
    <row r="8" spans="1:4" x14ac:dyDescent="0.25">
      <c r="A8" t="s">
        <v>4</v>
      </c>
      <c r="B8" t="s">
        <v>366</v>
      </c>
      <c r="C8" t="s">
        <v>1496</v>
      </c>
      <c r="D8">
        <v>-4</v>
      </c>
    </row>
    <row r="9" spans="1:4" x14ac:dyDescent="0.25">
      <c r="A9" t="s">
        <v>4</v>
      </c>
      <c r="B9" t="s">
        <v>700</v>
      </c>
      <c r="C9" t="s">
        <v>3696</v>
      </c>
      <c r="D9">
        <v>-6</v>
      </c>
    </row>
    <row r="10" spans="1:4" x14ac:dyDescent="0.25">
      <c r="A10" t="s">
        <v>4</v>
      </c>
      <c r="B10" t="s">
        <v>1108</v>
      </c>
      <c r="C10" t="s">
        <v>3611</v>
      </c>
      <c r="D10">
        <v>-4</v>
      </c>
    </row>
    <row r="11" spans="1:4" x14ac:dyDescent="0.25">
      <c r="A11" t="s">
        <v>4</v>
      </c>
      <c r="B11" t="s">
        <v>1016</v>
      </c>
      <c r="C11" t="s">
        <v>1499</v>
      </c>
      <c r="D11">
        <v>-5</v>
      </c>
    </row>
    <row r="12" spans="1:4" x14ac:dyDescent="0.25">
      <c r="A12" t="s">
        <v>4</v>
      </c>
      <c r="B12" t="s">
        <v>1436</v>
      </c>
      <c r="C12" t="s">
        <v>1637</v>
      </c>
      <c r="D12">
        <v>-6</v>
      </c>
    </row>
    <row r="13" spans="1:4" x14ac:dyDescent="0.25">
      <c r="A13" t="s">
        <v>4</v>
      </c>
      <c r="B13" t="s">
        <v>142</v>
      </c>
      <c r="C13" t="s">
        <v>3697</v>
      </c>
      <c r="D13">
        <v>-5</v>
      </c>
    </row>
    <row r="14" spans="1:4" x14ac:dyDescent="0.25">
      <c r="A14" t="s">
        <v>4</v>
      </c>
      <c r="B14" t="s">
        <v>286</v>
      </c>
      <c r="C14" t="s">
        <v>2754</v>
      </c>
      <c r="D14">
        <v>-7</v>
      </c>
    </row>
    <row r="15" spans="1:4" x14ac:dyDescent="0.25">
      <c r="A15" t="s">
        <v>4</v>
      </c>
      <c r="B15" t="s">
        <v>812</v>
      </c>
      <c r="C15" t="s">
        <v>1701</v>
      </c>
      <c r="D15">
        <v>-5</v>
      </c>
    </row>
    <row r="16" spans="1:4" x14ac:dyDescent="0.25">
      <c r="A16" t="s">
        <v>4</v>
      </c>
      <c r="B16" t="s">
        <v>876</v>
      </c>
      <c r="C16" t="s">
        <v>1502</v>
      </c>
      <c r="D16">
        <v>-7</v>
      </c>
    </row>
    <row r="17" spans="1:4" x14ac:dyDescent="0.25">
      <c r="A17" t="s">
        <v>4</v>
      </c>
      <c r="B17" t="s">
        <v>116</v>
      </c>
      <c r="C17" t="s">
        <v>1504</v>
      </c>
      <c r="D17">
        <v>-4</v>
      </c>
    </row>
    <row r="18" spans="1:4" x14ac:dyDescent="0.25">
      <c r="A18" t="s">
        <v>4</v>
      </c>
      <c r="B18" t="s">
        <v>1750</v>
      </c>
      <c r="C18" t="s">
        <v>1505</v>
      </c>
      <c r="D18">
        <v>-2</v>
      </c>
    </row>
    <row r="19" spans="1:4" x14ac:dyDescent="0.25">
      <c r="A19" t="s">
        <v>4</v>
      </c>
      <c r="B19" t="s">
        <v>732</v>
      </c>
      <c r="C19" t="s">
        <v>2699</v>
      </c>
      <c r="D19">
        <v>-4</v>
      </c>
    </row>
    <row r="20" spans="1:4" x14ac:dyDescent="0.25">
      <c r="A20" t="s">
        <v>4</v>
      </c>
      <c r="B20" t="s">
        <v>531</v>
      </c>
      <c r="C20" t="s">
        <v>2123</v>
      </c>
      <c r="D20">
        <v>-1</v>
      </c>
    </row>
    <row r="21" spans="1:4" x14ac:dyDescent="0.25">
      <c r="A21" t="s">
        <v>4</v>
      </c>
      <c r="B21" t="s">
        <v>322</v>
      </c>
      <c r="C21" t="s">
        <v>2327</v>
      </c>
      <c r="D21">
        <v>-4</v>
      </c>
    </row>
    <row r="22" spans="1:4" x14ac:dyDescent="0.25">
      <c r="A22" t="s">
        <v>40</v>
      </c>
      <c r="B22" t="s">
        <v>453</v>
      </c>
      <c r="C22" t="s">
        <v>2206</v>
      </c>
      <c r="D22">
        <v>-3</v>
      </c>
    </row>
    <row r="23" spans="1:4" x14ac:dyDescent="0.25">
      <c r="A23" t="s">
        <v>40</v>
      </c>
      <c r="B23" t="s">
        <v>2052</v>
      </c>
      <c r="C23" t="s">
        <v>2265</v>
      </c>
      <c r="D23">
        <v>-1</v>
      </c>
    </row>
    <row r="24" spans="1:4" x14ac:dyDescent="0.25">
      <c r="A24" t="s">
        <v>40</v>
      </c>
      <c r="B24" t="s">
        <v>565</v>
      </c>
      <c r="C24" t="s">
        <v>48</v>
      </c>
      <c r="D24">
        <v>-3</v>
      </c>
    </row>
    <row r="25" spans="1:4" x14ac:dyDescent="0.25">
      <c r="A25" t="s">
        <v>40</v>
      </c>
      <c r="B25" t="s">
        <v>2355</v>
      </c>
      <c r="C25" t="s">
        <v>2780</v>
      </c>
      <c r="D25">
        <v>0</v>
      </c>
    </row>
    <row r="26" spans="1:4" x14ac:dyDescent="0.25">
      <c r="A26" t="s">
        <v>40</v>
      </c>
      <c r="B26" t="s">
        <v>1411</v>
      </c>
      <c r="C26" t="s">
        <v>336</v>
      </c>
      <c r="D26">
        <v>2</v>
      </c>
    </row>
    <row r="27" spans="1:4" x14ac:dyDescent="0.25">
      <c r="A27" t="s">
        <v>40</v>
      </c>
      <c r="B27" t="s">
        <v>497</v>
      </c>
      <c r="C27" t="s">
        <v>931</v>
      </c>
      <c r="D27">
        <v>5</v>
      </c>
    </row>
    <row r="28" spans="1:4" x14ac:dyDescent="0.25">
      <c r="A28" t="s">
        <v>40</v>
      </c>
      <c r="B28" t="s">
        <v>1105</v>
      </c>
      <c r="C28" t="s">
        <v>218</v>
      </c>
      <c r="D28">
        <v>3</v>
      </c>
    </row>
    <row r="29" spans="1:4" x14ac:dyDescent="0.25">
      <c r="A29" t="s">
        <v>40</v>
      </c>
      <c r="B29" t="s">
        <v>654</v>
      </c>
      <c r="C29" t="s">
        <v>220</v>
      </c>
      <c r="D29">
        <v>6</v>
      </c>
    </row>
    <row r="30" spans="1:4" x14ac:dyDescent="0.25">
      <c r="A30" t="s">
        <v>40</v>
      </c>
      <c r="B30" t="s">
        <v>1776</v>
      </c>
      <c r="C30" t="s">
        <v>1213</v>
      </c>
      <c r="D30">
        <v>3</v>
      </c>
    </row>
    <row r="31" spans="1:4" x14ac:dyDescent="0.25">
      <c r="A31" t="s">
        <v>40</v>
      </c>
      <c r="B31" t="s">
        <v>807</v>
      </c>
      <c r="C31" t="s">
        <v>1214</v>
      </c>
      <c r="D31">
        <v>5</v>
      </c>
    </row>
    <row r="32" spans="1:4" x14ac:dyDescent="0.25">
      <c r="A32" t="s">
        <v>40</v>
      </c>
      <c r="B32" t="s">
        <v>440</v>
      </c>
      <c r="C32" t="s">
        <v>1215</v>
      </c>
      <c r="D32">
        <v>8</v>
      </c>
    </row>
    <row r="33" spans="1:4" x14ac:dyDescent="0.25">
      <c r="A33" t="s">
        <v>40</v>
      </c>
      <c r="B33" t="s">
        <v>1396</v>
      </c>
      <c r="C33" t="s">
        <v>940</v>
      </c>
      <c r="D33">
        <v>6</v>
      </c>
    </row>
    <row r="34" spans="1:4" x14ac:dyDescent="0.25">
      <c r="A34" t="s">
        <v>40</v>
      </c>
      <c r="B34" t="s">
        <v>294</v>
      </c>
      <c r="C34" t="s">
        <v>1216</v>
      </c>
      <c r="D34">
        <v>4</v>
      </c>
    </row>
    <row r="35" spans="1:4" x14ac:dyDescent="0.25">
      <c r="A35" t="s">
        <v>40</v>
      </c>
      <c r="B35" t="s">
        <v>74</v>
      </c>
      <c r="C35" t="s">
        <v>944</v>
      </c>
      <c r="D35">
        <v>6</v>
      </c>
    </row>
    <row r="36" spans="1:4" x14ac:dyDescent="0.25">
      <c r="A36" t="s">
        <v>40</v>
      </c>
      <c r="B36" t="s">
        <v>1276</v>
      </c>
      <c r="C36" t="s">
        <v>946</v>
      </c>
      <c r="D36">
        <v>9</v>
      </c>
    </row>
    <row r="37" spans="1:4" x14ac:dyDescent="0.25">
      <c r="A37" t="s">
        <v>80</v>
      </c>
      <c r="B37" t="s">
        <v>1055</v>
      </c>
      <c r="C37" t="s">
        <v>1592</v>
      </c>
      <c r="D37">
        <v>7</v>
      </c>
    </row>
    <row r="38" spans="1:4" x14ac:dyDescent="0.25">
      <c r="A38" t="s">
        <v>80</v>
      </c>
      <c r="B38" t="s">
        <v>1929</v>
      </c>
      <c r="C38" t="s">
        <v>2783</v>
      </c>
      <c r="D38">
        <v>10</v>
      </c>
    </row>
    <row r="39" spans="1:4" x14ac:dyDescent="0.25">
      <c r="A39" t="s">
        <v>80</v>
      </c>
      <c r="B39" t="s">
        <v>719</v>
      </c>
      <c r="C39" t="s">
        <v>3341</v>
      </c>
      <c r="D39">
        <v>12</v>
      </c>
    </row>
    <row r="40" spans="1:4" x14ac:dyDescent="0.25">
      <c r="A40" t="s">
        <v>80</v>
      </c>
      <c r="B40" t="s">
        <v>1613</v>
      </c>
      <c r="C40" t="s">
        <v>3342</v>
      </c>
      <c r="D40">
        <v>10</v>
      </c>
    </row>
    <row r="41" spans="1:4" x14ac:dyDescent="0.25">
      <c r="A41" t="s">
        <v>80</v>
      </c>
      <c r="B41" t="s">
        <v>568</v>
      </c>
      <c r="C41" t="s">
        <v>3698</v>
      </c>
      <c r="D41">
        <v>8</v>
      </c>
    </row>
    <row r="42" spans="1:4" x14ac:dyDescent="0.25">
      <c r="A42" t="s">
        <v>80</v>
      </c>
      <c r="B42" t="s">
        <v>779</v>
      </c>
      <c r="C42" t="s">
        <v>3699</v>
      </c>
      <c r="D42">
        <v>5</v>
      </c>
    </row>
    <row r="43" spans="1:4" x14ac:dyDescent="0.25">
      <c r="A43" t="s">
        <v>80</v>
      </c>
      <c r="B43" t="s">
        <v>335</v>
      </c>
      <c r="C43" t="s">
        <v>3700</v>
      </c>
      <c r="D43">
        <v>7</v>
      </c>
    </row>
    <row r="44" spans="1:4" x14ac:dyDescent="0.25">
      <c r="A44" t="s">
        <v>80</v>
      </c>
      <c r="B44" t="s">
        <v>405</v>
      </c>
      <c r="C44" t="s">
        <v>2549</v>
      </c>
      <c r="D44">
        <v>5</v>
      </c>
    </row>
    <row r="45" spans="1:4" x14ac:dyDescent="0.25">
      <c r="A45" t="s">
        <v>80</v>
      </c>
      <c r="B45" t="s">
        <v>465</v>
      </c>
      <c r="C45" t="s">
        <v>2272</v>
      </c>
      <c r="D45">
        <v>7</v>
      </c>
    </row>
    <row r="46" spans="1:4" x14ac:dyDescent="0.25">
      <c r="A46" t="s">
        <v>80</v>
      </c>
      <c r="B46" t="s">
        <v>2032</v>
      </c>
      <c r="C46" t="s">
        <v>2172</v>
      </c>
      <c r="D46">
        <v>5</v>
      </c>
    </row>
    <row r="47" spans="1:4" x14ac:dyDescent="0.25">
      <c r="A47" t="s">
        <v>80</v>
      </c>
      <c r="B47" t="s">
        <v>1288</v>
      </c>
      <c r="C47" t="s">
        <v>491</v>
      </c>
      <c r="D47">
        <v>7</v>
      </c>
    </row>
    <row r="48" spans="1:4" x14ac:dyDescent="0.25">
      <c r="A48" t="s">
        <v>80</v>
      </c>
      <c r="B48" t="s">
        <v>2250</v>
      </c>
      <c r="C48" t="s">
        <v>1526</v>
      </c>
      <c r="D48">
        <v>5</v>
      </c>
    </row>
    <row r="49" spans="1:4" x14ac:dyDescent="0.25">
      <c r="A49" t="s">
        <v>80</v>
      </c>
      <c r="B49" t="s">
        <v>21</v>
      </c>
      <c r="C49" t="s">
        <v>3583</v>
      </c>
      <c r="D49">
        <v>6</v>
      </c>
    </row>
    <row r="50" spans="1:4" x14ac:dyDescent="0.25">
      <c r="A50" t="s">
        <v>80</v>
      </c>
      <c r="B50" t="s">
        <v>807</v>
      </c>
      <c r="C50" t="s">
        <v>2273</v>
      </c>
      <c r="D50">
        <v>5</v>
      </c>
    </row>
    <row r="51" spans="1:4" x14ac:dyDescent="0.25">
      <c r="A51" t="s">
        <v>80</v>
      </c>
      <c r="B51" t="s">
        <v>807</v>
      </c>
      <c r="C51" t="s">
        <v>1835</v>
      </c>
      <c r="D51">
        <v>4</v>
      </c>
    </row>
    <row r="52" spans="1:4" x14ac:dyDescent="0.25">
      <c r="A52" t="s">
        <v>80</v>
      </c>
      <c r="B52" t="s">
        <v>2048</v>
      </c>
      <c r="C52" t="s">
        <v>495</v>
      </c>
      <c r="D52">
        <v>5</v>
      </c>
    </row>
    <row r="53" spans="1:4" x14ac:dyDescent="0.25">
      <c r="A53" t="s">
        <v>80</v>
      </c>
      <c r="B53" t="s">
        <v>815</v>
      </c>
      <c r="C53" t="s">
        <v>496</v>
      </c>
      <c r="D53">
        <v>4</v>
      </c>
    </row>
    <row r="54" spans="1:4" x14ac:dyDescent="0.25">
      <c r="A54" t="s">
        <v>80</v>
      </c>
      <c r="B54" t="s">
        <v>815</v>
      </c>
      <c r="C54" t="s">
        <v>2492</v>
      </c>
      <c r="D54">
        <v>3</v>
      </c>
    </row>
    <row r="55" spans="1:4" x14ac:dyDescent="0.25">
      <c r="A55" t="s">
        <v>80</v>
      </c>
      <c r="B55" t="s">
        <v>1113</v>
      </c>
      <c r="C55" t="s">
        <v>2493</v>
      </c>
      <c r="D55">
        <v>1</v>
      </c>
    </row>
    <row r="56" spans="1:4" x14ac:dyDescent="0.25">
      <c r="A56" t="s">
        <v>80</v>
      </c>
      <c r="B56" t="s">
        <v>202</v>
      </c>
      <c r="C56" t="s">
        <v>1532</v>
      </c>
      <c r="D56">
        <v>2</v>
      </c>
    </row>
    <row r="57" spans="1:4" x14ac:dyDescent="0.25">
      <c r="A57" t="s">
        <v>80</v>
      </c>
      <c r="B57" t="s">
        <v>202</v>
      </c>
      <c r="C57" t="s">
        <v>2178</v>
      </c>
      <c r="D57">
        <v>3</v>
      </c>
    </row>
    <row r="58" spans="1:4" x14ac:dyDescent="0.25">
      <c r="A58" t="s">
        <v>80</v>
      </c>
      <c r="B58" t="s">
        <v>235</v>
      </c>
      <c r="C58" t="s">
        <v>635</v>
      </c>
      <c r="D58">
        <v>1</v>
      </c>
    </row>
    <row r="59" spans="1:4" x14ac:dyDescent="0.25">
      <c r="A59" t="s">
        <v>123</v>
      </c>
      <c r="B59" t="s">
        <v>1024</v>
      </c>
      <c r="C59" t="s">
        <v>636</v>
      </c>
      <c r="D59">
        <v>3</v>
      </c>
    </row>
    <row r="60" spans="1:4" x14ac:dyDescent="0.25">
      <c r="A60" t="s">
        <v>123</v>
      </c>
      <c r="B60" t="s">
        <v>1755</v>
      </c>
      <c r="C60" t="s">
        <v>1607</v>
      </c>
      <c r="D60">
        <v>5</v>
      </c>
    </row>
    <row r="61" spans="1:4" x14ac:dyDescent="0.25">
      <c r="A61" t="s">
        <v>123</v>
      </c>
      <c r="B61" t="s">
        <v>307</v>
      </c>
      <c r="C61" t="s">
        <v>393</v>
      </c>
      <c r="D61">
        <v>3</v>
      </c>
    </row>
    <row r="62" spans="1:4" x14ac:dyDescent="0.25">
      <c r="A62" t="s">
        <v>123</v>
      </c>
      <c r="B62" t="s">
        <v>779</v>
      </c>
      <c r="C62" t="s">
        <v>3019</v>
      </c>
      <c r="D62">
        <v>6</v>
      </c>
    </row>
    <row r="63" spans="1:4" x14ac:dyDescent="0.25">
      <c r="A63" t="s">
        <v>123</v>
      </c>
      <c r="B63" t="s">
        <v>698</v>
      </c>
      <c r="C63" t="s">
        <v>397</v>
      </c>
      <c r="D63">
        <v>8</v>
      </c>
    </row>
    <row r="64" spans="1:4" x14ac:dyDescent="0.25">
      <c r="A64" t="s">
        <v>123</v>
      </c>
      <c r="B64" t="s">
        <v>600</v>
      </c>
      <c r="C64" t="s">
        <v>1611</v>
      </c>
      <c r="D64">
        <v>7</v>
      </c>
    </row>
    <row r="65" spans="1:4" x14ac:dyDescent="0.25">
      <c r="A65" t="s">
        <v>123</v>
      </c>
      <c r="B65" t="s">
        <v>600</v>
      </c>
      <c r="C65" t="s">
        <v>2183</v>
      </c>
      <c r="D65">
        <v>6</v>
      </c>
    </row>
    <row r="66" spans="1:4" x14ac:dyDescent="0.25">
      <c r="A66" t="s">
        <v>123</v>
      </c>
      <c r="B66" t="s">
        <v>64</v>
      </c>
      <c r="C66" t="s">
        <v>401</v>
      </c>
      <c r="D66">
        <v>8</v>
      </c>
    </row>
    <row r="67" spans="1:4" x14ac:dyDescent="0.25">
      <c r="A67" t="s">
        <v>123</v>
      </c>
      <c r="B67" t="s">
        <v>341</v>
      </c>
      <c r="C67" t="s">
        <v>2184</v>
      </c>
      <c r="D67">
        <v>6</v>
      </c>
    </row>
    <row r="68" spans="1:4" x14ac:dyDescent="0.25">
      <c r="A68" t="s">
        <v>123</v>
      </c>
      <c r="B68" t="s">
        <v>444</v>
      </c>
      <c r="C68" t="s">
        <v>3701</v>
      </c>
      <c r="D68">
        <v>8</v>
      </c>
    </row>
    <row r="69" spans="1:4" x14ac:dyDescent="0.25">
      <c r="A69" t="s">
        <v>123</v>
      </c>
      <c r="B69" t="s">
        <v>582</v>
      </c>
      <c r="C69" t="s">
        <v>2186</v>
      </c>
      <c r="D69">
        <v>10</v>
      </c>
    </row>
    <row r="70" spans="1:4" x14ac:dyDescent="0.25">
      <c r="A70" t="s">
        <v>123</v>
      </c>
      <c r="B70" t="s">
        <v>556</v>
      </c>
      <c r="C70" t="s">
        <v>3453</v>
      </c>
      <c r="D70">
        <v>8</v>
      </c>
    </row>
    <row r="71" spans="1:4" x14ac:dyDescent="0.25">
      <c r="A71" t="s">
        <v>123</v>
      </c>
      <c r="B71" t="s">
        <v>36</v>
      </c>
      <c r="C71" t="s">
        <v>2280</v>
      </c>
      <c r="D71">
        <v>9</v>
      </c>
    </row>
    <row r="72" spans="1:4" x14ac:dyDescent="0.25">
      <c r="A72" t="s">
        <v>123</v>
      </c>
      <c r="B72" t="s">
        <v>1002</v>
      </c>
      <c r="C72" t="s">
        <v>765</v>
      </c>
      <c r="D72">
        <v>7</v>
      </c>
    </row>
    <row r="73" spans="1:4" x14ac:dyDescent="0.25">
      <c r="A73" t="s">
        <v>123</v>
      </c>
      <c r="B73" t="s">
        <v>1276</v>
      </c>
      <c r="C73" t="s">
        <v>3702</v>
      </c>
      <c r="D73">
        <v>8</v>
      </c>
    </row>
    <row r="74" spans="1:4" x14ac:dyDescent="0.25">
      <c r="A74" t="s">
        <v>123</v>
      </c>
      <c r="B74" t="s">
        <v>1276</v>
      </c>
      <c r="C74" t="s">
        <v>767</v>
      </c>
      <c r="D74">
        <v>9</v>
      </c>
    </row>
    <row r="75" spans="1:4" x14ac:dyDescent="0.25">
      <c r="A75" t="s">
        <v>123</v>
      </c>
      <c r="B75" t="s">
        <v>559</v>
      </c>
      <c r="C75" t="s">
        <v>768</v>
      </c>
      <c r="D75">
        <v>6</v>
      </c>
    </row>
    <row r="76" spans="1:4" x14ac:dyDescent="0.25">
      <c r="A76" t="s">
        <v>123</v>
      </c>
      <c r="B76" t="s">
        <v>38</v>
      </c>
      <c r="C76" t="s">
        <v>1182</v>
      </c>
      <c r="D76">
        <v>7</v>
      </c>
    </row>
    <row r="77" spans="1:4" x14ac:dyDescent="0.25">
      <c r="A77" t="s">
        <v>123</v>
      </c>
      <c r="B77" t="s">
        <v>38</v>
      </c>
      <c r="C77" t="s">
        <v>418</v>
      </c>
      <c r="D77">
        <v>8</v>
      </c>
    </row>
    <row r="79" spans="1:4" x14ac:dyDescent="0.25">
      <c r="A79" s="2" t="s">
        <v>157</v>
      </c>
    </row>
    <row r="80" spans="1:4" x14ac:dyDescent="0.25">
      <c r="A80" t="s">
        <v>158</v>
      </c>
      <c r="D80">
        <f>AVERAGE(D2:D77)</f>
        <v>3.0394736842105261</v>
      </c>
    </row>
    <row r="81" spans="1:4" x14ac:dyDescent="0.25">
      <c r="A81" t="s">
        <v>159</v>
      </c>
      <c r="D81">
        <f>MAX(D2:D77)</f>
        <v>12</v>
      </c>
    </row>
    <row r="82" spans="1:4" x14ac:dyDescent="0.25">
      <c r="A82" t="s">
        <v>160</v>
      </c>
      <c r="D82">
        <f>MIN(D2:D77)</f>
        <v>-7</v>
      </c>
    </row>
    <row r="83" spans="1:4" x14ac:dyDescent="0.25">
      <c r="A83" t="s">
        <v>161</v>
      </c>
      <c r="D83">
        <f>COUNTIF(D2:D77,"&gt;0")</f>
        <v>53</v>
      </c>
    </row>
    <row r="84" spans="1:4" x14ac:dyDescent="0.25">
      <c r="A84" t="s">
        <v>162</v>
      </c>
      <c r="D84">
        <f>COUNTIF(D2:D77,"=0")</f>
        <v>2</v>
      </c>
    </row>
    <row r="85" spans="1:4" x14ac:dyDescent="0.25">
      <c r="A85" t="s">
        <v>1491</v>
      </c>
      <c r="D85">
        <f>COUNTIF(D2:D77,"&lt;0")</f>
        <v>21</v>
      </c>
    </row>
    <row r="87" spans="1:4" x14ac:dyDescent="0.25">
      <c r="A87" s="2" t="s">
        <v>164</v>
      </c>
    </row>
    <row r="88" spans="1:4" x14ac:dyDescent="0.25">
      <c r="A88" t="s">
        <v>165</v>
      </c>
      <c r="D88">
        <f>AVERAGE(D2,D3,D4,D5,D6,D7,D8,D9,D10,D11,D12,D13,D14,D15,D16,D17,D18,D19,D20,D21)</f>
        <v>-3.65</v>
      </c>
    </row>
    <row r="89" spans="1:4" x14ac:dyDescent="0.25">
      <c r="A89" t="s">
        <v>166</v>
      </c>
      <c r="D89">
        <f>AVERAGE(D22,D23,D24,D25,D26,D27,D28,D29,D30,D31,D32,D33,D34,D35,D36)</f>
        <v>3.3333333333333335</v>
      </c>
    </row>
    <row r="90" spans="1:4" x14ac:dyDescent="0.25">
      <c r="A90" t="s">
        <v>167</v>
      </c>
      <c r="D90">
        <f>AVERAGE(D37,D38,D39,D40,D41,D42,D43,D44,D45,D46,D47,D48,D49,D50,D51,D52,D53,D54,D55,D56,D57,D58)</f>
        <v>5.5454545454545459</v>
      </c>
    </row>
    <row r="91" spans="1:4" x14ac:dyDescent="0.25">
      <c r="A91" t="s">
        <v>168</v>
      </c>
      <c r="D91">
        <f>AVERAGE(D59,D60,D61,D62,D63,D64,D65,D66,D67,D68,D69,D70,D71,D72,D73,D74,D75,D76,D77)</f>
        <v>6.9473684210526319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11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857</v>
      </c>
      <c r="C2" t="s">
        <v>908</v>
      </c>
      <c r="D2">
        <v>-2</v>
      </c>
    </row>
    <row r="3" spans="1:4" x14ac:dyDescent="0.25">
      <c r="A3" t="s">
        <v>4</v>
      </c>
      <c r="B3" t="s">
        <v>2151</v>
      </c>
      <c r="C3" t="s">
        <v>8</v>
      </c>
      <c r="D3">
        <v>0</v>
      </c>
    </row>
    <row r="4" spans="1:4" x14ac:dyDescent="0.25">
      <c r="A4" t="s">
        <v>4</v>
      </c>
      <c r="B4" t="s">
        <v>1665</v>
      </c>
      <c r="C4" t="s">
        <v>10</v>
      </c>
      <c r="D4">
        <v>-2</v>
      </c>
    </row>
    <row r="5" spans="1:4" x14ac:dyDescent="0.25">
      <c r="A5" t="s">
        <v>4</v>
      </c>
      <c r="B5" t="s">
        <v>47</v>
      </c>
      <c r="C5" t="s">
        <v>12</v>
      </c>
      <c r="D5">
        <v>0</v>
      </c>
    </row>
    <row r="6" spans="1:4" x14ac:dyDescent="0.25">
      <c r="A6" t="s">
        <v>4</v>
      </c>
      <c r="B6" t="s">
        <v>359</v>
      </c>
      <c r="C6" t="s">
        <v>1106</v>
      </c>
      <c r="D6">
        <v>1</v>
      </c>
    </row>
    <row r="7" spans="1:4" x14ac:dyDescent="0.25">
      <c r="A7" t="s">
        <v>4</v>
      </c>
      <c r="B7" t="s">
        <v>359</v>
      </c>
      <c r="C7" t="s">
        <v>178</v>
      </c>
      <c r="D7">
        <v>2</v>
      </c>
    </row>
    <row r="8" spans="1:4" x14ac:dyDescent="0.25">
      <c r="A8" t="s">
        <v>4</v>
      </c>
      <c r="B8" t="s">
        <v>1248</v>
      </c>
      <c r="C8" t="s">
        <v>16</v>
      </c>
      <c r="D8">
        <v>-1</v>
      </c>
    </row>
    <row r="9" spans="1:4" x14ac:dyDescent="0.25">
      <c r="A9" t="s">
        <v>4</v>
      </c>
      <c r="B9" t="s">
        <v>1086</v>
      </c>
      <c r="C9" t="s">
        <v>567</v>
      </c>
      <c r="D9">
        <v>0</v>
      </c>
    </row>
    <row r="10" spans="1:4" x14ac:dyDescent="0.25">
      <c r="A10" t="s">
        <v>4</v>
      </c>
      <c r="B10" t="s">
        <v>1086</v>
      </c>
      <c r="C10" t="s">
        <v>696</v>
      </c>
      <c r="D10">
        <v>1</v>
      </c>
    </row>
    <row r="11" spans="1:4" x14ac:dyDescent="0.25">
      <c r="A11" t="s">
        <v>4</v>
      </c>
      <c r="B11" t="s">
        <v>1417</v>
      </c>
      <c r="C11" t="s">
        <v>915</v>
      </c>
      <c r="D11">
        <v>-2</v>
      </c>
    </row>
    <row r="12" spans="1:4" x14ac:dyDescent="0.25">
      <c r="A12" t="s">
        <v>4</v>
      </c>
      <c r="B12" t="s">
        <v>1498</v>
      </c>
      <c r="C12" t="s">
        <v>1110</v>
      </c>
      <c r="D12">
        <v>0</v>
      </c>
    </row>
    <row r="13" spans="1:4" x14ac:dyDescent="0.25">
      <c r="A13" t="s">
        <v>4</v>
      </c>
      <c r="B13" t="s">
        <v>1816</v>
      </c>
      <c r="C13" t="s">
        <v>1925</v>
      </c>
      <c r="D13">
        <v>-3</v>
      </c>
    </row>
    <row r="14" spans="1:4" x14ac:dyDescent="0.25">
      <c r="A14" t="s">
        <v>4</v>
      </c>
      <c r="B14" t="s">
        <v>1436</v>
      </c>
      <c r="C14" t="s">
        <v>30</v>
      </c>
      <c r="D14">
        <v>-1</v>
      </c>
    </row>
    <row r="15" spans="1:4" x14ac:dyDescent="0.25">
      <c r="A15" t="s">
        <v>4</v>
      </c>
      <c r="B15" t="s">
        <v>702</v>
      </c>
      <c r="C15" t="s">
        <v>1746</v>
      </c>
      <c r="D15">
        <v>-3</v>
      </c>
    </row>
    <row r="16" spans="1:4" x14ac:dyDescent="0.25">
      <c r="A16" t="s">
        <v>4</v>
      </c>
      <c r="B16" t="s">
        <v>384</v>
      </c>
      <c r="C16" t="s">
        <v>2203</v>
      </c>
      <c r="D16">
        <v>-5</v>
      </c>
    </row>
    <row r="17" spans="1:4" x14ac:dyDescent="0.25">
      <c r="A17" t="s">
        <v>4</v>
      </c>
      <c r="B17" t="s">
        <v>116</v>
      </c>
      <c r="C17" t="s">
        <v>3668</v>
      </c>
      <c r="D17">
        <v>-8</v>
      </c>
    </row>
    <row r="18" spans="1:4" x14ac:dyDescent="0.25">
      <c r="A18" t="s">
        <v>4</v>
      </c>
      <c r="B18" t="s">
        <v>417</v>
      </c>
      <c r="C18" t="s">
        <v>3613</v>
      </c>
      <c r="D18">
        <v>-7</v>
      </c>
    </row>
    <row r="19" spans="1:4" x14ac:dyDescent="0.25">
      <c r="A19" t="s">
        <v>4</v>
      </c>
      <c r="B19" t="s">
        <v>417</v>
      </c>
      <c r="C19" t="s">
        <v>3703</v>
      </c>
      <c r="D19">
        <v>-6</v>
      </c>
    </row>
    <row r="20" spans="1:4" x14ac:dyDescent="0.25">
      <c r="A20" t="s">
        <v>4</v>
      </c>
      <c r="B20" t="s">
        <v>612</v>
      </c>
      <c r="C20" t="s">
        <v>3616</v>
      </c>
      <c r="D20">
        <v>-9</v>
      </c>
    </row>
    <row r="21" spans="1:4" x14ac:dyDescent="0.25">
      <c r="A21" t="s">
        <v>4</v>
      </c>
      <c r="B21" t="s">
        <v>554</v>
      </c>
      <c r="C21" t="s">
        <v>3704</v>
      </c>
      <c r="D21">
        <v>-6</v>
      </c>
    </row>
    <row r="22" spans="1:4" x14ac:dyDescent="0.25">
      <c r="A22" t="s">
        <v>4</v>
      </c>
      <c r="B22" t="s">
        <v>582</v>
      </c>
      <c r="C22" t="s">
        <v>1654</v>
      </c>
      <c r="D22">
        <v>-8</v>
      </c>
    </row>
    <row r="23" spans="1:4" x14ac:dyDescent="0.25">
      <c r="A23" t="s">
        <v>40</v>
      </c>
      <c r="B23" t="s">
        <v>795</v>
      </c>
      <c r="C23" t="s">
        <v>3705</v>
      </c>
      <c r="D23">
        <v>-5</v>
      </c>
    </row>
    <row r="24" spans="1:4" x14ac:dyDescent="0.25">
      <c r="A24" t="s">
        <v>40</v>
      </c>
      <c r="B24" t="s">
        <v>1680</v>
      </c>
      <c r="C24" t="s">
        <v>798</v>
      </c>
      <c r="D24">
        <v>-7</v>
      </c>
    </row>
    <row r="25" spans="1:4" x14ac:dyDescent="0.25">
      <c r="A25" t="s">
        <v>40</v>
      </c>
      <c r="B25" t="s">
        <v>43</v>
      </c>
      <c r="C25" t="s">
        <v>1713</v>
      </c>
      <c r="D25">
        <v>-5</v>
      </c>
    </row>
    <row r="26" spans="1:4" x14ac:dyDescent="0.25">
      <c r="A26" t="s">
        <v>40</v>
      </c>
      <c r="B26" t="s">
        <v>1973</v>
      </c>
      <c r="C26" t="s">
        <v>3555</v>
      </c>
      <c r="D26">
        <v>-7</v>
      </c>
    </row>
    <row r="27" spans="1:4" x14ac:dyDescent="0.25">
      <c r="A27" t="s">
        <v>40</v>
      </c>
      <c r="B27" t="s">
        <v>208</v>
      </c>
      <c r="C27" t="s">
        <v>1660</v>
      </c>
      <c r="D27">
        <v>-10</v>
      </c>
    </row>
    <row r="28" spans="1:4" x14ac:dyDescent="0.25">
      <c r="A28" t="s">
        <v>40</v>
      </c>
      <c r="B28" t="s">
        <v>359</v>
      </c>
      <c r="C28" t="s">
        <v>2410</v>
      </c>
      <c r="D28">
        <v>-7</v>
      </c>
    </row>
    <row r="29" spans="1:4" x14ac:dyDescent="0.25">
      <c r="A29" t="s">
        <v>40</v>
      </c>
      <c r="B29" t="s">
        <v>1771</v>
      </c>
      <c r="C29" t="s">
        <v>1880</v>
      </c>
      <c r="D29">
        <v>-5</v>
      </c>
    </row>
    <row r="30" spans="1:4" x14ac:dyDescent="0.25">
      <c r="A30" t="s">
        <v>40</v>
      </c>
      <c r="B30" t="s">
        <v>1194</v>
      </c>
      <c r="C30" t="s">
        <v>1881</v>
      </c>
      <c r="D30">
        <v>-8</v>
      </c>
    </row>
    <row r="31" spans="1:4" x14ac:dyDescent="0.25">
      <c r="A31" t="s">
        <v>40</v>
      </c>
      <c r="B31" t="s">
        <v>836</v>
      </c>
      <c r="C31" t="s">
        <v>604</v>
      </c>
      <c r="D31">
        <v>-7</v>
      </c>
    </row>
    <row r="32" spans="1:4" x14ac:dyDescent="0.25">
      <c r="A32" t="s">
        <v>40</v>
      </c>
      <c r="B32" t="s">
        <v>654</v>
      </c>
      <c r="C32" t="s">
        <v>2333</v>
      </c>
      <c r="D32">
        <v>-4</v>
      </c>
    </row>
    <row r="33" spans="1:4" x14ac:dyDescent="0.25">
      <c r="A33" t="s">
        <v>40</v>
      </c>
      <c r="B33" t="s">
        <v>700</v>
      </c>
      <c r="C33" t="s">
        <v>1718</v>
      </c>
      <c r="D33">
        <v>-2</v>
      </c>
    </row>
    <row r="34" spans="1:4" x14ac:dyDescent="0.25">
      <c r="A34" t="s">
        <v>40</v>
      </c>
      <c r="B34" t="s">
        <v>1090</v>
      </c>
      <c r="C34" t="s">
        <v>1719</v>
      </c>
      <c r="D34">
        <v>-5</v>
      </c>
    </row>
    <row r="35" spans="1:4" x14ac:dyDescent="0.25">
      <c r="A35" t="s">
        <v>40</v>
      </c>
      <c r="B35" t="s">
        <v>600</v>
      </c>
      <c r="C35" t="s">
        <v>1720</v>
      </c>
      <c r="D35">
        <v>-4</v>
      </c>
    </row>
    <row r="36" spans="1:4" x14ac:dyDescent="0.25">
      <c r="A36" t="s">
        <v>40</v>
      </c>
      <c r="B36" t="s">
        <v>600</v>
      </c>
      <c r="C36" t="s">
        <v>2876</v>
      </c>
      <c r="D36">
        <v>-3</v>
      </c>
    </row>
    <row r="37" spans="1:4" x14ac:dyDescent="0.25">
      <c r="A37" t="s">
        <v>40</v>
      </c>
      <c r="B37" t="s">
        <v>544</v>
      </c>
      <c r="C37" t="s">
        <v>2726</v>
      </c>
      <c r="D37">
        <v>-6</v>
      </c>
    </row>
    <row r="38" spans="1:4" x14ac:dyDescent="0.25">
      <c r="A38" t="s">
        <v>40</v>
      </c>
      <c r="B38" t="s">
        <v>1481</v>
      </c>
      <c r="C38" t="s">
        <v>1831</v>
      </c>
      <c r="D38">
        <v>-4</v>
      </c>
    </row>
    <row r="39" spans="1:4" x14ac:dyDescent="0.25">
      <c r="A39" t="s">
        <v>40</v>
      </c>
      <c r="B39" t="s">
        <v>2453</v>
      </c>
      <c r="C39" t="s">
        <v>240</v>
      </c>
      <c r="D39">
        <v>-3</v>
      </c>
    </row>
    <row r="40" spans="1:4" x14ac:dyDescent="0.25">
      <c r="A40" t="s">
        <v>40</v>
      </c>
      <c r="B40" t="s">
        <v>2453</v>
      </c>
      <c r="C40" t="s">
        <v>2413</v>
      </c>
      <c r="D40">
        <v>-2</v>
      </c>
    </row>
    <row r="41" spans="1:4" x14ac:dyDescent="0.25">
      <c r="A41" t="s">
        <v>40</v>
      </c>
      <c r="B41" t="s">
        <v>996</v>
      </c>
      <c r="C41" t="s">
        <v>1761</v>
      </c>
      <c r="D41">
        <v>-1</v>
      </c>
    </row>
    <row r="42" spans="1:4" x14ac:dyDescent="0.25">
      <c r="A42" t="s">
        <v>40</v>
      </c>
      <c r="B42" t="s">
        <v>1115</v>
      </c>
      <c r="C42" t="s">
        <v>3575</v>
      </c>
      <c r="D42">
        <v>-4</v>
      </c>
    </row>
    <row r="43" spans="1:4" x14ac:dyDescent="0.25">
      <c r="A43" t="s">
        <v>40</v>
      </c>
      <c r="B43" t="s">
        <v>1276</v>
      </c>
      <c r="C43" t="s">
        <v>3706</v>
      </c>
      <c r="D43">
        <v>-3</v>
      </c>
    </row>
    <row r="44" spans="1:4" x14ac:dyDescent="0.25">
      <c r="A44" t="s">
        <v>40</v>
      </c>
      <c r="B44" t="s">
        <v>1276</v>
      </c>
      <c r="C44" t="s">
        <v>248</v>
      </c>
      <c r="D44">
        <v>-2</v>
      </c>
    </row>
    <row r="45" spans="1:4" x14ac:dyDescent="0.25">
      <c r="A45" t="s">
        <v>40</v>
      </c>
      <c r="B45" t="s">
        <v>38</v>
      </c>
      <c r="C45" t="s">
        <v>249</v>
      </c>
      <c r="D45">
        <v>-3</v>
      </c>
    </row>
    <row r="46" spans="1:4" x14ac:dyDescent="0.25">
      <c r="A46" t="s">
        <v>40</v>
      </c>
      <c r="B46" t="s">
        <v>38</v>
      </c>
      <c r="C46" t="s">
        <v>94</v>
      </c>
      <c r="D46">
        <v>-4</v>
      </c>
    </row>
    <row r="47" spans="1:4" x14ac:dyDescent="0.25">
      <c r="A47" t="s">
        <v>80</v>
      </c>
      <c r="B47" t="s">
        <v>819</v>
      </c>
      <c r="C47" t="s">
        <v>622</v>
      </c>
      <c r="D47">
        <v>-6</v>
      </c>
    </row>
    <row r="48" spans="1:4" x14ac:dyDescent="0.25">
      <c r="A48" t="s">
        <v>80</v>
      </c>
      <c r="B48" t="s">
        <v>269</v>
      </c>
      <c r="C48" t="s">
        <v>624</v>
      </c>
      <c r="D48">
        <v>-4</v>
      </c>
    </row>
    <row r="49" spans="1:4" x14ac:dyDescent="0.25">
      <c r="A49" t="s">
        <v>80</v>
      </c>
      <c r="B49" t="s">
        <v>859</v>
      </c>
      <c r="C49" t="s">
        <v>257</v>
      </c>
      <c r="D49">
        <v>-2</v>
      </c>
    </row>
    <row r="50" spans="1:4" x14ac:dyDescent="0.25">
      <c r="A50" t="s">
        <v>80</v>
      </c>
      <c r="B50" t="s">
        <v>400</v>
      </c>
      <c r="C50" t="s">
        <v>741</v>
      </c>
      <c r="D50">
        <v>-3</v>
      </c>
    </row>
    <row r="51" spans="1:4" x14ac:dyDescent="0.25">
      <c r="A51" t="s">
        <v>80</v>
      </c>
      <c r="B51" t="s">
        <v>832</v>
      </c>
      <c r="C51" t="s">
        <v>744</v>
      </c>
      <c r="D51">
        <v>-1</v>
      </c>
    </row>
    <row r="52" spans="1:4" x14ac:dyDescent="0.25">
      <c r="A52" t="s">
        <v>80</v>
      </c>
      <c r="B52" t="s">
        <v>1033</v>
      </c>
      <c r="C52" t="s">
        <v>2445</v>
      </c>
      <c r="D52">
        <v>-3</v>
      </c>
    </row>
    <row r="53" spans="1:4" x14ac:dyDescent="0.25">
      <c r="A53" t="s">
        <v>80</v>
      </c>
      <c r="B53" t="s">
        <v>1033</v>
      </c>
      <c r="C53" t="s">
        <v>1767</v>
      </c>
      <c r="D53">
        <v>-4</v>
      </c>
    </row>
    <row r="54" spans="1:4" x14ac:dyDescent="0.25">
      <c r="A54" t="s">
        <v>80</v>
      </c>
      <c r="B54" t="s">
        <v>58</v>
      </c>
      <c r="C54" t="s">
        <v>264</v>
      </c>
      <c r="D54">
        <v>-3</v>
      </c>
    </row>
    <row r="55" spans="1:4" x14ac:dyDescent="0.25">
      <c r="A55" t="s">
        <v>80</v>
      </c>
      <c r="B55" t="s">
        <v>58</v>
      </c>
      <c r="C55" t="s">
        <v>1729</v>
      </c>
      <c r="D55">
        <v>-2</v>
      </c>
    </row>
    <row r="56" spans="1:4" x14ac:dyDescent="0.25">
      <c r="A56" t="s">
        <v>80</v>
      </c>
      <c r="B56" t="s">
        <v>58</v>
      </c>
      <c r="C56" t="s">
        <v>1730</v>
      </c>
      <c r="D56">
        <v>-1</v>
      </c>
    </row>
    <row r="57" spans="1:4" x14ac:dyDescent="0.25">
      <c r="A57" t="s">
        <v>80</v>
      </c>
      <c r="B57" t="s">
        <v>1817</v>
      </c>
      <c r="C57" t="s">
        <v>1731</v>
      </c>
      <c r="D57">
        <v>2</v>
      </c>
    </row>
    <row r="58" spans="1:4" x14ac:dyDescent="0.25">
      <c r="A58" t="s">
        <v>80</v>
      </c>
      <c r="B58" t="s">
        <v>313</v>
      </c>
      <c r="C58" t="s">
        <v>1732</v>
      </c>
      <c r="D58">
        <v>0</v>
      </c>
    </row>
    <row r="59" spans="1:4" x14ac:dyDescent="0.25">
      <c r="A59" t="s">
        <v>80</v>
      </c>
      <c r="B59" t="s">
        <v>437</v>
      </c>
      <c r="C59" t="s">
        <v>751</v>
      </c>
      <c r="D59">
        <v>-1</v>
      </c>
    </row>
    <row r="60" spans="1:4" x14ac:dyDescent="0.25">
      <c r="A60" t="s">
        <v>80</v>
      </c>
      <c r="B60" t="s">
        <v>661</v>
      </c>
      <c r="C60" t="s">
        <v>752</v>
      </c>
      <c r="D60">
        <v>1</v>
      </c>
    </row>
    <row r="61" spans="1:4" x14ac:dyDescent="0.25">
      <c r="A61" t="s">
        <v>80</v>
      </c>
      <c r="B61" t="s">
        <v>1198</v>
      </c>
      <c r="C61" t="s">
        <v>498</v>
      </c>
      <c r="D61">
        <v>3</v>
      </c>
    </row>
    <row r="62" spans="1:4" x14ac:dyDescent="0.25">
      <c r="A62" t="s">
        <v>80</v>
      </c>
      <c r="B62" t="s">
        <v>766</v>
      </c>
      <c r="C62" t="s">
        <v>390</v>
      </c>
      <c r="D62">
        <v>0</v>
      </c>
    </row>
    <row r="63" spans="1:4" x14ac:dyDescent="0.25">
      <c r="A63" t="s">
        <v>80</v>
      </c>
      <c r="B63" t="s">
        <v>2048</v>
      </c>
      <c r="C63" t="s">
        <v>2312</v>
      </c>
      <c r="D63">
        <v>-1</v>
      </c>
    </row>
    <row r="64" spans="1:4" x14ac:dyDescent="0.25">
      <c r="A64" t="s">
        <v>80</v>
      </c>
      <c r="B64" t="s">
        <v>2048</v>
      </c>
      <c r="C64" t="s">
        <v>1535</v>
      </c>
      <c r="D64">
        <v>-2</v>
      </c>
    </row>
    <row r="65" spans="1:4" x14ac:dyDescent="0.25">
      <c r="A65" t="s">
        <v>80</v>
      </c>
      <c r="B65" t="s">
        <v>1045</v>
      </c>
      <c r="C65" t="s">
        <v>1236</v>
      </c>
      <c r="D65">
        <v>-3</v>
      </c>
    </row>
    <row r="66" spans="1:4" x14ac:dyDescent="0.25">
      <c r="A66" t="s">
        <v>80</v>
      </c>
      <c r="B66" t="s">
        <v>1045</v>
      </c>
      <c r="C66" t="s">
        <v>3538</v>
      </c>
      <c r="D66">
        <v>-4</v>
      </c>
    </row>
    <row r="67" spans="1:4" x14ac:dyDescent="0.25">
      <c r="A67" t="s">
        <v>80</v>
      </c>
      <c r="B67" t="s">
        <v>1484</v>
      </c>
      <c r="C67" t="s">
        <v>2142</v>
      </c>
      <c r="D67">
        <v>-6</v>
      </c>
    </row>
    <row r="68" spans="1:4" x14ac:dyDescent="0.25">
      <c r="A68" t="s">
        <v>80</v>
      </c>
      <c r="B68" t="s">
        <v>152</v>
      </c>
      <c r="C68" t="s">
        <v>281</v>
      </c>
      <c r="D68">
        <v>-3</v>
      </c>
    </row>
    <row r="69" spans="1:4" x14ac:dyDescent="0.25">
      <c r="A69" t="s">
        <v>80</v>
      </c>
      <c r="B69" t="s">
        <v>531</v>
      </c>
      <c r="C69" t="s">
        <v>1538</v>
      </c>
      <c r="D69">
        <v>-5</v>
      </c>
    </row>
    <row r="70" spans="1:4" x14ac:dyDescent="0.25">
      <c r="A70" t="s">
        <v>80</v>
      </c>
      <c r="B70" t="s">
        <v>972</v>
      </c>
      <c r="C70" t="s">
        <v>3085</v>
      </c>
      <c r="D70">
        <v>-2</v>
      </c>
    </row>
    <row r="71" spans="1:4" x14ac:dyDescent="0.25">
      <c r="A71" t="s">
        <v>80</v>
      </c>
      <c r="B71" t="s">
        <v>78</v>
      </c>
      <c r="C71" t="s">
        <v>510</v>
      </c>
      <c r="D71">
        <v>-1</v>
      </c>
    </row>
    <row r="72" spans="1:4" x14ac:dyDescent="0.25">
      <c r="A72" t="s">
        <v>80</v>
      </c>
      <c r="B72" t="s">
        <v>78</v>
      </c>
      <c r="C72" t="s">
        <v>3086</v>
      </c>
      <c r="D72">
        <v>0</v>
      </c>
    </row>
    <row r="73" spans="1:4" x14ac:dyDescent="0.25">
      <c r="A73" t="s">
        <v>123</v>
      </c>
      <c r="B73" t="s">
        <v>2443</v>
      </c>
      <c r="C73" t="s">
        <v>1176</v>
      </c>
      <c r="D73">
        <v>3</v>
      </c>
    </row>
    <row r="74" spans="1:4" x14ac:dyDescent="0.25">
      <c r="A74" t="s">
        <v>123</v>
      </c>
      <c r="B74" t="s">
        <v>305</v>
      </c>
      <c r="C74" t="s">
        <v>1179</v>
      </c>
      <c r="D74">
        <v>6</v>
      </c>
    </row>
    <row r="75" spans="1:4" x14ac:dyDescent="0.25">
      <c r="A75" t="s">
        <v>123</v>
      </c>
      <c r="B75" t="s">
        <v>2152</v>
      </c>
      <c r="C75" t="s">
        <v>3702</v>
      </c>
      <c r="D75">
        <v>8</v>
      </c>
    </row>
    <row r="76" spans="1:4" x14ac:dyDescent="0.25">
      <c r="A76" t="s">
        <v>123</v>
      </c>
      <c r="B76" t="s">
        <v>1029</v>
      </c>
      <c r="C76" t="s">
        <v>412</v>
      </c>
      <c r="D76">
        <v>7</v>
      </c>
    </row>
    <row r="77" spans="1:4" x14ac:dyDescent="0.25">
      <c r="A77" t="s">
        <v>123</v>
      </c>
      <c r="B77" t="s">
        <v>1029</v>
      </c>
      <c r="C77" t="s">
        <v>3707</v>
      </c>
      <c r="D77">
        <v>6</v>
      </c>
    </row>
    <row r="78" spans="1:4" x14ac:dyDescent="0.25">
      <c r="A78" t="s">
        <v>123</v>
      </c>
      <c r="B78" t="s">
        <v>1754</v>
      </c>
      <c r="C78" t="s">
        <v>2558</v>
      </c>
      <c r="D78">
        <v>9</v>
      </c>
    </row>
    <row r="79" spans="1:4" x14ac:dyDescent="0.25">
      <c r="A79" t="s">
        <v>123</v>
      </c>
      <c r="B79" t="s">
        <v>802</v>
      </c>
      <c r="C79" t="s">
        <v>1183</v>
      </c>
      <c r="D79">
        <v>6</v>
      </c>
    </row>
    <row r="80" spans="1:4" x14ac:dyDescent="0.25">
      <c r="A80" t="s">
        <v>123</v>
      </c>
      <c r="B80" t="s">
        <v>804</v>
      </c>
      <c r="C80" t="s">
        <v>3708</v>
      </c>
      <c r="D80">
        <v>9</v>
      </c>
    </row>
    <row r="81" spans="1:4" x14ac:dyDescent="0.25">
      <c r="A81" t="s">
        <v>123</v>
      </c>
      <c r="B81" t="s">
        <v>541</v>
      </c>
      <c r="C81" t="s">
        <v>2460</v>
      </c>
      <c r="D81">
        <v>10</v>
      </c>
    </row>
    <row r="82" spans="1:4" x14ac:dyDescent="0.25">
      <c r="A82" t="s">
        <v>123</v>
      </c>
      <c r="B82" t="s">
        <v>541</v>
      </c>
      <c r="C82" t="s">
        <v>3359</v>
      </c>
      <c r="D82">
        <v>11</v>
      </c>
    </row>
    <row r="83" spans="1:4" x14ac:dyDescent="0.25">
      <c r="A83" t="s">
        <v>123</v>
      </c>
      <c r="B83" t="s">
        <v>1536</v>
      </c>
      <c r="C83" t="s">
        <v>424</v>
      </c>
      <c r="D83">
        <v>10</v>
      </c>
    </row>
    <row r="84" spans="1:4" x14ac:dyDescent="0.25">
      <c r="A84" t="s">
        <v>123</v>
      </c>
      <c r="B84" t="s">
        <v>192</v>
      </c>
      <c r="C84" t="s">
        <v>1486</v>
      </c>
      <c r="D84">
        <v>12</v>
      </c>
    </row>
    <row r="85" spans="1:4" x14ac:dyDescent="0.25">
      <c r="A85" t="s">
        <v>123</v>
      </c>
      <c r="B85" t="s">
        <v>25</v>
      </c>
      <c r="C85" t="s">
        <v>1487</v>
      </c>
      <c r="D85">
        <v>14</v>
      </c>
    </row>
    <row r="86" spans="1:4" x14ac:dyDescent="0.25">
      <c r="A86" t="s">
        <v>123</v>
      </c>
      <c r="B86" t="s">
        <v>1481</v>
      </c>
      <c r="C86" t="s">
        <v>3709</v>
      </c>
      <c r="D86">
        <v>16</v>
      </c>
    </row>
    <row r="87" spans="1:4" x14ac:dyDescent="0.25">
      <c r="A87" t="s">
        <v>123</v>
      </c>
      <c r="B87" t="s">
        <v>146</v>
      </c>
      <c r="C87" t="s">
        <v>3710</v>
      </c>
      <c r="D87">
        <v>13</v>
      </c>
    </row>
    <row r="88" spans="1:4" x14ac:dyDescent="0.25">
      <c r="A88" t="s">
        <v>123</v>
      </c>
      <c r="B88" t="s">
        <v>292</v>
      </c>
      <c r="C88" t="s">
        <v>2683</v>
      </c>
      <c r="D88">
        <v>16</v>
      </c>
    </row>
    <row r="89" spans="1:4" x14ac:dyDescent="0.25">
      <c r="A89" t="s">
        <v>123</v>
      </c>
      <c r="B89" t="s">
        <v>448</v>
      </c>
      <c r="C89" t="s">
        <v>3711</v>
      </c>
      <c r="D89">
        <v>14</v>
      </c>
    </row>
    <row r="90" spans="1:4" x14ac:dyDescent="0.25">
      <c r="A90" t="s">
        <v>123</v>
      </c>
      <c r="B90" t="s">
        <v>1222</v>
      </c>
      <c r="C90" t="s">
        <v>3712</v>
      </c>
      <c r="D90">
        <v>16</v>
      </c>
    </row>
    <row r="91" spans="1:4" x14ac:dyDescent="0.25">
      <c r="A91" t="s">
        <v>123</v>
      </c>
      <c r="B91" t="s">
        <v>999</v>
      </c>
      <c r="C91" t="s">
        <v>2293</v>
      </c>
      <c r="D91">
        <v>17</v>
      </c>
    </row>
    <row r="92" spans="1:4" x14ac:dyDescent="0.25">
      <c r="A92" t="s">
        <v>123</v>
      </c>
      <c r="B92" t="s">
        <v>999</v>
      </c>
      <c r="C92" t="s">
        <v>2294</v>
      </c>
      <c r="D92">
        <v>18</v>
      </c>
    </row>
    <row r="93" spans="1:4" x14ac:dyDescent="0.25">
      <c r="A93" t="s">
        <v>123</v>
      </c>
      <c r="B93" t="s">
        <v>1845</v>
      </c>
      <c r="C93" t="s">
        <v>3713</v>
      </c>
      <c r="D93">
        <v>15</v>
      </c>
    </row>
    <row r="94" spans="1:4" x14ac:dyDescent="0.25">
      <c r="A94" t="s">
        <v>123</v>
      </c>
      <c r="B94" t="s">
        <v>483</v>
      </c>
      <c r="C94" t="s">
        <v>3714</v>
      </c>
      <c r="D94">
        <v>16</v>
      </c>
    </row>
    <row r="95" spans="1:4" x14ac:dyDescent="0.25">
      <c r="A95" t="s">
        <v>123</v>
      </c>
      <c r="B95" t="s">
        <v>483</v>
      </c>
      <c r="C95" t="s">
        <v>3715</v>
      </c>
      <c r="D95">
        <v>17</v>
      </c>
    </row>
    <row r="96" spans="1:4" x14ac:dyDescent="0.25">
      <c r="A96" t="s">
        <v>123</v>
      </c>
      <c r="B96" t="s">
        <v>1733</v>
      </c>
      <c r="C96" t="s">
        <v>3716</v>
      </c>
      <c r="D96">
        <v>16</v>
      </c>
    </row>
    <row r="97" spans="1:4" x14ac:dyDescent="0.25">
      <c r="A97" t="s">
        <v>123</v>
      </c>
      <c r="B97" t="s">
        <v>1733</v>
      </c>
      <c r="C97" t="s">
        <v>2690</v>
      </c>
      <c r="D97">
        <v>15</v>
      </c>
    </row>
    <row r="98" spans="1:4" x14ac:dyDescent="0.25">
      <c r="A98" t="s">
        <v>123</v>
      </c>
      <c r="B98" t="s">
        <v>1135</v>
      </c>
      <c r="C98" t="s">
        <v>3717</v>
      </c>
      <c r="D98">
        <v>12</v>
      </c>
    </row>
    <row r="99" spans="1:4" x14ac:dyDescent="0.25">
      <c r="A99" t="s">
        <v>123</v>
      </c>
      <c r="B99" t="s">
        <v>350</v>
      </c>
      <c r="C99" t="s">
        <v>3718</v>
      </c>
      <c r="D99">
        <v>9</v>
      </c>
    </row>
    <row r="100" spans="1:4" x14ac:dyDescent="0.25">
      <c r="A100" t="s">
        <v>123</v>
      </c>
      <c r="B100" t="s">
        <v>1002</v>
      </c>
      <c r="C100" t="s">
        <v>3719</v>
      </c>
      <c r="D100">
        <v>10</v>
      </c>
    </row>
    <row r="101" spans="1:4" x14ac:dyDescent="0.25">
      <c r="A101" t="s">
        <v>123</v>
      </c>
      <c r="B101" t="s">
        <v>1002</v>
      </c>
      <c r="C101" t="s">
        <v>3720</v>
      </c>
      <c r="D101">
        <v>11</v>
      </c>
    </row>
    <row r="103" spans="1:4" x14ac:dyDescent="0.25">
      <c r="A103" s="2" t="s">
        <v>157</v>
      </c>
    </row>
    <row r="104" spans="1:4" x14ac:dyDescent="0.25">
      <c r="A104" t="s">
        <v>158</v>
      </c>
      <c r="D104">
        <f>AVERAGE(D2:D101)</f>
        <v>1.21</v>
      </c>
    </row>
    <row r="105" spans="1:4" x14ac:dyDescent="0.25">
      <c r="A105" t="s">
        <v>159</v>
      </c>
      <c r="D105">
        <f>MAX(D2:D101)</f>
        <v>18</v>
      </c>
    </row>
    <row r="106" spans="1:4" x14ac:dyDescent="0.25">
      <c r="A106" t="s">
        <v>160</v>
      </c>
      <c r="D106">
        <f>MIN(D2:D101)</f>
        <v>-10</v>
      </c>
    </row>
    <row r="107" spans="1:4" x14ac:dyDescent="0.25">
      <c r="A107" t="s">
        <v>161</v>
      </c>
      <c r="D107">
        <f>COUNTIF(D2:D101,"&gt;0")</f>
        <v>35</v>
      </c>
    </row>
    <row r="108" spans="1:4" x14ac:dyDescent="0.25">
      <c r="A108" t="s">
        <v>162</v>
      </c>
      <c r="D108">
        <f>COUNTIF(D2:D101,"=0")</f>
        <v>7</v>
      </c>
    </row>
    <row r="109" spans="1:4" x14ac:dyDescent="0.25">
      <c r="A109" t="s">
        <v>687</v>
      </c>
      <c r="D109">
        <f>COUNTIF(D2:D101,"&lt;0")</f>
        <v>58</v>
      </c>
    </row>
    <row r="111" spans="1:4" x14ac:dyDescent="0.25">
      <c r="A111" s="2" t="s">
        <v>164</v>
      </c>
    </row>
    <row r="112" spans="1:4" x14ac:dyDescent="0.25">
      <c r="A112" t="s">
        <v>165</v>
      </c>
      <c r="D112">
        <f>AVERAGE(D2,D3,D4,D5,D6,D7,D8,D9,D10,D11,D12,D13,D14,D15,D16,D17,D18,D19,D20,D21,D22)</f>
        <v>-2.8095238095238093</v>
      </c>
    </row>
    <row r="113" spans="1:4" x14ac:dyDescent="0.25">
      <c r="A113" t="s">
        <v>166</v>
      </c>
      <c r="D113">
        <f>AVERAGE(D23,D24,D25,D26,D27,D28,D29,D30,D31,D32,D33,D34,D35,D36,D37,D38,D39,D40,D41,D42,D43,D44,D45,D46)</f>
        <v>-4.625</v>
      </c>
    </row>
    <row r="114" spans="1:4" x14ac:dyDescent="0.25">
      <c r="A114" t="s">
        <v>167</v>
      </c>
      <c r="D114">
        <f>AVERAGE(D47,D48,D49,D50,D51,D52,D53,D54,D55,D56,D57,D58,D59,D60,D61,D62,D63,D64,D65,D66,D67,D68,D69,D70,D71,D72)</f>
        <v>-1.9615384615384615</v>
      </c>
    </row>
    <row r="115" spans="1:4" x14ac:dyDescent="0.25">
      <c r="A115" t="s">
        <v>168</v>
      </c>
      <c r="D115">
        <f>AVERAGE(D73,D74,D75,D76,D77,D78,D79,D80,D81,D82,D83,D84,D85,D86,D87,D88,D89,D90,D91,D92,D93,D94,D95,D96,D97,D98,D99,D100,D101)</f>
        <v>11.793103448275861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428</v>
      </c>
      <c r="C2" t="s">
        <v>908</v>
      </c>
      <c r="D2">
        <v>-2</v>
      </c>
    </row>
    <row r="3" spans="1:4" x14ac:dyDescent="0.25">
      <c r="A3" t="s">
        <v>4</v>
      </c>
      <c r="B3" t="s">
        <v>1665</v>
      </c>
      <c r="C3" t="s">
        <v>8</v>
      </c>
      <c r="D3">
        <v>0</v>
      </c>
    </row>
    <row r="4" spans="1:4" x14ac:dyDescent="0.25">
      <c r="A4" t="s">
        <v>4</v>
      </c>
      <c r="B4" t="s">
        <v>1789</v>
      </c>
      <c r="C4" t="s">
        <v>1869</v>
      </c>
      <c r="D4">
        <v>-3</v>
      </c>
    </row>
    <row r="5" spans="1:4" x14ac:dyDescent="0.25">
      <c r="A5" t="s">
        <v>4</v>
      </c>
      <c r="B5" t="s">
        <v>85</v>
      </c>
      <c r="C5" t="s">
        <v>309</v>
      </c>
      <c r="D5">
        <v>-1</v>
      </c>
    </row>
    <row r="6" spans="1:4" x14ac:dyDescent="0.25">
      <c r="A6" t="s">
        <v>4</v>
      </c>
      <c r="B6" t="s">
        <v>723</v>
      </c>
      <c r="C6" t="s">
        <v>1694</v>
      </c>
      <c r="D6">
        <v>-4</v>
      </c>
    </row>
    <row r="7" spans="1:4" x14ac:dyDescent="0.25">
      <c r="A7" t="s">
        <v>4</v>
      </c>
      <c r="B7" t="s">
        <v>361</v>
      </c>
      <c r="C7" t="s">
        <v>434</v>
      </c>
      <c r="D7">
        <v>-1</v>
      </c>
    </row>
    <row r="8" spans="1:4" x14ac:dyDescent="0.25">
      <c r="A8" t="s">
        <v>4</v>
      </c>
      <c r="B8" t="s">
        <v>333</v>
      </c>
      <c r="C8" t="s">
        <v>436</v>
      </c>
      <c r="D8">
        <v>-3</v>
      </c>
    </row>
    <row r="9" spans="1:4" x14ac:dyDescent="0.25">
      <c r="A9" t="s">
        <v>4</v>
      </c>
      <c r="B9" t="s">
        <v>364</v>
      </c>
      <c r="C9" t="s">
        <v>438</v>
      </c>
      <c r="D9">
        <v>-1</v>
      </c>
    </row>
    <row r="10" spans="1:4" x14ac:dyDescent="0.25">
      <c r="A10" t="s">
        <v>4</v>
      </c>
      <c r="B10" t="s">
        <v>259</v>
      </c>
      <c r="C10" t="s">
        <v>439</v>
      </c>
      <c r="D10">
        <v>1</v>
      </c>
    </row>
    <row r="11" spans="1:4" x14ac:dyDescent="0.25">
      <c r="A11" t="s">
        <v>4</v>
      </c>
      <c r="B11" t="s">
        <v>138</v>
      </c>
      <c r="C11" t="s">
        <v>441</v>
      </c>
      <c r="D11">
        <v>-2</v>
      </c>
    </row>
    <row r="12" spans="1:4" x14ac:dyDescent="0.25">
      <c r="A12" t="s">
        <v>4</v>
      </c>
      <c r="B12" t="s">
        <v>2250</v>
      </c>
      <c r="C12" t="s">
        <v>576</v>
      </c>
      <c r="D12">
        <v>-4</v>
      </c>
    </row>
    <row r="13" spans="1:4" x14ac:dyDescent="0.25">
      <c r="A13" t="s">
        <v>4</v>
      </c>
      <c r="B13" t="s">
        <v>1151</v>
      </c>
      <c r="C13" t="s">
        <v>445</v>
      </c>
      <c r="D13">
        <v>-2</v>
      </c>
    </row>
    <row r="14" spans="1:4" x14ac:dyDescent="0.25">
      <c r="A14" t="s">
        <v>4</v>
      </c>
      <c r="B14" t="s">
        <v>729</v>
      </c>
      <c r="C14" t="s">
        <v>2121</v>
      </c>
      <c r="D14">
        <v>0</v>
      </c>
    </row>
    <row r="15" spans="1:4" x14ac:dyDescent="0.25">
      <c r="A15" t="s">
        <v>4</v>
      </c>
      <c r="B15" t="s">
        <v>577</v>
      </c>
      <c r="C15" t="s">
        <v>1505</v>
      </c>
      <c r="D15">
        <v>-2</v>
      </c>
    </row>
    <row r="16" spans="1:4" x14ac:dyDescent="0.25">
      <c r="A16" t="s">
        <v>4</v>
      </c>
      <c r="B16" t="s">
        <v>192</v>
      </c>
      <c r="C16" t="s">
        <v>2122</v>
      </c>
      <c r="D16">
        <v>1</v>
      </c>
    </row>
    <row r="17" spans="1:4" x14ac:dyDescent="0.25">
      <c r="A17" t="s">
        <v>4</v>
      </c>
      <c r="B17" t="s">
        <v>607</v>
      </c>
      <c r="C17" t="s">
        <v>2123</v>
      </c>
      <c r="D17">
        <v>-1</v>
      </c>
    </row>
    <row r="18" spans="1:4" x14ac:dyDescent="0.25">
      <c r="A18" t="s">
        <v>4</v>
      </c>
      <c r="B18" t="s">
        <v>896</v>
      </c>
      <c r="C18" t="s">
        <v>792</v>
      </c>
      <c r="D18">
        <v>1</v>
      </c>
    </row>
    <row r="19" spans="1:4" x14ac:dyDescent="0.25">
      <c r="A19" t="s">
        <v>4</v>
      </c>
      <c r="B19" t="s">
        <v>346</v>
      </c>
      <c r="C19" t="s">
        <v>794</v>
      </c>
      <c r="D19">
        <v>-1</v>
      </c>
    </row>
    <row r="20" spans="1:4" x14ac:dyDescent="0.25">
      <c r="A20" t="s">
        <v>4</v>
      </c>
      <c r="B20" t="s">
        <v>1874</v>
      </c>
      <c r="C20" t="s">
        <v>1878</v>
      </c>
      <c r="D20">
        <v>-3</v>
      </c>
    </row>
    <row r="21" spans="1:4" x14ac:dyDescent="0.25">
      <c r="A21" t="s">
        <v>4</v>
      </c>
      <c r="B21" t="s">
        <v>770</v>
      </c>
      <c r="C21" t="s">
        <v>2328</v>
      </c>
      <c r="D21">
        <v>-2</v>
      </c>
    </row>
    <row r="22" spans="1:4" x14ac:dyDescent="0.25">
      <c r="A22" t="s">
        <v>40</v>
      </c>
      <c r="B22" t="s">
        <v>170</v>
      </c>
      <c r="C22" t="s">
        <v>3721</v>
      </c>
      <c r="D22">
        <v>0</v>
      </c>
    </row>
    <row r="23" spans="1:4" x14ac:dyDescent="0.25">
      <c r="A23" t="s">
        <v>40</v>
      </c>
      <c r="B23" t="s">
        <v>487</v>
      </c>
      <c r="C23" t="s">
        <v>456</v>
      </c>
      <c r="D23">
        <v>-2</v>
      </c>
    </row>
    <row r="24" spans="1:4" x14ac:dyDescent="0.25">
      <c r="A24" t="s">
        <v>40</v>
      </c>
      <c r="B24" t="s">
        <v>1543</v>
      </c>
      <c r="C24" t="s">
        <v>2357</v>
      </c>
      <c r="D24">
        <v>1</v>
      </c>
    </row>
    <row r="25" spans="1:4" x14ac:dyDescent="0.25">
      <c r="A25" t="s">
        <v>40</v>
      </c>
      <c r="B25" t="s">
        <v>1849</v>
      </c>
      <c r="C25" t="s">
        <v>1714</v>
      </c>
      <c r="D25">
        <v>-1</v>
      </c>
    </row>
    <row r="26" spans="1:4" x14ac:dyDescent="0.25">
      <c r="A26" t="s">
        <v>40</v>
      </c>
      <c r="B26" t="s">
        <v>1849</v>
      </c>
      <c r="C26" t="s">
        <v>597</v>
      </c>
      <c r="D26">
        <v>-2</v>
      </c>
    </row>
    <row r="27" spans="1:4" x14ac:dyDescent="0.25">
      <c r="A27" t="s">
        <v>40</v>
      </c>
      <c r="B27" t="s">
        <v>621</v>
      </c>
      <c r="C27" t="s">
        <v>342</v>
      </c>
      <c r="D27">
        <v>0</v>
      </c>
    </row>
    <row r="28" spans="1:4" x14ac:dyDescent="0.25">
      <c r="A28" t="s">
        <v>40</v>
      </c>
      <c r="B28" t="s">
        <v>916</v>
      </c>
      <c r="C28" t="s">
        <v>463</v>
      </c>
      <c r="D28">
        <v>-2</v>
      </c>
    </row>
    <row r="29" spans="1:4" x14ac:dyDescent="0.25">
      <c r="A29" t="s">
        <v>40</v>
      </c>
      <c r="B29" t="s">
        <v>1498</v>
      </c>
      <c r="C29" t="s">
        <v>464</v>
      </c>
      <c r="D29">
        <v>0</v>
      </c>
    </row>
    <row r="30" spans="1:4" x14ac:dyDescent="0.25">
      <c r="A30" t="s">
        <v>40</v>
      </c>
      <c r="B30" t="s">
        <v>1227</v>
      </c>
      <c r="C30" t="s">
        <v>65</v>
      </c>
      <c r="D30">
        <v>-2</v>
      </c>
    </row>
    <row r="31" spans="1:4" x14ac:dyDescent="0.25">
      <c r="A31" t="s">
        <v>40</v>
      </c>
      <c r="B31" t="s">
        <v>465</v>
      </c>
      <c r="C31" t="s">
        <v>1133</v>
      </c>
      <c r="D31">
        <v>1</v>
      </c>
    </row>
    <row r="32" spans="1:4" x14ac:dyDescent="0.25">
      <c r="A32" t="s">
        <v>40</v>
      </c>
      <c r="B32" t="s">
        <v>1533</v>
      </c>
      <c r="C32" t="s">
        <v>2267</v>
      </c>
      <c r="D32">
        <v>3</v>
      </c>
    </row>
    <row r="33" spans="1:4" x14ac:dyDescent="0.25">
      <c r="A33" t="s">
        <v>40</v>
      </c>
      <c r="B33" t="s">
        <v>435</v>
      </c>
      <c r="C33" t="s">
        <v>1516</v>
      </c>
      <c r="D33">
        <v>1</v>
      </c>
    </row>
    <row r="34" spans="1:4" x14ac:dyDescent="0.25">
      <c r="A34" t="s">
        <v>40</v>
      </c>
      <c r="B34" t="s">
        <v>1108</v>
      </c>
      <c r="C34" t="s">
        <v>1667</v>
      </c>
      <c r="D34">
        <v>3</v>
      </c>
    </row>
    <row r="35" spans="1:4" x14ac:dyDescent="0.25">
      <c r="A35" t="s">
        <v>40</v>
      </c>
      <c r="B35" t="s">
        <v>887</v>
      </c>
      <c r="C35" t="s">
        <v>2304</v>
      </c>
      <c r="D35">
        <v>0</v>
      </c>
    </row>
    <row r="36" spans="1:4" x14ac:dyDescent="0.25">
      <c r="A36" t="s">
        <v>40</v>
      </c>
      <c r="B36" t="s">
        <v>23</v>
      </c>
      <c r="C36" t="s">
        <v>1220</v>
      </c>
      <c r="D36">
        <v>2</v>
      </c>
    </row>
    <row r="37" spans="1:4" x14ac:dyDescent="0.25">
      <c r="A37" t="s">
        <v>40</v>
      </c>
      <c r="B37" t="s">
        <v>469</v>
      </c>
      <c r="C37" t="s">
        <v>1221</v>
      </c>
      <c r="D37">
        <v>0</v>
      </c>
    </row>
    <row r="38" spans="1:4" x14ac:dyDescent="0.25">
      <c r="A38" t="s">
        <v>40</v>
      </c>
      <c r="B38" t="s">
        <v>112</v>
      </c>
      <c r="C38" t="s">
        <v>479</v>
      </c>
      <c r="D38">
        <v>2</v>
      </c>
    </row>
    <row r="39" spans="1:4" x14ac:dyDescent="0.25">
      <c r="A39" t="s">
        <v>40</v>
      </c>
      <c r="B39" t="s">
        <v>112</v>
      </c>
      <c r="C39" t="s">
        <v>1223</v>
      </c>
      <c r="D39">
        <v>3</v>
      </c>
    </row>
    <row r="40" spans="1:4" x14ac:dyDescent="0.25">
      <c r="A40" t="s">
        <v>40</v>
      </c>
      <c r="B40" t="s">
        <v>1739</v>
      </c>
      <c r="C40" t="s">
        <v>1224</v>
      </c>
      <c r="D40">
        <v>1</v>
      </c>
    </row>
    <row r="41" spans="1:4" x14ac:dyDescent="0.25">
      <c r="A41" t="s">
        <v>40</v>
      </c>
      <c r="B41" t="s">
        <v>290</v>
      </c>
      <c r="C41" t="s">
        <v>2487</v>
      </c>
      <c r="D41">
        <v>3</v>
      </c>
    </row>
    <row r="42" spans="1:4" x14ac:dyDescent="0.25">
      <c r="A42" t="s">
        <v>40</v>
      </c>
      <c r="B42" t="s">
        <v>448</v>
      </c>
      <c r="C42" t="s">
        <v>2609</v>
      </c>
      <c r="D42">
        <v>5</v>
      </c>
    </row>
    <row r="43" spans="1:4" x14ac:dyDescent="0.25">
      <c r="A43" t="s">
        <v>40</v>
      </c>
      <c r="B43" t="s">
        <v>231</v>
      </c>
      <c r="C43" t="s">
        <v>1597</v>
      </c>
      <c r="D43">
        <v>8</v>
      </c>
    </row>
    <row r="44" spans="1:4" x14ac:dyDescent="0.25">
      <c r="A44" t="s">
        <v>40</v>
      </c>
      <c r="B44" t="s">
        <v>531</v>
      </c>
      <c r="C44" t="s">
        <v>2338</v>
      </c>
      <c r="D44">
        <v>9</v>
      </c>
    </row>
    <row r="45" spans="1:4" x14ac:dyDescent="0.25">
      <c r="A45" t="s">
        <v>40</v>
      </c>
      <c r="B45" t="s">
        <v>675</v>
      </c>
      <c r="C45" t="s">
        <v>2531</v>
      </c>
      <c r="D45">
        <v>7</v>
      </c>
    </row>
    <row r="46" spans="1:4" x14ac:dyDescent="0.25">
      <c r="A46" t="s">
        <v>40</v>
      </c>
      <c r="B46" t="s">
        <v>38</v>
      </c>
      <c r="C46" t="s">
        <v>488</v>
      </c>
      <c r="D46">
        <v>6</v>
      </c>
    </row>
    <row r="47" spans="1:4" x14ac:dyDescent="0.25">
      <c r="A47" t="s">
        <v>80</v>
      </c>
      <c r="B47" t="s">
        <v>1765</v>
      </c>
      <c r="C47" t="s">
        <v>2272</v>
      </c>
      <c r="D47">
        <v>7</v>
      </c>
    </row>
    <row r="48" spans="1:4" x14ac:dyDescent="0.25">
      <c r="A48" t="s">
        <v>80</v>
      </c>
      <c r="B48" t="s">
        <v>565</v>
      </c>
      <c r="C48" t="s">
        <v>2983</v>
      </c>
      <c r="D48">
        <v>9</v>
      </c>
    </row>
    <row r="49" spans="1:4" x14ac:dyDescent="0.25">
      <c r="A49" t="s">
        <v>80</v>
      </c>
      <c r="B49" t="s">
        <v>565</v>
      </c>
      <c r="C49" t="s">
        <v>1601</v>
      </c>
      <c r="D49">
        <v>10</v>
      </c>
    </row>
    <row r="50" spans="1:4" x14ac:dyDescent="0.25">
      <c r="A50" t="s">
        <v>80</v>
      </c>
      <c r="B50" t="s">
        <v>935</v>
      </c>
      <c r="C50" t="s">
        <v>2936</v>
      </c>
      <c r="D50">
        <v>12</v>
      </c>
    </row>
    <row r="51" spans="1:4" x14ac:dyDescent="0.25">
      <c r="A51" t="s">
        <v>80</v>
      </c>
      <c r="B51" t="s">
        <v>1958</v>
      </c>
      <c r="C51" t="s">
        <v>3451</v>
      </c>
      <c r="D51">
        <v>14</v>
      </c>
    </row>
    <row r="52" spans="1:4" x14ac:dyDescent="0.25">
      <c r="A52" t="s">
        <v>80</v>
      </c>
      <c r="B52" t="s">
        <v>2510</v>
      </c>
      <c r="C52" t="s">
        <v>1157</v>
      </c>
      <c r="D52">
        <v>12</v>
      </c>
    </row>
    <row r="53" spans="1:4" x14ac:dyDescent="0.25">
      <c r="A53" t="s">
        <v>80</v>
      </c>
      <c r="B53" t="s">
        <v>254</v>
      </c>
      <c r="C53" t="s">
        <v>1684</v>
      </c>
      <c r="D53">
        <v>13</v>
      </c>
    </row>
    <row r="54" spans="1:4" x14ac:dyDescent="0.25">
      <c r="A54" t="s">
        <v>80</v>
      </c>
      <c r="B54" t="s">
        <v>254</v>
      </c>
      <c r="C54" t="s">
        <v>2667</v>
      </c>
      <c r="D54">
        <v>14</v>
      </c>
    </row>
    <row r="55" spans="1:4" x14ac:dyDescent="0.25">
      <c r="A55" t="s">
        <v>80</v>
      </c>
      <c r="B55" t="s">
        <v>259</v>
      </c>
      <c r="C55" t="s">
        <v>3722</v>
      </c>
      <c r="D55">
        <v>12</v>
      </c>
    </row>
    <row r="56" spans="1:4" x14ac:dyDescent="0.25">
      <c r="A56" t="s">
        <v>80</v>
      </c>
      <c r="B56" t="s">
        <v>1724</v>
      </c>
      <c r="C56" t="s">
        <v>2864</v>
      </c>
      <c r="D56">
        <v>11</v>
      </c>
    </row>
    <row r="57" spans="1:4" x14ac:dyDescent="0.25">
      <c r="A57" t="s">
        <v>80</v>
      </c>
      <c r="B57" t="s">
        <v>1724</v>
      </c>
      <c r="C57" t="s">
        <v>1161</v>
      </c>
      <c r="D57">
        <v>10</v>
      </c>
    </row>
    <row r="58" spans="1:4" x14ac:dyDescent="0.25">
      <c r="A58" t="s">
        <v>80</v>
      </c>
      <c r="B58" t="s">
        <v>541</v>
      </c>
      <c r="C58" t="s">
        <v>3723</v>
      </c>
      <c r="D58">
        <v>7</v>
      </c>
    </row>
    <row r="59" spans="1:4" x14ac:dyDescent="0.25">
      <c r="A59" t="s">
        <v>80</v>
      </c>
      <c r="B59" t="s">
        <v>110</v>
      </c>
      <c r="C59" t="s">
        <v>3724</v>
      </c>
      <c r="D59">
        <v>10</v>
      </c>
    </row>
    <row r="60" spans="1:4" x14ac:dyDescent="0.25">
      <c r="A60" t="s">
        <v>80</v>
      </c>
      <c r="B60" t="s">
        <v>546</v>
      </c>
      <c r="C60" t="s">
        <v>2988</v>
      </c>
      <c r="D60">
        <v>12</v>
      </c>
    </row>
    <row r="61" spans="1:4" x14ac:dyDescent="0.25">
      <c r="A61" t="s">
        <v>80</v>
      </c>
      <c r="B61" t="s">
        <v>581</v>
      </c>
      <c r="C61" t="s">
        <v>2989</v>
      </c>
      <c r="D61">
        <v>11</v>
      </c>
    </row>
    <row r="62" spans="1:4" x14ac:dyDescent="0.25">
      <c r="A62" t="s">
        <v>80</v>
      </c>
      <c r="B62" t="s">
        <v>1237</v>
      </c>
      <c r="C62" t="s">
        <v>2990</v>
      </c>
      <c r="D62">
        <v>12</v>
      </c>
    </row>
    <row r="63" spans="1:4" x14ac:dyDescent="0.25">
      <c r="A63" t="s">
        <v>80</v>
      </c>
      <c r="B63" t="s">
        <v>1237</v>
      </c>
      <c r="C63" t="s">
        <v>2796</v>
      </c>
      <c r="D63">
        <v>13</v>
      </c>
    </row>
    <row r="64" spans="1:4" x14ac:dyDescent="0.25">
      <c r="A64" t="s">
        <v>80</v>
      </c>
      <c r="B64" t="s">
        <v>880</v>
      </c>
      <c r="C64" t="s">
        <v>2454</v>
      </c>
      <c r="D64">
        <v>10</v>
      </c>
    </row>
    <row r="65" spans="1:4" x14ac:dyDescent="0.25">
      <c r="A65" t="s">
        <v>80</v>
      </c>
      <c r="B65" t="s">
        <v>1489</v>
      </c>
      <c r="C65" t="s">
        <v>2455</v>
      </c>
      <c r="D65">
        <v>8</v>
      </c>
    </row>
    <row r="66" spans="1:4" x14ac:dyDescent="0.25">
      <c r="A66" t="s">
        <v>123</v>
      </c>
      <c r="B66" t="s">
        <v>1022</v>
      </c>
      <c r="C66" t="s">
        <v>2457</v>
      </c>
      <c r="D66">
        <v>6</v>
      </c>
    </row>
    <row r="67" spans="1:4" x14ac:dyDescent="0.25">
      <c r="A67" t="s">
        <v>123</v>
      </c>
      <c r="B67" t="s">
        <v>242</v>
      </c>
      <c r="C67" t="s">
        <v>2730</v>
      </c>
      <c r="D67">
        <v>8</v>
      </c>
    </row>
    <row r="68" spans="1:4" x14ac:dyDescent="0.25">
      <c r="A68" t="s">
        <v>123</v>
      </c>
      <c r="B68" t="s">
        <v>329</v>
      </c>
      <c r="C68" t="s">
        <v>1959</v>
      </c>
      <c r="D68">
        <v>6</v>
      </c>
    </row>
    <row r="69" spans="1:4" x14ac:dyDescent="0.25">
      <c r="A69" t="s">
        <v>123</v>
      </c>
      <c r="B69" t="s">
        <v>723</v>
      </c>
      <c r="C69" t="s">
        <v>1176</v>
      </c>
      <c r="D69">
        <v>3</v>
      </c>
    </row>
    <row r="70" spans="1:4" x14ac:dyDescent="0.25">
      <c r="A70" t="s">
        <v>123</v>
      </c>
      <c r="B70" t="s">
        <v>1453</v>
      </c>
      <c r="C70" t="s">
        <v>763</v>
      </c>
      <c r="D70">
        <v>5</v>
      </c>
    </row>
    <row r="71" spans="1:4" x14ac:dyDescent="0.25">
      <c r="A71" t="s">
        <v>123</v>
      </c>
      <c r="B71" t="s">
        <v>494</v>
      </c>
      <c r="C71" t="s">
        <v>2707</v>
      </c>
      <c r="D71">
        <v>3</v>
      </c>
    </row>
    <row r="72" spans="1:4" x14ac:dyDescent="0.25">
      <c r="A72" t="s">
        <v>123</v>
      </c>
      <c r="B72" t="s">
        <v>623</v>
      </c>
      <c r="C72" t="s">
        <v>1847</v>
      </c>
      <c r="D72">
        <v>5</v>
      </c>
    </row>
    <row r="73" spans="1:4" x14ac:dyDescent="0.25">
      <c r="A73" t="s">
        <v>123</v>
      </c>
      <c r="B73" t="s">
        <v>1723</v>
      </c>
      <c r="C73" t="s">
        <v>1961</v>
      </c>
      <c r="D73">
        <v>4</v>
      </c>
    </row>
    <row r="74" spans="1:4" x14ac:dyDescent="0.25">
      <c r="A74" t="s">
        <v>123</v>
      </c>
      <c r="B74" t="s">
        <v>1723</v>
      </c>
      <c r="C74" t="s">
        <v>1962</v>
      </c>
      <c r="D74">
        <v>3</v>
      </c>
    </row>
    <row r="75" spans="1:4" x14ac:dyDescent="0.25">
      <c r="A75" t="s">
        <v>123</v>
      </c>
      <c r="B75" t="s">
        <v>313</v>
      </c>
      <c r="C75" t="s">
        <v>3070</v>
      </c>
      <c r="D75">
        <v>5</v>
      </c>
    </row>
    <row r="76" spans="1:4" x14ac:dyDescent="0.25">
      <c r="A76" t="s">
        <v>123</v>
      </c>
      <c r="B76" t="s">
        <v>922</v>
      </c>
      <c r="C76" t="s">
        <v>1620</v>
      </c>
      <c r="D76">
        <v>8</v>
      </c>
    </row>
    <row r="77" spans="1:4" x14ac:dyDescent="0.25">
      <c r="A77" t="s">
        <v>123</v>
      </c>
      <c r="B77" t="s">
        <v>577</v>
      </c>
      <c r="C77" t="s">
        <v>1621</v>
      </c>
      <c r="D77">
        <v>6</v>
      </c>
    </row>
    <row r="78" spans="1:4" x14ac:dyDescent="0.25">
      <c r="A78" t="s">
        <v>123</v>
      </c>
      <c r="B78" t="s">
        <v>440</v>
      </c>
      <c r="C78" t="s">
        <v>423</v>
      </c>
      <c r="D78">
        <v>9</v>
      </c>
    </row>
    <row r="79" spans="1:4" x14ac:dyDescent="0.25">
      <c r="A79" t="s">
        <v>123</v>
      </c>
      <c r="B79" t="s">
        <v>1217</v>
      </c>
      <c r="C79" t="s">
        <v>3725</v>
      </c>
      <c r="D79">
        <v>7</v>
      </c>
    </row>
    <row r="80" spans="1:4" x14ac:dyDescent="0.25">
      <c r="A80" t="s">
        <v>123</v>
      </c>
      <c r="B80" t="s">
        <v>1675</v>
      </c>
      <c r="C80" t="s">
        <v>676</v>
      </c>
      <c r="D80">
        <v>5</v>
      </c>
    </row>
    <row r="81" spans="1:4" x14ac:dyDescent="0.25">
      <c r="A81" t="s">
        <v>123</v>
      </c>
      <c r="B81" t="s">
        <v>673</v>
      </c>
      <c r="C81" t="s">
        <v>678</v>
      </c>
      <c r="D81">
        <v>7</v>
      </c>
    </row>
    <row r="82" spans="1:4" x14ac:dyDescent="0.25">
      <c r="A82" t="s">
        <v>123</v>
      </c>
      <c r="B82" t="s">
        <v>880</v>
      </c>
      <c r="C82" t="s">
        <v>2197</v>
      </c>
      <c r="D82">
        <v>10</v>
      </c>
    </row>
    <row r="83" spans="1:4" x14ac:dyDescent="0.25">
      <c r="A83" t="s">
        <v>123</v>
      </c>
      <c r="B83" t="s">
        <v>537</v>
      </c>
      <c r="C83" t="s">
        <v>3726</v>
      </c>
      <c r="D83">
        <v>12</v>
      </c>
    </row>
    <row r="84" spans="1:4" x14ac:dyDescent="0.25">
      <c r="A84" t="s">
        <v>123</v>
      </c>
      <c r="B84" t="s">
        <v>1568</v>
      </c>
      <c r="C84" t="s">
        <v>3727</v>
      </c>
      <c r="D84">
        <v>11</v>
      </c>
    </row>
    <row r="85" spans="1:4" x14ac:dyDescent="0.25">
      <c r="A85" t="s">
        <v>123</v>
      </c>
      <c r="B85" t="s">
        <v>1568</v>
      </c>
      <c r="C85" t="s">
        <v>3728</v>
      </c>
      <c r="D85">
        <v>10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4.25</v>
      </c>
    </row>
    <row r="89" spans="1:4" x14ac:dyDescent="0.25">
      <c r="A89" t="s">
        <v>159</v>
      </c>
      <c r="D89">
        <f>MAX(D2:D85)</f>
        <v>14</v>
      </c>
    </row>
    <row r="90" spans="1:4" x14ac:dyDescent="0.25">
      <c r="A90" t="s">
        <v>160</v>
      </c>
      <c r="D90">
        <f>MIN(D2:D85)</f>
        <v>-4</v>
      </c>
    </row>
    <row r="91" spans="1:4" x14ac:dyDescent="0.25">
      <c r="A91" t="s">
        <v>161</v>
      </c>
      <c r="D91">
        <f>COUNTIF(D2:D85,"&gt;0")</f>
        <v>57</v>
      </c>
    </row>
    <row r="92" spans="1:4" x14ac:dyDescent="0.25">
      <c r="A92" t="s">
        <v>162</v>
      </c>
      <c r="D92">
        <f>COUNTIF(D2:D85,"=0")</f>
        <v>7</v>
      </c>
    </row>
    <row r="93" spans="1:4" x14ac:dyDescent="0.25">
      <c r="A93" t="s">
        <v>775</v>
      </c>
      <c r="D93">
        <f>COUNTIF(D2:D85,"&lt;0")</f>
        <v>20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AVERAGE(D2,D3,D4,D5,D6,D7,D8,D9,D10,D11,D12,D13,D14,D15,D16,D17,D18,D19,D20,D21)</f>
        <v>-1.45</v>
      </c>
    </row>
    <row r="97" spans="1:4" x14ac:dyDescent="0.25">
      <c r="A97" t="s">
        <v>166</v>
      </c>
      <c r="D97">
        <f>AVERAGE(D22,D23,D24,D25,D26,D27,D28,D29,D30,D31,D32,D33,D34,D35,D36,D37,D38,D39,D40,D41,D42,D43,D44,D45,D46)</f>
        <v>1.84</v>
      </c>
    </row>
    <row r="98" spans="1:4" x14ac:dyDescent="0.25">
      <c r="A98" t="s">
        <v>167</v>
      </c>
      <c r="D98">
        <f>AVERAGE(D47,D48,D49,D50,D51,D52,D53,D54,D55,D56,D57,D58,D59,D60,D61,D62,D63,D64,D65)</f>
        <v>10.894736842105264</v>
      </c>
    </row>
    <row r="99" spans="1:4" x14ac:dyDescent="0.25">
      <c r="A99" t="s">
        <v>168</v>
      </c>
      <c r="D99">
        <f>AVERAGE(D66,D67,D68,D69,D70,D71,D72,D73,D74,D75,D76,D77,D78,D79,D80,D81,D82,D83,D84,D85)</f>
        <v>6.65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41</v>
      </c>
      <c r="C2" t="s">
        <v>6</v>
      </c>
      <c r="D2">
        <v>2</v>
      </c>
    </row>
    <row r="3" spans="1:4" x14ac:dyDescent="0.25">
      <c r="A3" t="s">
        <v>4</v>
      </c>
      <c r="B3" t="s">
        <v>1022</v>
      </c>
      <c r="C3" t="s">
        <v>171</v>
      </c>
      <c r="D3">
        <v>3</v>
      </c>
    </row>
    <row r="4" spans="1:4" x14ac:dyDescent="0.25">
      <c r="A4" t="s">
        <v>4</v>
      </c>
      <c r="B4" t="s">
        <v>1055</v>
      </c>
      <c r="C4" t="s">
        <v>173</v>
      </c>
      <c r="D4">
        <v>2</v>
      </c>
    </row>
    <row r="5" spans="1:4" x14ac:dyDescent="0.25">
      <c r="A5" t="s">
        <v>4</v>
      </c>
      <c r="B5" t="s">
        <v>1055</v>
      </c>
      <c r="C5" t="s">
        <v>174</v>
      </c>
      <c r="D5">
        <v>1</v>
      </c>
    </row>
    <row r="6" spans="1:4" x14ac:dyDescent="0.25">
      <c r="A6" t="s">
        <v>4</v>
      </c>
      <c r="B6" t="s">
        <v>857</v>
      </c>
      <c r="C6" t="s">
        <v>1347</v>
      </c>
      <c r="D6">
        <v>3</v>
      </c>
    </row>
    <row r="7" spans="1:4" x14ac:dyDescent="0.25">
      <c r="A7" t="s">
        <v>4</v>
      </c>
      <c r="B7" t="s">
        <v>2355</v>
      </c>
      <c r="C7" t="s">
        <v>1106</v>
      </c>
      <c r="D7">
        <v>1</v>
      </c>
    </row>
    <row r="8" spans="1:4" x14ac:dyDescent="0.25">
      <c r="A8" t="s">
        <v>4</v>
      </c>
      <c r="B8" t="s">
        <v>398</v>
      </c>
      <c r="C8" t="s">
        <v>178</v>
      </c>
      <c r="D8">
        <v>2</v>
      </c>
    </row>
    <row r="9" spans="1:4" x14ac:dyDescent="0.25">
      <c r="A9" t="s">
        <v>4</v>
      </c>
      <c r="B9" t="s">
        <v>357</v>
      </c>
      <c r="C9" t="s">
        <v>182</v>
      </c>
      <c r="D9">
        <v>5</v>
      </c>
    </row>
    <row r="10" spans="1:4" x14ac:dyDescent="0.25">
      <c r="A10" t="s">
        <v>4</v>
      </c>
      <c r="B10" t="s">
        <v>566</v>
      </c>
      <c r="C10" t="s">
        <v>2645</v>
      </c>
      <c r="D10">
        <v>7</v>
      </c>
    </row>
    <row r="11" spans="1:4" x14ac:dyDescent="0.25">
      <c r="A11" t="s">
        <v>4</v>
      </c>
      <c r="B11" t="s">
        <v>623</v>
      </c>
      <c r="C11" t="s">
        <v>2356</v>
      </c>
      <c r="D11">
        <v>8</v>
      </c>
    </row>
    <row r="12" spans="1:4" x14ac:dyDescent="0.25">
      <c r="A12" t="s">
        <v>4</v>
      </c>
      <c r="B12" t="s">
        <v>623</v>
      </c>
      <c r="C12" t="s">
        <v>2646</v>
      </c>
      <c r="D12">
        <v>9</v>
      </c>
    </row>
    <row r="13" spans="1:4" x14ac:dyDescent="0.25">
      <c r="A13" t="s">
        <v>4</v>
      </c>
      <c r="B13" t="s">
        <v>1069</v>
      </c>
      <c r="C13" t="s">
        <v>2647</v>
      </c>
      <c r="D13">
        <v>6</v>
      </c>
    </row>
    <row r="14" spans="1:4" x14ac:dyDescent="0.25">
      <c r="A14" t="s">
        <v>4</v>
      </c>
      <c r="B14" t="s">
        <v>60</v>
      </c>
      <c r="C14" t="s">
        <v>1014</v>
      </c>
      <c r="D14">
        <v>8</v>
      </c>
    </row>
    <row r="15" spans="1:4" x14ac:dyDescent="0.25">
      <c r="A15" t="s">
        <v>4</v>
      </c>
      <c r="B15" t="s">
        <v>140</v>
      </c>
      <c r="C15" t="s">
        <v>1355</v>
      </c>
      <c r="D15">
        <v>6</v>
      </c>
    </row>
    <row r="16" spans="1:4" x14ac:dyDescent="0.25">
      <c r="A16" t="s">
        <v>4</v>
      </c>
      <c r="B16" t="s">
        <v>2311</v>
      </c>
      <c r="C16" t="s">
        <v>2537</v>
      </c>
      <c r="D16">
        <v>4</v>
      </c>
    </row>
    <row r="17" spans="1:4" x14ac:dyDescent="0.25">
      <c r="A17" t="s">
        <v>4</v>
      </c>
      <c r="B17" t="s">
        <v>661</v>
      </c>
      <c r="C17" t="s">
        <v>787</v>
      </c>
      <c r="D17">
        <v>7</v>
      </c>
    </row>
    <row r="18" spans="1:4" x14ac:dyDescent="0.25">
      <c r="A18" t="s">
        <v>4</v>
      </c>
      <c r="B18" t="s">
        <v>374</v>
      </c>
      <c r="C18" t="s">
        <v>2921</v>
      </c>
      <c r="D18">
        <v>8</v>
      </c>
    </row>
    <row r="19" spans="1:4" x14ac:dyDescent="0.25">
      <c r="A19" t="s">
        <v>4</v>
      </c>
      <c r="B19" t="s">
        <v>374</v>
      </c>
      <c r="C19" t="s">
        <v>1357</v>
      </c>
      <c r="D19">
        <v>9</v>
      </c>
    </row>
    <row r="20" spans="1:4" x14ac:dyDescent="0.25">
      <c r="A20" t="s">
        <v>4</v>
      </c>
      <c r="B20" t="s">
        <v>339</v>
      </c>
      <c r="C20" t="s">
        <v>1359</v>
      </c>
      <c r="D20">
        <v>12</v>
      </c>
    </row>
    <row r="21" spans="1:4" x14ac:dyDescent="0.25">
      <c r="A21" t="s">
        <v>4</v>
      </c>
      <c r="B21" t="s">
        <v>1481</v>
      </c>
      <c r="C21" t="s">
        <v>3729</v>
      </c>
      <c r="D21">
        <v>11</v>
      </c>
    </row>
    <row r="22" spans="1:4" x14ac:dyDescent="0.25">
      <c r="A22" t="s">
        <v>4</v>
      </c>
      <c r="B22" t="s">
        <v>1045</v>
      </c>
      <c r="C22" t="s">
        <v>1021</v>
      </c>
      <c r="D22">
        <v>12</v>
      </c>
    </row>
    <row r="23" spans="1:4" x14ac:dyDescent="0.25">
      <c r="A23" t="s">
        <v>4</v>
      </c>
      <c r="B23" t="s">
        <v>231</v>
      </c>
      <c r="C23" t="s">
        <v>3730</v>
      </c>
      <c r="D23">
        <v>13</v>
      </c>
    </row>
    <row r="24" spans="1:4" x14ac:dyDescent="0.25">
      <c r="A24" t="s">
        <v>4</v>
      </c>
      <c r="B24" t="s">
        <v>710</v>
      </c>
      <c r="C24" t="s">
        <v>2520</v>
      </c>
      <c r="D24">
        <v>12</v>
      </c>
    </row>
    <row r="25" spans="1:4" x14ac:dyDescent="0.25">
      <c r="A25" t="s">
        <v>4</v>
      </c>
      <c r="B25" t="s">
        <v>1809</v>
      </c>
      <c r="C25" t="s">
        <v>3050</v>
      </c>
      <c r="D25">
        <v>14</v>
      </c>
    </row>
    <row r="26" spans="1:4" x14ac:dyDescent="0.25">
      <c r="A26" t="s">
        <v>4</v>
      </c>
      <c r="B26" t="s">
        <v>38</v>
      </c>
      <c r="C26" t="s">
        <v>3447</v>
      </c>
      <c r="D26">
        <v>11</v>
      </c>
    </row>
    <row r="27" spans="1:4" x14ac:dyDescent="0.25">
      <c r="A27" t="s">
        <v>40</v>
      </c>
      <c r="B27" t="s">
        <v>716</v>
      </c>
      <c r="C27" t="s">
        <v>3389</v>
      </c>
      <c r="D27">
        <v>10</v>
      </c>
    </row>
    <row r="28" spans="1:4" x14ac:dyDescent="0.25">
      <c r="A28" t="s">
        <v>40</v>
      </c>
      <c r="B28" t="s">
        <v>1545</v>
      </c>
      <c r="C28" t="s">
        <v>715</v>
      </c>
      <c r="D28">
        <v>7</v>
      </c>
    </row>
    <row r="29" spans="1:4" x14ac:dyDescent="0.25">
      <c r="A29" t="s">
        <v>40</v>
      </c>
      <c r="B29" t="s">
        <v>1029</v>
      </c>
      <c r="C29" t="s">
        <v>717</v>
      </c>
      <c r="D29">
        <v>4</v>
      </c>
    </row>
    <row r="30" spans="1:4" x14ac:dyDescent="0.25">
      <c r="A30" t="s">
        <v>40</v>
      </c>
      <c r="B30" t="s">
        <v>645</v>
      </c>
      <c r="C30" t="s">
        <v>216</v>
      </c>
      <c r="D30">
        <v>6</v>
      </c>
    </row>
    <row r="31" spans="1:4" x14ac:dyDescent="0.25">
      <c r="A31" t="s">
        <v>40</v>
      </c>
      <c r="B31" t="s">
        <v>1723</v>
      </c>
      <c r="C31" t="s">
        <v>2358</v>
      </c>
      <c r="D31">
        <v>4</v>
      </c>
    </row>
    <row r="32" spans="1:4" x14ac:dyDescent="0.25">
      <c r="A32" t="s">
        <v>40</v>
      </c>
      <c r="B32" t="s">
        <v>259</v>
      </c>
      <c r="C32" t="s">
        <v>2484</v>
      </c>
      <c r="D32">
        <v>1</v>
      </c>
    </row>
    <row r="33" spans="1:4" x14ac:dyDescent="0.25">
      <c r="A33" t="s">
        <v>40</v>
      </c>
      <c r="B33" t="s">
        <v>465</v>
      </c>
      <c r="C33" t="s">
        <v>222</v>
      </c>
      <c r="D33">
        <v>4</v>
      </c>
    </row>
    <row r="34" spans="1:4" x14ac:dyDescent="0.25">
      <c r="A34" t="s">
        <v>40</v>
      </c>
      <c r="B34" t="s">
        <v>1475</v>
      </c>
      <c r="C34" t="s">
        <v>224</v>
      </c>
      <c r="D34">
        <v>6</v>
      </c>
    </row>
    <row r="35" spans="1:4" x14ac:dyDescent="0.25">
      <c r="A35" t="s">
        <v>40</v>
      </c>
      <c r="B35" t="s">
        <v>1170</v>
      </c>
      <c r="C35" t="s">
        <v>1214</v>
      </c>
      <c r="D35">
        <v>5</v>
      </c>
    </row>
    <row r="36" spans="1:4" x14ac:dyDescent="0.25">
      <c r="A36" t="s">
        <v>40</v>
      </c>
      <c r="B36" t="s">
        <v>437</v>
      </c>
      <c r="C36" t="s">
        <v>2704</v>
      </c>
      <c r="D36">
        <v>6</v>
      </c>
    </row>
    <row r="37" spans="1:4" x14ac:dyDescent="0.25">
      <c r="A37" t="s">
        <v>40</v>
      </c>
      <c r="B37" t="s">
        <v>437</v>
      </c>
      <c r="C37" t="s">
        <v>1215</v>
      </c>
      <c r="D37">
        <v>8</v>
      </c>
    </row>
    <row r="38" spans="1:4" x14ac:dyDescent="0.25">
      <c r="A38" t="s">
        <v>40</v>
      </c>
      <c r="B38" t="s">
        <v>21</v>
      </c>
      <c r="C38" t="s">
        <v>940</v>
      </c>
      <c r="D38">
        <v>6</v>
      </c>
    </row>
    <row r="39" spans="1:4" x14ac:dyDescent="0.25">
      <c r="A39" t="s">
        <v>40</v>
      </c>
      <c r="B39" t="s">
        <v>223</v>
      </c>
      <c r="C39" t="s">
        <v>1589</v>
      </c>
      <c r="D39">
        <v>9</v>
      </c>
    </row>
    <row r="40" spans="1:4" x14ac:dyDescent="0.25">
      <c r="A40" t="s">
        <v>40</v>
      </c>
      <c r="B40" t="s">
        <v>704</v>
      </c>
      <c r="C40" t="s">
        <v>1590</v>
      </c>
      <c r="D40">
        <v>7</v>
      </c>
    </row>
    <row r="41" spans="1:4" x14ac:dyDescent="0.25">
      <c r="A41" t="s">
        <v>40</v>
      </c>
      <c r="B41" t="s">
        <v>611</v>
      </c>
      <c r="C41" t="s">
        <v>945</v>
      </c>
      <c r="D41">
        <v>8</v>
      </c>
    </row>
    <row r="42" spans="1:4" x14ac:dyDescent="0.25">
      <c r="A42" t="s">
        <v>40</v>
      </c>
      <c r="B42" t="s">
        <v>552</v>
      </c>
      <c r="C42" t="s">
        <v>1670</v>
      </c>
      <c r="D42">
        <v>7</v>
      </c>
    </row>
    <row r="43" spans="1:4" x14ac:dyDescent="0.25">
      <c r="A43" t="s">
        <v>40</v>
      </c>
      <c r="B43" t="s">
        <v>552</v>
      </c>
      <c r="C43" t="s">
        <v>3731</v>
      </c>
      <c r="D43">
        <v>6</v>
      </c>
    </row>
    <row r="44" spans="1:4" x14ac:dyDescent="0.25">
      <c r="A44" t="s">
        <v>40</v>
      </c>
      <c r="B44" t="s">
        <v>294</v>
      </c>
      <c r="C44" t="s">
        <v>1592</v>
      </c>
      <c r="D44">
        <v>7</v>
      </c>
    </row>
    <row r="45" spans="1:4" x14ac:dyDescent="0.25">
      <c r="A45" t="s">
        <v>40</v>
      </c>
      <c r="B45" t="s">
        <v>2042</v>
      </c>
      <c r="C45" t="s">
        <v>2783</v>
      </c>
      <c r="D45">
        <v>10</v>
      </c>
    </row>
    <row r="46" spans="1:4" x14ac:dyDescent="0.25">
      <c r="A46" t="s">
        <v>40</v>
      </c>
      <c r="B46" t="s">
        <v>508</v>
      </c>
      <c r="C46" t="s">
        <v>3732</v>
      </c>
      <c r="D46">
        <v>8</v>
      </c>
    </row>
    <row r="47" spans="1:4" x14ac:dyDescent="0.25">
      <c r="A47" t="s">
        <v>40</v>
      </c>
      <c r="B47" t="s">
        <v>451</v>
      </c>
      <c r="C47" t="s">
        <v>2167</v>
      </c>
      <c r="D47">
        <v>9</v>
      </c>
    </row>
    <row r="48" spans="1:4" x14ac:dyDescent="0.25">
      <c r="A48" t="s">
        <v>80</v>
      </c>
      <c r="B48" t="s">
        <v>1545</v>
      </c>
      <c r="C48" t="s">
        <v>2168</v>
      </c>
      <c r="D48">
        <v>7</v>
      </c>
    </row>
    <row r="49" spans="1:4" x14ac:dyDescent="0.25">
      <c r="A49" t="s">
        <v>80</v>
      </c>
      <c r="B49" t="s">
        <v>47</v>
      </c>
      <c r="C49" t="s">
        <v>1595</v>
      </c>
      <c r="D49">
        <v>9</v>
      </c>
    </row>
    <row r="50" spans="1:4" x14ac:dyDescent="0.25">
      <c r="A50" t="s">
        <v>80</v>
      </c>
      <c r="B50" t="s">
        <v>47</v>
      </c>
      <c r="C50" t="s">
        <v>1596</v>
      </c>
      <c r="D50">
        <v>10</v>
      </c>
    </row>
    <row r="51" spans="1:4" x14ac:dyDescent="0.25">
      <c r="A51" t="s">
        <v>80</v>
      </c>
      <c r="B51" t="s">
        <v>1851</v>
      </c>
      <c r="C51" t="s">
        <v>2786</v>
      </c>
      <c r="D51">
        <v>11</v>
      </c>
    </row>
    <row r="52" spans="1:4" x14ac:dyDescent="0.25">
      <c r="A52" t="s">
        <v>80</v>
      </c>
      <c r="B52" t="s">
        <v>1146</v>
      </c>
      <c r="C52" t="s">
        <v>1457</v>
      </c>
      <c r="D52">
        <v>14</v>
      </c>
    </row>
    <row r="53" spans="1:4" x14ac:dyDescent="0.25">
      <c r="A53" t="s">
        <v>80</v>
      </c>
      <c r="B53" t="s">
        <v>1194</v>
      </c>
      <c r="C53" t="s">
        <v>1679</v>
      </c>
      <c r="D53">
        <v>12</v>
      </c>
    </row>
    <row r="54" spans="1:4" x14ac:dyDescent="0.25">
      <c r="A54" t="s">
        <v>80</v>
      </c>
      <c r="B54" t="s">
        <v>1194</v>
      </c>
      <c r="C54" t="s">
        <v>1458</v>
      </c>
      <c r="D54">
        <v>11</v>
      </c>
    </row>
    <row r="55" spans="1:4" x14ac:dyDescent="0.25">
      <c r="A55" t="s">
        <v>80</v>
      </c>
      <c r="B55" t="s">
        <v>335</v>
      </c>
      <c r="C55" t="s">
        <v>2983</v>
      </c>
      <c r="D55">
        <v>9</v>
      </c>
    </row>
    <row r="56" spans="1:4" x14ac:dyDescent="0.25">
      <c r="A56" t="s">
        <v>80</v>
      </c>
      <c r="B56" t="s">
        <v>138</v>
      </c>
      <c r="C56" t="s">
        <v>3733</v>
      </c>
      <c r="D56">
        <v>6</v>
      </c>
    </row>
    <row r="57" spans="1:4" x14ac:dyDescent="0.25">
      <c r="A57" t="s">
        <v>80</v>
      </c>
      <c r="B57" t="s">
        <v>628</v>
      </c>
      <c r="C57" t="s">
        <v>2601</v>
      </c>
      <c r="D57">
        <v>9</v>
      </c>
    </row>
    <row r="58" spans="1:4" x14ac:dyDescent="0.25">
      <c r="A58" t="s">
        <v>80</v>
      </c>
      <c r="B58" t="s">
        <v>1698</v>
      </c>
      <c r="C58" t="s">
        <v>1603</v>
      </c>
      <c r="D58">
        <v>7</v>
      </c>
    </row>
    <row r="59" spans="1:4" x14ac:dyDescent="0.25">
      <c r="A59" t="s">
        <v>80</v>
      </c>
      <c r="B59" t="s">
        <v>1040</v>
      </c>
      <c r="C59" t="s">
        <v>1465</v>
      </c>
      <c r="D59">
        <v>10</v>
      </c>
    </row>
    <row r="60" spans="1:4" x14ac:dyDescent="0.25">
      <c r="A60" t="s">
        <v>80</v>
      </c>
      <c r="B60" t="s">
        <v>1843</v>
      </c>
      <c r="C60" t="s">
        <v>3066</v>
      </c>
      <c r="D60">
        <v>12</v>
      </c>
    </row>
    <row r="61" spans="1:4" x14ac:dyDescent="0.25">
      <c r="A61" t="s">
        <v>80</v>
      </c>
      <c r="B61" t="s">
        <v>1874</v>
      </c>
      <c r="C61" t="s">
        <v>2792</v>
      </c>
      <c r="D61">
        <v>11</v>
      </c>
    </row>
    <row r="62" spans="1:4" x14ac:dyDescent="0.25">
      <c r="A62" t="s">
        <v>80</v>
      </c>
      <c r="B62" t="s">
        <v>1874</v>
      </c>
      <c r="C62" t="s">
        <v>1687</v>
      </c>
      <c r="D62">
        <v>10</v>
      </c>
    </row>
    <row r="63" spans="1:4" x14ac:dyDescent="0.25">
      <c r="A63" t="s">
        <v>80</v>
      </c>
      <c r="B63" t="s">
        <v>508</v>
      </c>
      <c r="C63" t="s">
        <v>2937</v>
      </c>
      <c r="D63">
        <v>12</v>
      </c>
    </row>
    <row r="64" spans="1:4" x14ac:dyDescent="0.25">
      <c r="A64" t="s">
        <v>80</v>
      </c>
      <c r="B64" t="s">
        <v>817</v>
      </c>
      <c r="C64" t="s">
        <v>2938</v>
      </c>
      <c r="D64">
        <v>14</v>
      </c>
    </row>
    <row r="65" spans="1:4" x14ac:dyDescent="0.25">
      <c r="A65" t="s">
        <v>123</v>
      </c>
      <c r="B65" t="s">
        <v>795</v>
      </c>
      <c r="C65" t="s">
        <v>2989</v>
      </c>
      <c r="D65">
        <v>11</v>
      </c>
    </row>
    <row r="66" spans="1:4" x14ac:dyDescent="0.25">
      <c r="A66" t="s">
        <v>123</v>
      </c>
      <c r="B66" t="s">
        <v>691</v>
      </c>
      <c r="C66" t="s">
        <v>3734</v>
      </c>
      <c r="D66">
        <v>14</v>
      </c>
    </row>
    <row r="67" spans="1:4" x14ac:dyDescent="0.25">
      <c r="A67" t="s">
        <v>123</v>
      </c>
      <c r="B67" t="s">
        <v>400</v>
      </c>
      <c r="C67" t="s">
        <v>3382</v>
      </c>
      <c r="D67">
        <v>16</v>
      </c>
    </row>
    <row r="68" spans="1:4" x14ac:dyDescent="0.25">
      <c r="A68" t="s">
        <v>123</v>
      </c>
      <c r="B68" t="s">
        <v>1169</v>
      </c>
      <c r="C68" t="s">
        <v>2885</v>
      </c>
      <c r="D68">
        <v>13</v>
      </c>
    </row>
    <row r="69" spans="1:4" x14ac:dyDescent="0.25">
      <c r="A69" t="s">
        <v>123</v>
      </c>
      <c r="B69" t="s">
        <v>914</v>
      </c>
      <c r="C69" t="s">
        <v>402</v>
      </c>
      <c r="D69">
        <v>10</v>
      </c>
    </row>
    <row r="70" spans="1:4" x14ac:dyDescent="0.25">
      <c r="A70" t="s">
        <v>123</v>
      </c>
      <c r="B70" t="s">
        <v>363</v>
      </c>
      <c r="C70" t="s">
        <v>1472</v>
      </c>
      <c r="D70">
        <v>11</v>
      </c>
    </row>
    <row r="71" spans="1:4" x14ac:dyDescent="0.25">
      <c r="A71" t="s">
        <v>123</v>
      </c>
      <c r="B71" t="s">
        <v>405</v>
      </c>
      <c r="C71" t="s">
        <v>2279</v>
      </c>
      <c r="D71">
        <v>9</v>
      </c>
    </row>
    <row r="72" spans="1:4" x14ac:dyDescent="0.25">
      <c r="A72" t="s">
        <v>123</v>
      </c>
      <c r="B72" t="s">
        <v>405</v>
      </c>
      <c r="C72" t="s">
        <v>406</v>
      </c>
      <c r="D72">
        <v>8</v>
      </c>
    </row>
    <row r="73" spans="1:4" x14ac:dyDescent="0.25">
      <c r="A73" t="s">
        <v>123</v>
      </c>
      <c r="B73" t="s">
        <v>870</v>
      </c>
      <c r="C73" t="s">
        <v>763</v>
      </c>
      <c r="D73">
        <v>5</v>
      </c>
    </row>
    <row r="74" spans="1:4" x14ac:dyDescent="0.25">
      <c r="A74" t="s">
        <v>123</v>
      </c>
      <c r="B74" t="s">
        <v>435</v>
      </c>
      <c r="C74" t="s">
        <v>2458</v>
      </c>
      <c r="D74">
        <v>2</v>
      </c>
    </row>
    <row r="75" spans="1:4" x14ac:dyDescent="0.25">
      <c r="A75" t="s">
        <v>123</v>
      </c>
      <c r="B75" t="s">
        <v>341</v>
      </c>
      <c r="C75" t="s">
        <v>659</v>
      </c>
      <c r="D75">
        <v>0</v>
      </c>
    </row>
    <row r="76" spans="1:4" x14ac:dyDescent="0.25">
      <c r="A76" t="s">
        <v>123</v>
      </c>
      <c r="B76" t="s">
        <v>987</v>
      </c>
      <c r="C76" t="s">
        <v>2734</v>
      </c>
      <c r="D76">
        <v>3</v>
      </c>
    </row>
    <row r="77" spans="1:4" x14ac:dyDescent="0.25">
      <c r="A77" t="s">
        <v>123</v>
      </c>
      <c r="B77" t="s">
        <v>146</v>
      </c>
      <c r="C77" t="s">
        <v>3735</v>
      </c>
      <c r="D77">
        <v>4</v>
      </c>
    </row>
    <row r="78" spans="1:4" x14ac:dyDescent="0.25">
      <c r="A78" t="s">
        <v>123</v>
      </c>
      <c r="B78" t="s">
        <v>146</v>
      </c>
      <c r="C78" t="s">
        <v>2459</v>
      </c>
      <c r="D78">
        <v>5</v>
      </c>
    </row>
    <row r="79" spans="1:4" x14ac:dyDescent="0.25">
      <c r="A79" t="s">
        <v>123</v>
      </c>
      <c r="B79" t="s">
        <v>2317</v>
      </c>
      <c r="C79" t="s">
        <v>1183</v>
      </c>
      <c r="D79">
        <v>6</v>
      </c>
    </row>
    <row r="80" spans="1:4" x14ac:dyDescent="0.25">
      <c r="A80" t="s">
        <v>123</v>
      </c>
      <c r="B80" t="s">
        <v>2317</v>
      </c>
      <c r="C80" t="s">
        <v>1184</v>
      </c>
      <c r="D80">
        <v>7</v>
      </c>
    </row>
    <row r="81" spans="1:4" x14ac:dyDescent="0.25">
      <c r="A81" t="s">
        <v>123</v>
      </c>
      <c r="B81" t="s">
        <v>120</v>
      </c>
      <c r="C81" t="s">
        <v>3708</v>
      </c>
      <c r="D81">
        <v>9</v>
      </c>
    </row>
    <row r="82" spans="1:4" x14ac:dyDescent="0.25">
      <c r="A82" t="s">
        <v>123</v>
      </c>
      <c r="B82" t="s">
        <v>531</v>
      </c>
      <c r="C82" t="s">
        <v>1852</v>
      </c>
      <c r="D82">
        <v>7</v>
      </c>
    </row>
    <row r="83" spans="1:4" x14ac:dyDescent="0.25">
      <c r="A83" t="s">
        <v>123</v>
      </c>
      <c r="B83" t="s">
        <v>2608</v>
      </c>
      <c r="C83" t="s">
        <v>2998</v>
      </c>
      <c r="D83">
        <v>8</v>
      </c>
    </row>
    <row r="84" spans="1:4" x14ac:dyDescent="0.25">
      <c r="A84" t="s">
        <v>123</v>
      </c>
      <c r="B84" t="s">
        <v>2608</v>
      </c>
      <c r="C84" t="s">
        <v>3736</v>
      </c>
      <c r="D84">
        <v>9</v>
      </c>
    </row>
    <row r="85" spans="1:4" x14ac:dyDescent="0.25">
      <c r="A85" t="s">
        <v>123</v>
      </c>
      <c r="B85" t="s">
        <v>902</v>
      </c>
      <c r="C85" t="s">
        <v>1853</v>
      </c>
      <c r="D85">
        <v>10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7.7976190476190474</v>
      </c>
    </row>
    <row r="89" spans="1:4" x14ac:dyDescent="0.25">
      <c r="A89" t="s">
        <v>159</v>
      </c>
      <c r="D89">
        <f>MAX(D2:D85)</f>
        <v>16</v>
      </c>
    </row>
    <row r="90" spans="1:4" x14ac:dyDescent="0.25">
      <c r="A90" t="s">
        <v>160</v>
      </c>
      <c r="D90">
        <f>MIN(D2:D85)</f>
        <v>0</v>
      </c>
    </row>
    <row r="91" spans="1:4" x14ac:dyDescent="0.25">
      <c r="A91" t="s">
        <v>161</v>
      </c>
      <c r="D91">
        <f>COUNTIF(D2:D85,"&gt;0")</f>
        <v>83</v>
      </c>
    </row>
    <row r="92" spans="1:4" x14ac:dyDescent="0.25">
      <c r="A92" t="s">
        <v>162</v>
      </c>
      <c r="D92">
        <f>COUNTIF(D2:D85,"=0")</f>
        <v>1</v>
      </c>
    </row>
    <row r="93" spans="1:4" x14ac:dyDescent="0.25">
      <c r="A93" t="s">
        <v>775</v>
      </c>
      <c r="D93">
        <f>COUNTIF(D2:D85,"&lt;0")</f>
        <v>0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AVERAGE(D2,D3,D4,D5,D6,D7,D8,D9,D10,D11,D12,D13,D14,D15,D16,D17,D18,D19,D20,D21,D22,D23,D24,D25,D26)</f>
        <v>7.04</v>
      </c>
    </row>
    <row r="97" spans="1:4" x14ac:dyDescent="0.25">
      <c r="A97" t="s">
        <v>166</v>
      </c>
      <c r="D97">
        <f>AVERAGE(D27,D28,D29,D30,D31,D32,D33,D34,D35,D36,D37,D38,D39,D40,D41,D42,D43,D44,D45,D46,D47)</f>
        <v>6.5714285714285712</v>
      </c>
    </row>
    <row r="98" spans="1:4" x14ac:dyDescent="0.25">
      <c r="A98" t="s">
        <v>167</v>
      </c>
      <c r="D98">
        <f>AVERAGE(D48,D49,D50,D51,D52,D53,D54,D55,D56,D57,D58,D59,D60,D61,D62,D63,D64)</f>
        <v>10.235294117647058</v>
      </c>
    </row>
    <row r="99" spans="1:4" x14ac:dyDescent="0.25">
      <c r="A99" t="s">
        <v>168</v>
      </c>
      <c r="D99">
        <f>AVERAGE(D65,D66,D67,D68,D69,D70,D71,D72,D73,D74,D75,D76,D77,D78,D79,D80,D81,D82,D83,D84,D85)</f>
        <v>7.9523809523809526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689</v>
      </c>
      <c r="C2" t="s">
        <v>6</v>
      </c>
      <c r="D2">
        <v>2</v>
      </c>
    </row>
    <row r="3" spans="1:4" x14ac:dyDescent="0.25">
      <c r="A3" t="s">
        <v>4</v>
      </c>
      <c r="B3" t="s">
        <v>355</v>
      </c>
      <c r="C3" t="s">
        <v>8</v>
      </c>
      <c r="D3">
        <v>0</v>
      </c>
    </row>
    <row r="4" spans="1:4" x14ac:dyDescent="0.25">
      <c r="A4" t="s">
        <v>4</v>
      </c>
      <c r="B4" t="s">
        <v>275</v>
      </c>
      <c r="C4" t="s">
        <v>174</v>
      </c>
      <c r="D4">
        <v>1</v>
      </c>
    </row>
    <row r="5" spans="1:4" x14ac:dyDescent="0.25">
      <c r="A5" t="s">
        <v>4</v>
      </c>
      <c r="B5" t="s">
        <v>275</v>
      </c>
      <c r="C5" t="s">
        <v>564</v>
      </c>
      <c r="D5">
        <v>2</v>
      </c>
    </row>
    <row r="6" spans="1:4" x14ac:dyDescent="0.25">
      <c r="A6" t="s">
        <v>4</v>
      </c>
      <c r="B6" t="s">
        <v>1683</v>
      </c>
      <c r="C6" t="s">
        <v>12</v>
      </c>
      <c r="D6">
        <v>0</v>
      </c>
    </row>
    <row r="7" spans="1:4" x14ac:dyDescent="0.25">
      <c r="A7" t="s">
        <v>4</v>
      </c>
      <c r="B7" t="s">
        <v>868</v>
      </c>
      <c r="C7" t="s">
        <v>178</v>
      </c>
      <c r="D7">
        <v>2</v>
      </c>
    </row>
    <row r="8" spans="1:4" x14ac:dyDescent="0.25">
      <c r="A8" t="s">
        <v>4</v>
      </c>
      <c r="B8" t="s">
        <v>598</v>
      </c>
      <c r="C8" t="s">
        <v>180</v>
      </c>
      <c r="D8">
        <v>4</v>
      </c>
    </row>
    <row r="9" spans="1:4" x14ac:dyDescent="0.25">
      <c r="A9" t="s">
        <v>4</v>
      </c>
      <c r="B9" t="s">
        <v>263</v>
      </c>
      <c r="C9" t="s">
        <v>2645</v>
      </c>
      <c r="D9">
        <v>7</v>
      </c>
    </row>
    <row r="10" spans="1:4" x14ac:dyDescent="0.25">
      <c r="A10" t="s">
        <v>4</v>
      </c>
      <c r="B10" t="s">
        <v>378</v>
      </c>
      <c r="C10" t="s">
        <v>2646</v>
      </c>
      <c r="D10">
        <v>9</v>
      </c>
    </row>
    <row r="11" spans="1:4" x14ac:dyDescent="0.25">
      <c r="A11" t="s">
        <v>4</v>
      </c>
      <c r="B11" t="s">
        <v>1217</v>
      </c>
      <c r="C11" t="s">
        <v>187</v>
      </c>
      <c r="D11">
        <v>7</v>
      </c>
    </row>
    <row r="12" spans="1:4" x14ac:dyDescent="0.25">
      <c r="A12" t="s">
        <v>4</v>
      </c>
      <c r="B12" t="s">
        <v>472</v>
      </c>
      <c r="C12" t="s">
        <v>2511</v>
      </c>
      <c r="D12">
        <v>9</v>
      </c>
    </row>
    <row r="13" spans="1:4" x14ac:dyDescent="0.25">
      <c r="A13" t="s">
        <v>4</v>
      </c>
      <c r="B13" t="s">
        <v>27</v>
      </c>
      <c r="C13" t="s">
        <v>786</v>
      </c>
      <c r="D13">
        <v>7</v>
      </c>
    </row>
    <row r="14" spans="1:4" x14ac:dyDescent="0.25">
      <c r="A14" t="s">
        <v>4</v>
      </c>
      <c r="B14" t="s">
        <v>709</v>
      </c>
      <c r="C14" t="s">
        <v>193</v>
      </c>
      <c r="D14">
        <v>10</v>
      </c>
    </row>
    <row r="15" spans="1:4" x14ac:dyDescent="0.25">
      <c r="A15" t="s">
        <v>4</v>
      </c>
      <c r="B15" t="s">
        <v>1750</v>
      </c>
      <c r="C15" t="s">
        <v>195</v>
      </c>
      <c r="D15">
        <v>8</v>
      </c>
    </row>
    <row r="16" spans="1:4" x14ac:dyDescent="0.25">
      <c r="A16" t="s">
        <v>4</v>
      </c>
      <c r="B16" t="s">
        <v>1750</v>
      </c>
      <c r="C16" t="s">
        <v>787</v>
      </c>
      <c r="D16">
        <v>7</v>
      </c>
    </row>
    <row r="17" spans="1:4" x14ac:dyDescent="0.25">
      <c r="A17" t="s">
        <v>4</v>
      </c>
      <c r="B17" t="s">
        <v>1356</v>
      </c>
      <c r="C17" t="s">
        <v>1357</v>
      </c>
      <c r="D17">
        <v>9</v>
      </c>
    </row>
    <row r="18" spans="1:4" x14ac:dyDescent="0.25">
      <c r="A18" t="s">
        <v>4</v>
      </c>
      <c r="B18" t="s">
        <v>508</v>
      </c>
      <c r="C18" t="s">
        <v>199</v>
      </c>
      <c r="D18">
        <v>7</v>
      </c>
    </row>
    <row r="19" spans="1:4" x14ac:dyDescent="0.25">
      <c r="A19" t="s">
        <v>40</v>
      </c>
      <c r="B19" t="s">
        <v>325</v>
      </c>
      <c r="C19" t="s">
        <v>2975</v>
      </c>
      <c r="D19">
        <v>9</v>
      </c>
    </row>
    <row r="20" spans="1:4" x14ac:dyDescent="0.25">
      <c r="A20" t="s">
        <v>40</v>
      </c>
      <c r="B20" t="s">
        <v>128</v>
      </c>
      <c r="C20" t="s">
        <v>1748</v>
      </c>
      <c r="D20">
        <v>6</v>
      </c>
    </row>
    <row r="21" spans="1:4" x14ac:dyDescent="0.25">
      <c r="A21" t="s">
        <v>40</v>
      </c>
      <c r="B21" t="s">
        <v>721</v>
      </c>
      <c r="C21" t="s">
        <v>586</v>
      </c>
      <c r="D21">
        <v>3</v>
      </c>
    </row>
    <row r="22" spans="1:4" x14ac:dyDescent="0.25">
      <c r="A22" t="s">
        <v>40</v>
      </c>
      <c r="B22" t="s">
        <v>332</v>
      </c>
      <c r="C22" t="s">
        <v>587</v>
      </c>
      <c r="D22">
        <v>1</v>
      </c>
    </row>
    <row r="23" spans="1:4" x14ac:dyDescent="0.25">
      <c r="A23" t="s">
        <v>40</v>
      </c>
      <c r="B23" t="s">
        <v>177</v>
      </c>
      <c r="C23" t="s">
        <v>1823</v>
      </c>
      <c r="D23">
        <v>2</v>
      </c>
    </row>
    <row r="24" spans="1:4" x14ac:dyDescent="0.25">
      <c r="A24" t="s">
        <v>40</v>
      </c>
      <c r="B24" t="s">
        <v>177</v>
      </c>
      <c r="C24" t="s">
        <v>334</v>
      </c>
      <c r="D24">
        <v>3</v>
      </c>
    </row>
    <row r="25" spans="1:4" x14ac:dyDescent="0.25">
      <c r="A25" t="s">
        <v>40</v>
      </c>
      <c r="B25" t="s">
        <v>1683</v>
      </c>
      <c r="C25" t="s">
        <v>2780</v>
      </c>
      <c r="D25">
        <v>0</v>
      </c>
    </row>
    <row r="26" spans="1:4" x14ac:dyDescent="0.25">
      <c r="A26" t="s">
        <v>40</v>
      </c>
      <c r="B26" t="s">
        <v>2080</v>
      </c>
      <c r="C26" t="s">
        <v>336</v>
      </c>
      <c r="D26">
        <v>2</v>
      </c>
    </row>
    <row r="27" spans="1:4" x14ac:dyDescent="0.25">
      <c r="A27" t="s">
        <v>40</v>
      </c>
      <c r="B27" t="s">
        <v>804</v>
      </c>
      <c r="C27" t="s">
        <v>2331</v>
      </c>
      <c r="D27">
        <v>0</v>
      </c>
    </row>
    <row r="28" spans="1:4" x14ac:dyDescent="0.25">
      <c r="A28" t="s">
        <v>40</v>
      </c>
      <c r="B28" t="s">
        <v>97</v>
      </c>
      <c r="C28" t="s">
        <v>218</v>
      </c>
      <c r="D28">
        <v>3</v>
      </c>
    </row>
    <row r="29" spans="1:4" x14ac:dyDescent="0.25">
      <c r="A29" t="s">
        <v>40</v>
      </c>
      <c r="B29" t="s">
        <v>2962</v>
      </c>
      <c r="C29" t="s">
        <v>2484</v>
      </c>
      <c r="D29">
        <v>1</v>
      </c>
    </row>
    <row r="30" spans="1:4" x14ac:dyDescent="0.25">
      <c r="A30" t="s">
        <v>40</v>
      </c>
      <c r="B30" t="s">
        <v>467</v>
      </c>
      <c r="C30" t="s">
        <v>343</v>
      </c>
      <c r="D30">
        <v>2</v>
      </c>
    </row>
    <row r="31" spans="1:4" x14ac:dyDescent="0.25">
      <c r="A31" t="s">
        <v>40</v>
      </c>
      <c r="B31" t="s">
        <v>1200</v>
      </c>
      <c r="C31" t="s">
        <v>1126</v>
      </c>
      <c r="D31">
        <v>3</v>
      </c>
    </row>
    <row r="32" spans="1:4" x14ac:dyDescent="0.25">
      <c r="A32" t="s">
        <v>40</v>
      </c>
      <c r="B32" t="s">
        <v>1200</v>
      </c>
      <c r="C32" t="s">
        <v>222</v>
      </c>
      <c r="D32">
        <v>4</v>
      </c>
    </row>
    <row r="33" spans="1:4" x14ac:dyDescent="0.25">
      <c r="A33" t="s">
        <v>40</v>
      </c>
      <c r="B33" t="s">
        <v>2048</v>
      </c>
      <c r="C33" t="s">
        <v>725</v>
      </c>
      <c r="D33">
        <v>1</v>
      </c>
    </row>
    <row r="34" spans="1:4" x14ac:dyDescent="0.25">
      <c r="A34" t="s">
        <v>40</v>
      </c>
      <c r="B34" t="s">
        <v>414</v>
      </c>
      <c r="C34" t="s">
        <v>347</v>
      </c>
      <c r="D34">
        <v>2</v>
      </c>
    </row>
    <row r="35" spans="1:4" x14ac:dyDescent="0.25">
      <c r="A35" t="s">
        <v>40</v>
      </c>
      <c r="B35" t="s">
        <v>1622</v>
      </c>
      <c r="C35" t="s">
        <v>1134</v>
      </c>
      <c r="D35">
        <v>-1</v>
      </c>
    </row>
    <row r="36" spans="1:4" x14ac:dyDescent="0.25">
      <c r="A36" t="s">
        <v>40</v>
      </c>
      <c r="B36" t="s">
        <v>344</v>
      </c>
      <c r="C36" t="s">
        <v>470</v>
      </c>
      <c r="D36">
        <v>0</v>
      </c>
    </row>
    <row r="37" spans="1:4" x14ac:dyDescent="0.25">
      <c r="A37" t="s">
        <v>40</v>
      </c>
      <c r="B37" t="s">
        <v>344</v>
      </c>
      <c r="C37" t="s">
        <v>1516</v>
      </c>
      <c r="D37">
        <v>1</v>
      </c>
    </row>
    <row r="38" spans="1:4" x14ac:dyDescent="0.25">
      <c r="A38" t="s">
        <v>40</v>
      </c>
      <c r="B38" t="s">
        <v>880</v>
      </c>
      <c r="C38" t="s">
        <v>2725</v>
      </c>
      <c r="D38">
        <v>-1</v>
      </c>
    </row>
    <row r="39" spans="1:4" x14ac:dyDescent="0.25">
      <c r="A39" t="s">
        <v>40</v>
      </c>
      <c r="B39" t="s">
        <v>793</v>
      </c>
      <c r="C39" t="s">
        <v>2131</v>
      </c>
      <c r="D39">
        <v>-4</v>
      </c>
    </row>
    <row r="40" spans="1:4" x14ac:dyDescent="0.25">
      <c r="A40" t="s">
        <v>80</v>
      </c>
      <c r="B40" t="s">
        <v>907</v>
      </c>
      <c r="C40" t="s">
        <v>1519</v>
      </c>
      <c r="D40">
        <v>-1</v>
      </c>
    </row>
    <row r="41" spans="1:4" x14ac:dyDescent="0.25">
      <c r="A41" t="s">
        <v>80</v>
      </c>
      <c r="B41" t="s">
        <v>1246</v>
      </c>
      <c r="C41" t="s">
        <v>240</v>
      </c>
      <c r="D41">
        <v>-3</v>
      </c>
    </row>
    <row r="42" spans="1:4" x14ac:dyDescent="0.25">
      <c r="A42" t="s">
        <v>80</v>
      </c>
      <c r="B42" t="s">
        <v>250</v>
      </c>
      <c r="C42" t="s">
        <v>1761</v>
      </c>
      <c r="D42">
        <v>-1</v>
      </c>
    </row>
    <row r="43" spans="1:4" x14ac:dyDescent="0.25">
      <c r="A43" t="s">
        <v>80</v>
      </c>
      <c r="B43" t="s">
        <v>494</v>
      </c>
      <c r="C43" t="s">
        <v>3575</v>
      </c>
      <c r="D43">
        <v>-4</v>
      </c>
    </row>
    <row r="44" spans="1:4" x14ac:dyDescent="0.25">
      <c r="A44" t="s">
        <v>80</v>
      </c>
      <c r="B44" t="s">
        <v>179</v>
      </c>
      <c r="C44" t="s">
        <v>818</v>
      </c>
      <c r="D44">
        <v>-6</v>
      </c>
    </row>
    <row r="45" spans="1:4" x14ac:dyDescent="0.25">
      <c r="A45" t="s">
        <v>80</v>
      </c>
      <c r="B45" t="s">
        <v>2080</v>
      </c>
      <c r="C45" t="s">
        <v>92</v>
      </c>
      <c r="D45">
        <v>-5</v>
      </c>
    </row>
    <row r="46" spans="1:4" x14ac:dyDescent="0.25">
      <c r="A46" t="s">
        <v>80</v>
      </c>
      <c r="B46" t="s">
        <v>2080</v>
      </c>
      <c r="C46" t="s">
        <v>94</v>
      </c>
      <c r="D46">
        <v>-4</v>
      </c>
    </row>
    <row r="47" spans="1:4" x14ac:dyDescent="0.25">
      <c r="A47" t="s">
        <v>80</v>
      </c>
      <c r="B47" t="s">
        <v>184</v>
      </c>
      <c r="C47" t="s">
        <v>2415</v>
      </c>
      <c r="D47">
        <v>-2</v>
      </c>
    </row>
    <row r="48" spans="1:4" x14ac:dyDescent="0.25">
      <c r="A48" t="s">
        <v>80</v>
      </c>
      <c r="B48" t="s">
        <v>437</v>
      </c>
      <c r="C48" t="s">
        <v>624</v>
      </c>
      <c r="D48">
        <v>-4</v>
      </c>
    </row>
    <row r="49" spans="1:4" x14ac:dyDescent="0.25">
      <c r="A49" t="s">
        <v>80</v>
      </c>
      <c r="B49" t="s">
        <v>890</v>
      </c>
      <c r="C49" t="s">
        <v>258</v>
      </c>
      <c r="D49">
        <v>-1</v>
      </c>
    </row>
    <row r="50" spans="1:4" x14ac:dyDescent="0.25">
      <c r="A50" t="s">
        <v>80</v>
      </c>
      <c r="B50" t="s">
        <v>442</v>
      </c>
      <c r="C50" t="s">
        <v>2490</v>
      </c>
      <c r="D50">
        <v>0</v>
      </c>
    </row>
    <row r="51" spans="1:4" x14ac:dyDescent="0.25">
      <c r="A51" t="s">
        <v>80</v>
      </c>
      <c r="B51" t="s">
        <v>442</v>
      </c>
      <c r="C51" t="s">
        <v>375</v>
      </c>
      <c r="D51">
        <v>1</v>
      </c>
    </row>
    <row r="52" spans="1:4" x14ac:dyDescent="0.25">
      <c r="A52" t="s">
        <v>80</v>
      </c>
      <c r="B52" t="s">
        <v>631</v>
      </c>
      <c r="C52" t="s">
        <v>377</v>
      </c>
      <c r="D52">
        <v>-2</v>
      </c>
    </row>
    <row r="53" spans="1:4" x14ac:dyDescent="0.25">
      <c r="A53" t="s">
        <v>80</v>
      </c>
      <c r="B53" t="s">
        <v>1202</v>
      </c>
      <c r="C53" t="s">
        <v>2446</v>
      </c>
      <c r="D53">
        <v>0</v>
      </c>
    </row>
    <row r="54" spans="1:4" x14ac:dyDescent="0.25">
      <c r="A54" t="s">
        <v>80</v>
      </c>
      <c r="B54" t="s">
        <v>788</v>
      </c>
      <c r="C54" t="s">
        <v>2612</v>
      </c>
      <c r="D54">
        <v>-2</v>
      </c>
    </row>
    <row r="55" spans="1:4" x14ac:dyDescent="0.25">
      <c r="A55" t="s">
        <v>80</v>
      </c>
      <c r="B55" t="s">
        <v>2363</v>
      </c>
      <c r="C55" t="s">
        <v>382</v>
      </c>
      <c r="D55">
        <v>1</v>
      </c>
    </row>
    <row r="56" spans="1:4" x14ac:dyDescent="0.25">
      <c r="A56" t="s">
        <v>80</v>
      </c>
      <c r="B56" t="s">
        <v>1162</v>
      </c>
      <c r="C56" t="s">
        <v>2449</v>
      </c>
      <c r="D56">
        <v>3</v>
      </c>
    </row>
    <row r="57" spans="1:4" x14ac:dyDescent="0.25">
      <c r="A57" t="s">
        <v>123</v>
      </c>
      <c r="B57" t="s">
        <v>1704</v>
      </c>
      <c r="C57" t="s">
        <v>2177</v>
      </c>
      <c r="D57">
        <v>4</v>
      </c>
    </row>
    <row r="58" spans="1:4" x14ac:dyDescent="0.25">
      <c r="A58" t="s">
        <v>123</v>
      </c>
      <c r="B58" t="s">
        <v>1704</v>
      </c>
      <c r="C58" t="s">
        <v>2450</v>
      </c>
      <c r="D58">
        <v>5</v>
      </c>
    </row>
    <row r="59" spans="1:4" x14ac:dyDescent="0.25">
      <c r="A59" t="s">
        <v>123</v>
      </c>
      <c r="B59" t="s">
        <v>305</v>
      </c>
      <c r="C59" t="s">
        <v>498</v>
      </c>
      <c r="D59">
        <v>3</v>
      </c>
    </row>
    <row r="60" spans="1:4" x14ac:dyDescent="0.25">
      <c r="A60" t="s">
        <v>123</v>
      </c>
      <c r="B60" t="s">
        <v>588</v>
      </c>
      <c r="C60" t="s">
        <v>390</v>
      </c>
      <c r="D60">
        <v>0</v>
      </c>
    </row>
    <row r="61" spans="1:4" x14ac:dyDescent="0.25">
      <c r="A61" t="s">
        <v>123</v>
      </c>
      <c r="B61" t="s">
        <v>1280</v>
      </c>
      <c r="C61" t="s">
        <v>393</v>
      </c>
      <c r="D61">
        <v>3</v>
      </c>
    </row>
    <row r="62" spans="1:4" x14ac:dyDescent="0.25">
      <c r="A62" t="s">
        <v>123</v>
      </c>
      <c r="B62" t="s">
        <v>2118</v>
      </c>
      <c r="C62" t="s">
        <v>3019</v>
      </c>
      <c r="D62">
        <v>6</v>
      </c>
    </row>
    <row r="63" spans="1:4" x14ac:dyDescent="0.25">
      <c r="A63" t="s">
        <v>123</v>
      </c>
      <c r="B63" t="s">
        <v>140</v>
      </c>
      <c r="C63" t="s">
        <v>397</v>
      </c>
      <c r="D63">
        <v>8</v>
      </c>
    </row>
    <row r="64" spans="1:4" x14ac:dyDescent="0.25">
      <c r="A64" t="s">
        <v>123</v>
      </c>
      <c r="B64" t="s">
        <v>221</v>
      </c>
      <c r="C64" t="s">
        <v>1611</v>
      </c>
      <c r="D64">
        <v>7</v>
      </c>
    </row>
    <row r="65" spans="1:4" x14ac:dyDescent="0.25">
      <c r="A65" t="s">
        <v>123</v>
      </c>
      <c r="B65" t="s">
        <v>743</v>
      </c>
      <c r="C65" t="s">
        <v>644</v>
      </c>
      <c r="D65">
        <v>4</v>
      </c>
    </row>
    <row r="66" spans="1:4" x14ac:dyDescent="0.25">
      <c r="A66" t="s">
        <v>123</v>
      </c>
      <c r="B66" t="s">
        <v>223</v>
      </c>
      <c r="C66" t="s">
        <v>2184</v>
      </c>
      <c r="D66">
        <v>6</v>
      </c>
    </row>
    <row r="67" spans="1:4" x14ac:dyDescent="0.25">
      <c r="A67" t="s">
        <v>123</v>
      </c>
      <c r="B67" t="s">
        <v>890</v>
      </c>
      <c r="C67" t="s">
        <v>647</v>
      </c>
      <c r="D67">
        <v>4</v>
      </c>
    </row>
    <row r="68" spans="1:4" x14ac:dyDescent="0.25">
      <c r="A68" t="s">
        <v>123</v>
      </c>
      <c r="B68" t="s">
        <v>749</v>
      </c>
      <c r="C68" t="s">
        <v>2731</v>
      </c>
      <c r="D68">
        <v>6</v>
      </c>
    </row>
    <row r="69" spans="1:4" x14ac:dyDescent="0.25">
      <c r="A69" t="s">
        <v>123</v>
      </c>
      <c r="B69" t="s">
        <v>812</v>
      </c>
      <c r="C69" t="s">
        <v>2556</v>
      </c>
      <c r="D69">
        <v>5</v>
      </c>
    </row>
    <row r="70" spans="1:4" x14ac:dyDescent="0.25">
      <c r="A70" t="s">
        <v>123</v>
      </c>
      <c r="B70" t="s">
        <v>812</v>
      </c>
      <c r="C70" t="s">
        <v>1178</v>
      </c>
      <c r="D70">
        <v>4</v>
      </c>
    </row>
    <row r="71" spans="1:4" x14ac:dyDescent="0.25">
      <c r="A71" t="s">
        <v>123</v>
      </c>
      <c r="B71" t="s">
        <v>1129</v>
      </c>
      <c r="C71" t="s">
        <v>656</v>
      </c>
      <c r="D71">
        <v>2</v>
      </c>
    </row>
    <row r="72" spans="1:4" x14ac:dyDescent="0.25">
      <c r="A72" t="s">
        <v>123</v>
      </c>
      <c r="B72" t="s">
        <v>1940</v>
      </c>
      <c r="C72" t="s">
        <v>3068</v>
      </c>
      <c r="D72">
        <v>4</v>
      </c>
    </row>
    <row r="73" spans="1:4" x14ac:dyDescent="0.25">
      <c r="A73" t="s">
        <v>123</v>
      </c>
      <c r="B73" t="s">
        <v>1112</v>
      </c>
      <c r="C73" t="s">
        <v>2732</v>
      </c>
      <c r="D73">
        <v>3</v>
      </c>
    </row>
    <row r="74" spans="1:4" x14ac:dyDescent="0.25">
      <c r="A74" t="s">
        <v>123</v>
      </c>
      <c r="B74" t="s">
        <v>999</v>
      </c>
      <c r="C74" t="s">
        <v>2733</v>
      </c>
      <c r="D74">
        <v>5</v>
      </c>
    </row>
    <row r="75" spans="1:4" x14ac:dyDescent="0.25">
      <c r="A75" t="s">
        <v>123</v>
      </c>
      <c r="B75" t="s">
        <v>33</v>
      </c>
      <c r="C75" t="s">
        <v>768</v>
      </c>
      <c r="D75">
        <v>6</v>
      </c>
    </row>
    <row r="76" spans="1:4" x14ac:dyDescent="0.25">
      <c r="A76" t="s">
        <v>123</v>
      </c>
      <c r="B76" t="s">
        <v>348</v>
      </c>
      <c r="C76" t="s">
        <v>3735</v>
      </c>
      <c r="D76">
        <v>4</v>
      </c>
    </row>
    <row r="77" spans="1:4" x14ac:dyDescent="0.25">
      <c r="A77" t="s">
        <v>123</v>
      </c>
      <c r="B77" t="s">
        <v>1135</v>
      </c>
      <c r="C77" t="s">
        <v>2459</v>
      </c>
      <c r="D77">
        <v>5</v>
      </c>
    </row>
    <row r="78" spans="1:4" x14ac:dyDescent="0.25">
      <c r="A78" t="s">
        <v>123</v>
      </c>
      <c r="B78" t="s">
        <v>1135</v>
      </c>
      <c r="C78" t="s">
        <v>1183</v>
      </c>
      <c r="D78">
        <v>6</v>
      </c>
    </row>
    <row r="79" spans="1:4" x14ac:dyDescent="0.25">
      <c r="A79" t="s">
        <v>123</v>
      </c>
      <c r="B79" t="s">
        <v>793</v>
      </c>
      <c r="C79" t="s">
        <v>419</v>
      </c>
      <c r="D79">
        <v>5</v>
      </c>
    </row>
    <row r="80" spans="1:4" x14ac:dyDescent="0.25">
      <c r="A80" t="s">
        <v>123</v>
      </c>
      <c r="B80" t="s">
        <v>36</v>
      </c>
      <c r="C80" t="s">
        <v>1621</v>
      </c>
      <c r="D80">
        <v>6</v>
      </c>
    </row>
    <row r="81" spans="1:4" x14ac:dyDescent="0.25">
      <c r="A81" t="s">
        <v>123</v>
      </c>
      <c r="B81" t="s">
        <v>1627</v>
      </c>
      <c r="C81" t="s">
        <v>3203</v>
      </c>
      <c r="D81">
        <v>5</v>
      </c>
    </row>
    <row r="82" spans="1:4" x14ac:dyDescent="0.25">
      <c r="A82" t="s">
        <v>123</v>
      </c>
      <c r="B82" t="s">
        <v>1276</v>
      </c>
      <c r="C82" t="s">
        <v>3204</v>
      </c>
      <c r="D82">
        <v>6</v>
      </c>
    </row>
    <row r="83" spans="1:4" x14ac:dyDescent="0.25">
      <c r="A83" t="s">
        <v>123</v>
      </c>
      <c r="B83" t="s">
        <v>451</v>
      </c>
      <c r="C83" t="s">
        <v>1852</v>
      </c>
      <c r="D83">
        <v>7</v>
      </c>
    </row>
    <row r="84" spans="1:4" x14ac:dyDescent="0.25">
      <c r="A84" t="s">
        <v>123</v>
      </c>
      <c r="B84" t="s">
        <v>451</v>
      </c>
      <c r="C84" t="s">
        <v>2998</v>
      </c>
      <c r="D84">
        <v>8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2.8313253012048194</v>
      </c>
    </row>
    <row r="88" spans="1:4" x14ac:dyDescent="0.25">
      <c r="A88" t="s">
        <v>159</v>
      </c>
      <c r="D88">
        <f>MAX(D2:D84)</f>
        <v>10</v>
      </c>
    </row>
    <row r="89" spans="1:4" x14ac:dyDescent="0.25">
      <c r="A89" t="s">
        <v>160</v>
      </c>
      <c r="D89">
        <f>MIN(D2:D84)</f>
        <v>-6</v>
      </c>
    </row>
    <row r="90" spans="1:4" x14ac:dyDescent="0.25">
      <c r="A90" t="s">
        <v>161</v>
      </c>
      <c r="D90">
        <f>COUNTIF(D2:D84,"&gt;0")</f>
        <v>60</v>
      </c>
    </row>
    <row r="91" spans="1:4" x14ac:dyDescent="0.25">
      <c r="A91" t="s">
        <v>162</v>
      </c>
      <c r="D91">
        <f>COUNTIF(D2:D84,"=0")</f>
        <v>8</v>
      </c>
    </row>
    <row r="92" spans="1:4" x14ac:dyDescent="0.25">
      <c r="A92" t="s">
        <v>775</v>
      </c>
      <c r="D92">
        <f>COUNTIF(D2:D84,"&lt;0")</f>
        <v>15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AVERAGE(D2,D3,D4,D5,D6,D7,D8,D9,D10,D11,D12,D13,D14,D15,D16,D17,D18)</f>
        <v>5.3529411764705879</v>
      </c>
    </row>
    <row r="96" spans="1:4" x14ac:dyDescent="0.25">
      <c r="A96" t="s">
        <v>166</v>
      </c>
      <c r="D96">
        <f>AVERAGE(D19,D20,D21,D22,D23,D24,D25,D26,D27,D28,D29,D30,D31,D32,D33,D34,D35,D36,D37,D38,D39)</f>
        <v>1.7619047619047619</v>
      </c>
    </row>
    <row r="97" spans="1:4" x14ac:dyDescent="0.25">
      <c r="A97" t="s">
        <v>167</v>
      </c>
      <c r="D97">
        <f>AVERAGE(D40,D41,D42,D43,D44,D45,D46,D47,D48,D49,D50,D51,D52,D53,D54,D55,D56)</f>
        <v>-1.7647058823529411</v>
      </c>
    </row>
    <row r="98" spans="1:4" x14ac:dyDescent="0.25">
      <c r="A98" t="s">
        <v>168</v>
      </c>
      <c r="D98">
        <f>AVERAGE(D57,D58,D59,D60,D61,D62,D63,D64,D65,D66,D67,D68,D69,D70,D71,D72,D73,D74,D75,D76,D77,D78,D79,D80,D81,D82,D83,D84)</f>
        <v>4.8928571428571432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8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714</v>
      </c>
      <c r="C2" t="s">
        <v>1008</v>
      </c>
      <c r="D2">
        <v>-3</v>
      </c>
    </row>
    <row r="3" spans="1:4" x14ac:dyDescent="0.25">
      <c r="A3" t="s">
        <v>4</v>
      </c>
      <c r="B3" t="s">
        <v>1922</v>
      </c>
      <c r="C3" t="s">
        <v>306</v>
      </c>
      <c r="D3">
        <v>-1</v>
      </c>
    </row>
    <row r="4" spans="1:4" x14ac:dyDescent="0.25">
      <c r="A4" t="s">
        <v>4</v>
      </c>
      <c r="B4" t="s">
        <v>1057</v>
      </c>
      <c r="C4" t="s">
        <v>308</v>
      </c>
      <c r="D4">
        <v>1</v>
      </c>
    </row>
    <row r="5" spans="1:4" x14ac:dyDescent="0.25">
      <c r="A5" t="s">
        <v>4</v>
      </c>
      <c r="B5" t="s">
        <v>1851</v>
      </c>
      <c r="C5" t="s">
        <v>430</v>
      </c>
      <c r="D5">
        <v>4</v>
      </c>
    </row>
    <row r="6" spans="1:4" x14ac:dyDescent="0.25">
      <c r="A6" t="s">
        <v>4</v>
      </c>
      <c r="B6" t="s">
        <v>566</v>
      </c>
      <c r="C6" t="s">
        <v>311</v>
      </c>
      <c r="D6">
        <v>1</v>
      </c>
    </row>
    <row r="7" spans="1:4" x14ac:dyDescent="0.25">
      <c r="A7" t="s">
        <v>4</v>
      </c>
      <c r="B7" t="s">
        <v>570</v>
      </c>
      <c r="C7" t="s">
        <v>2559</v>
      </c>
      <c r="D7">
        <v>3</v>
      </c>
    </row>
    <row r="8" spans="1:4" x14ac:dyDescent="0.25">
      <c r="A8" t="s">
        <v>4</v>
      </c>
      <c r="B8" t="s">
        <v>462</v>
      </c>
      <c r="C8" t="s">
        <v>2560</v>
      </c>
      <c r="D8">
        <v>5</v>
      </c>
    </row>
    <row r="9" spans="1:4" x14ac:dyDescent="0.25">
      <c r="A9" t="s">
        <v>4</v>
      </c>
      <c r="B9" t="s">
        <v>804</v>
      </c>
      <c r="C9" t="s">
        <v>573</v>
      </c>
      <c r="D9">
        <v>2</v>
      </c>
    </row>
    <row r="10" spans="1:4" x14ac:dyDescent="0.25">
      <c r="A10" t="s">
        <v>4</v>
      </c>
      <c r="B10" t="s">
        <v>1775</v>
      </c>
      <c r="C10" t="s">
        <v>26</v>
      </c>
      <c r="D10">
        <v>3</v>
      </c>
    </row>
    <row r="11" spans="1:4" x14ac:dyDescent="0.25">
      <c r="A11" t="s">
        <v>4</v>
      </c>
      <c r="B11" t="s">
        <v>1775</v>
      </c>
      <c r="C11" t="s">
        <v>1354</v>
      </c>
      <c r="D11">
        <v>4</v>
      </c>
    </row>
    <row r="12" spans="1:4" x14ac:dyDescent="0.25">
      <c r="A12" t="s">
        <v>4</v>
      </c>
      <c r="B12" t="s">
        <v>19</v>
      </c>
      <c r="C12" t="s">
        <v>919</v>
      </c>
      <c r="D12">
        <v>1</v>
      </c>
    </row>
    <row r="13" spans="1:4" x14ac:dyDescent="0.25">
      <c r="A13" t="s">
        <v>4</v>
      </c>
      <c r="B13" t="s">
        <v>598</v>
      </c>
      <c r="C13" t="s">
        <v>920</v>
      </c>
      <c r="D13">
        <v>3</v>
      </c>
    </row>
    <row r="14" spans="1:4" x14ac:dyDescent="0.25">
      <c r="A14" t="s">
        <v>4</v>
      </c>
      <c r="B14" t="s">
        <v>1231</v>
      </c>
      <c r="C14" t="s">
        <v>1199</v>
      </c>
      <c r="D14">
        <v>6</v>
      </c>
    </row>
    <row r="15" spans="1:4" x14ac:dyDescent="0.25">
      <c r="A15" t="s">
        <v>4</v>
      </c>
      <c r="B15" t="s">
        <v>503</v>
      </c>
      <c r="C15" t="s">
        <v>2874</v>
      </c>
      <c r="D15">
        <v>4</v>
      </c>
    </row>
    <row r="16" spans="1:4" x14ac:dyDescent="0.25">
      <c r="A16" t="s">
        <v>4</v>
      </c>
      <c r="B16" t="s">
        <v>1622</v>
      </c>
      <c r="C16" t="s">
        <v>789</v>
      </c>
      <c r="D16">
        <v>2</v>
      </c>
    </row>
    <row r="17" spans="1:4" x14ac:dyDescent="0.25">
      <c r="A17" t="s">
        <v>4</v>
      </c>
      <c r="B17" t="s">
        <v>1113</v>
      </c>
      <c r="C17" t="s">
        <v>330</v>
      </c>
      <c r="D17">
        <v>5</v>
      </c>
    </row>
    <row r="18" spans="1:4" x14ac:dyDescent="0.25">
      <c r="A18" t="s">
        <v>4</v>
      </c>
      <c r="B18" t="s">
        <v>556</v>
      </c>
      <c r="C18" t="s">
        <v>923</v>
      </c>
      <c r="D18">
        <v>7</v>
      </c>
    </row>
    <row r="19" spans="1:4" x14ac:dyDescent="0.25">
      <c r="A19" t="s">
        <v>4</v>
      </c>
      <c r="B19" t="s">
        <v>1733</v>
      </c>
      <c r="C19" t="s">
        <v>1207</v>
      </c>
      <c r="D19">
        <v>5</v>
      </c>
    </row>
    <row r="20" spans="1:4" x14ac:dyDescent="0.25">
      <c r="A20" t="s">
        <v>4</v>
      </c>
      <c r="B20" t="s">
        <v>396</v>
      </c>
      <c r="C20" t="s">
        <v>1581</v>
      </c>
      <c r="D20">
        <v>7</v>
      </c>
    </row>
    <row r="21" spans="1:4" x14ac:dyDescent="0.25">
      <c r="A21" t="s">
        <v>40</v>
      </c>
      <c r="B21" t="s">
        <v>1573</v>
      </c>
      <c r="C21" t="s">
        <v>713</v>
      </c>
      <c r="D21">
        <v>5</v>
      </c>
    </row>
    <row r="22" spans="1:4" x14ac:dyDescent="0.25">
      <c r="A22" t="s">
        <v>40</v>
      </c>
      <c r="B22" t="s">
        <v>1453</v>
      </c>
      <c r="C22" t="s">
        <v>1440</v>
      </c>
      <c r="D22">
        <v>2</v>
      </c>
    </row>
    <row r="23" spans="1:4" x14ac:dyDescent="0.25">
      <c r="A23" t="s">
        <v>40</v>
      </c>
      <c r="B23" t="s">
        <v>366</v>
      </c>
      <c r="C23" t="s">
        <v>457</v>
      </c>
      <c r="D23">
        <v>0</v>
      </c>
    </row>
    <row r="24" spans="1:4" x14ac:dyDescent="0.25">
      <c r="A24" t="s">
        <v>40</v>
      </c>
      <c r="B24" t="s">
        <v>184</v>
      </c>
      <c r="C24" t="s">
        <v>1124</v>
      </c>
      <c r="D24">
        <v>2</v>
      </c>
    </row>
    <row r="25" spans="1:4" x14ac:dyDescent="0.25">
      <c r="A25" t="s">
        <v>40</v>
      </c>
      <c r="B25" t="s">
        <v>184</v>
      </c>
      <c r="C25" t="s">
        <v>340</v>
      </c>
      <c r="D25">
        <v>3</v>
      </c>
    </row>
    <row r="26" spans="1:4" x14ac:dyDescent="0.25">
      <c r="A26" t="s">
        <v>40</v>
      </c>
      <c r="B26" t="s">
        <v>104</v>
      </c>
      <c r="C26" t="s">
        <v>2125</v>
      </c>
      <c r="D26">
        <v>1</v>
      </c>
    </row>
    <row r="27" spans="1:4" x14ac:dyDescent="0.25">
      <c r="A27" t="s">
        <v>40</v>
      </c>
      <c r="B27" t="s">
        <v>1602</v>
      </c>
      <c r="C27" t="s">
        <v>59</v>
      </c>
      <c r="D27">
        <v>-1</v>
      </c>
    </row>
    <row r="28" spans="1:4" x14ac:dyDescent="0.25">
      <c r="A28" t="s">
        <v>40</v>
      </c>
      <c r="B28" t="s">
        <v>285</v>
      </c>
      <c r="C28" t="s">
        <v>1212</v>
      </c>
      <c r="D28">
        <v>1</v>
      </c>
    </row>
    <row r="29" spans="1:4" x14ac:dyDescent="0.25">
      <c r="A29" t="s">
        <v>40</v>
      </c>
      <c r="B29" t="s">
        <v>112</v>
      </c>
      <c r="C29" t="s">
        <v>1213</v>
      </c>
      <c r="D29">
        <v>3</v>
      </c>
    </row>
    <row r="30" spans="1:4" x14ac:dyDescent="0.25">
      <c r="A30" t="s">
        <v>40</v>
      </c>
      <c r="B30" t="s">
        <v>112</v>
      </c>
      <c r="C30" t="s">
        <v>938</v>
      </c>
      <c r="D30">
        <v>4</v>
      </c>
    </row>
    <row r="31" spans="1:4" x14ac:dyDescent="0.25">
      <c r="A31" t="s">
        <v>40</v>
      </c>
      <c r="B31" t="s">
        <v>1481</v>
      </c>
      <c r="C31" t="s">
        <v>2704</v>
      </c>
      <c r="D31">
        <v>6</v>
      </c>
    </row>
    <row r="32" spans="1:4" x14ac:dyDescent="0.25">
      <c r="A32" t="s">
        <v>40</v>
      </c>
      <c r="B32" t="s">
        <v>1129</v>
      </c>
      <c r="C32" t="s">
        <v>727</v>
      </c>
      <c r="D32">
        <v>4</v>
      </c>
    </row>
    <row r="33" spans="1:4" x14ac:dyDescent="0.25">
      <c r="A33" t="s">
        <v>40</v>
      </c>
      <c r="B33" t="s">
        <v>1622</v>
      </c>
      <c r="C33" t="s">
        <v>939</v>
      </c>
      <c r="D33">
        <v>5</v>
      </c>
    </row>
    <row r="34" spans="1:4" x14ac:dyDescent="0.25">
      <c r="A34" t="s">
        <v>40</v>
      </c>
      <c r="B34" t="s">
        <v>1222</v>
      </c>
      <c r="C34" t="s">
        <v>942</v>
      </c>
      <c r="D34">
        <v>8</v>
      </c>
    </row>
    <row r="35" spans="1:4" x14ac:dyDescent="0.25">
      <c r="A35" t="s">
        <v>40</v>
      </c>
      <c r="B35" t="s">
        <v>902</v>
      </c>
      <c r="C35" t="s">
        <v>2935</v>
      </c>
      <c r="D35">
        <v>11</v>
      </c>
    </row>
    <row r="36" spans="1:4" x14ac:dyDescent="0.25">
      <c r="A36" t="s">
        <v>80</v>
      </c>
      <c r="B36" t="s">
        <v>795</v>
      </c>
      <c r="C36" t="s">
        <v>3435</v>
      </c>
      <c r="D36">
        <v>13</v>
      </c>
    </row>
    <row r="37" spans="1:4" x14ac:dyDescent="0.25">
      <c r="A37" t="s">
        <v>80</v>
      </c>
      <c r="B37" t="s">
        <v>45</v>
      </c>
      <c r="C37" t="s">
        <v>3013</v>
      </c>
      <c r="D37">
        <v>14</v>
      </c>
    </row>
    <row r="38" spans="1:4" x14ac:dyDescent="0.25">
      <c r="A38" t="s">
        <v>80</v>
      </c>
      <c r="B38" t="s">
        <v>45</v>
      </c>
      <c r="C38" t="s">
        <v>3737</v>
      </c>
      <c r="D38">
        <v>15</v>
      </c>
    </row>
    <row r="39" spans="1:4" x14ac:dyDescent="0.25">
      <c r="A39" t="s">
        <v>80</v>
      </c>
      <c r="B39" t="s">
        <v>1246</v>
      </c>
      <c r="C39" t="s">
        <v>3738</v>
      </c>
      <c r="D39">
        <v>18</v>
      </c>
    </row>
    <row r="40" spans="1:4" x14ac:dyDescent="0.25">
      <c r="A40" t="s">
        <v>80</v>
      </c>
      <c r="B40" t="s">
        <v>865</v>
      </c>
      <c r="C40" t="s">
        <v>3739</v>
      </c>
      <c r="D40">
        <v>19</v>
      </c>
    </row>
    <row r="41" spans="1:4" x14ac:dyDescent="0.25">
      <c r="A41" t="s">
        <v>80</v>
      </c>
      <c r="B41" t="s">
        <v>865</v>
      </c>
      <c r="C41" t="s">
        <v>3740</v>
      </c>
      <c r="D41">
        <v>20</v>
      </c>
    </row>
    <row r="42" spans="1:4" x14ac:dyDescent="0.25">
      <c r="A42" t="s">
        <v>80</v>
      </c>
      <c r="B42" t="s">
        <v>335</v>
      </c>
      <c r="C42" t="s">
        <v>2008</v>
      </c>
      <c r="D42">
        <v>23</v>
      </c>
    </row>
    <row r="43" spans="1:4" x14ac:dyDescent="0.25">
      <c r="A43" t="s">
        <v>80</v>
      </c>
      <c r="B43" t="s">
        <v>651</v>
      </c>
      <c r="C43" t="s">
        <v>3741</v>
      </c>
      <c r="D43">
        <v>25</v>
      </c>
    </row>
    <row r="44" spans="1:4" x14ac:dyDescent="0.25">
      <c r="A44" t="s">
        <v>80</v>
      </c>
      <c r="B44" t="s">
        <v>651</v>
      </c>
      <c r="C44" t="s">
        <v>2009</v>
      </c>
      <c r="D44">
        <v>26</v>
      </c>
    </row>
    <row r="45" spans="1:4" x14ac:dyDescent="0.25">
      <c r="A45" t="s">
        <v>80</v>
      </c>
      <c r="B45" t="s">
        <v>1441</v>
      </c>
      <c r="C45" t="s">
        <v>1059</v>
      </c>
      <c r="D45">
        <v>28</v>
      </c>
    </row>
    <row r="46" spans="1:4" x14ac:dyDescent="0.25">
      <c r="A46" t="s">
        <v>80</v>
      </c>
      <c r="B46" t="s">
        <v>2032</v>
      </c>
      <c r="C46" t="s">
        <v>1390</v>
      </c>
      <c r="D46">
        <v>29</v>
      </c>
    </row>
    <row r="47" spans="1:4" x14ac:dyDescent="0.25">
      <c r="A47" t="s">
        <v>80</v>
      </c>
      <c r="B47" t="s">
        <v>961</v>
      </c>
      <c r="C47" t="s">
        <v>3742</v>
      </c>
      <c r="D47">
        <v>27</v>
      </c>
    </row>
    <row r="48" spans="1:4" x14ac:dyDescent="0.25">
      <c r="A48" t="s">
        <v>80</v>
      </c>
      <c r="B48" t="s">
        <v>1092</v>
      </c>
      <c r="C48" t="s">
        <v>2010</v>
      </c>
      <c r="D48">
        <v>26</v>
      </c>
    </row>
    <row r="49" spans="1:4" x14ac:dyDescent="0.25">
      <c r="A49" t="s">
        <v>80</v>
      </c>
      <c r="B49" t="s">
        <v>984</v>
      </c>
      <c r="C49" t="s">
        <v>2011</v>
      </c>
      <c r="D49">
        <v>29</v>
      </c>
    </row>
    <row r="50" spans="1:4" x14ac:dyDescent="0.25">
      <c r="A50" t="s">
        <v>80</v>
      </c>
      <c r="B50" t="s">
        <v>704</v>
      </c>
      <c r="C50" t="s">
        <v>3743</v>
      </c>
      <c r="D50">
        <v>30</v>
      </c>
    </row>
    <row r="51" spans="1:4" x14ac:dyDescent="0.25">
      <c r="A51" t="s">
        <v>80</v>
      </c>
      <c r="B51" t="s">
        <v>704</v>
      </c>
      <c r="C51" t="s">
        <v>2012</v>
      </c>
      <c r="D51">
        <v>31</v>
      </c>
    </row>
    <row r="52" spans="1:4" x14ac:dyDescent="0.25">
      <c r="A52" t="s">
        <v>80</v>
      </c>
      <c r="B52" t="s">
        <v>1739</v>
      </c>
      <c r="C52" t="s">
        <v>2013</v>
      </c>
      <c r="D52">
        <v>29</v>
      </c>
    </row>
    <row r="53" spans="1:4" x14ac:dyDescent="0.25">
      <c r="A53" t="s">
        <v>80</v>
      </c>
      <c r="B53" t="s">
        <v>267</v>
      </c>
      <c r="C53" t="s">
        <v>2014</v>
      </c>
      <c r="D53">
        <v>27</v>
      </c>
    </row>
    <row r="54" spans="1:4" x14ac:dyDescent="0.25">
      <c r="A54" t="s">
        <v>80</v>
      </c>
      <c r="B54" t="s">
        <v>448</v>
      </c>
      <c r="C54" t="s">
        <v>3744</v>
      </c>
      <c r="D54">
        <v>25</v>
      </c>
    </row>
    <row r="55" spans="1:4" x14ac:dyDescent="0.25">
      <c r="A55" t="s">
        <v>80</v>
      </c>
      <c r="B55" t="s">
        <v>2390</v>
      </c>
      <c r="C55" t="s">
        <v>2015</v>
      </c>
      <c r="D55">
        <v>27</v>
      </c>
    </row>
    <row r="56" spans="1:4" x14ac:dyDescent="0.25">
      <c r="A56" t="s">
        <v>80</v>
      </c>
      <c r="B56" t="s">
        <v>1437</v>
      </c>
      <c r="C56" t="s">
        <v>3745</v>
      </c>
      <c r="D56">
        <v>25</v>
      </c>
    </row>
    <row r="57" spans="1:4" x14ac:dyDescent="0.25">
      <c r="A57" t="s">
        <v>123</v>
      </c>
      <c r="B57" t="s">
        <v>1704</v>
      </c>
      <c r="C57" t="s">
        <v>3746</v>
      </c>
      <c r="D57">
        <v>23</v>
      </c>
    </row>
    <row r="58" spans="1:4" x14ac:dyDescent="0.25">
      <c r="A58" t="s">
        <v>123</v>
      </c>
      <c r="B58" t="s">
        <v>1765</v>
      </c>
      <c r="C58" t="s">
        <v>3747</v>
      </c>
      <c r="D58">
        <v>26</v>
      </c>
    </row>
    <row r="59" spans="1:4" x14ac:dyDescent="0.25">
      <c r="A59" t="s">
        <v>123</v>
      </c>
      <c r="B59" t="s">
        <v>797</v>
      </c>
      <c r="C59" t="s">
        <v>3748</v>
      </c>
      <c r="D59">
        <v>23</v>
      </c>
    </row>
    <row r="60" spans="1:4" x14ac:dyDescent="0.25">
      <c r="A60" t="s">
        <v>123</v>
      </c>
      <c r="B60" t="s">
        <v>357</v>
      </c>
      <c r="C60" t="s">
        <v>3749</v>
      </c>
      <c r="D60">
        <v>20</v>
      </c>
    </row>
    <row r="61" spans="1:4" x14ac:dyDescent="0.25">
      <c r="A61" t="s">
        <v>123</v>
      </c>
      <c r="B61" t="s">
        <v>514</v>
      </c>
      <c r="C61" t="s">
        <v>3750</v>
      </c>
      <c r="D61">
        <v>21</v>
      </c>
    </row>
    <row r="62" spans="1:4" x14ac:dyDescent="0.25">
      <c r="A62" t="s">
        <v>123</v>
      </c>
      <c r="B62" t="s">
        <v>514</v>
      </c>
      <c r="C62" t="s">
        <v>2374</v>
      </c>
      <c r="D62">
        <v>22</v>
      </c>
    </row>
    <row r="63" spans="1:4" x14ac:dyDescent="0.25">
      <c r="A63" t="s">
        <v>123</v>
      </c>
      <c r="B63" t="s">
        <v>514</v>
      </c>
      <c r="C63" t="s">
        <v>3751</v>
      </c>
      <c r="D63">
        <v>23</v>
      </c>
    </row>
    <row r="64" spans="1:4" x14ac:dyDescent="0.25">
      <c r="A64" t="s">
        <v>123</v>
      </c>
      <c r="B64" t="s">
        <v>568</v>
      </c>
      <c r="C64" t="s">
        <v>2086</v>
      </c>
      <c r="D64">
        <v>24</v>
      </c>
    </row>
    <row r="65" spans="1:4" x14ac:dyDescent="0.25">
      <c r="A65" t="s">
        <v>123</v>
      </c>
      <c r="B65" t="s">
        <v>568</v>
      </c>
      <c r="C65" t="s">
        <v>3752</v>
      </c>
      <c r="D65">
        <v>25</v>
      </c>
    </row>
    <row r="66" spans="1:4" x14ac:dyDescent="0.25">
      <c r="A66" t="s">
        <v>123</v>
      </c>
      <c r="B66" t="s">
        <v>333</v>
      </c>
      <c r="C66" t="s">
        <v>2837</v>
      </c>
      <c r="D66">
        <v>23</v>
      </c>
    </row>
    <row r="67" spans="1:4" x14ac:dyDescent="0.25">
      <c r="A67" t="s">
        <v>123</v>
      </c>
      <c r="B67" t="s">
        <v>333</v>
      </c>
      <c r="C67" t="s">
        <v>2089</v>
      </c>
      <c r="D67">
        <v>22</v>
      </c>
    </row>
    <row r="68" spans="1:4" x14ac:dyDescent="0.25">
      <c r="A68" t="s">
        <v>123</v>
      </c>
      <c r="B68" t="s">
        <v>2170</v>
      </c>
      <c r="C68" t="s">
        <v>3383</v>
      </c>
      <c r="D68">
        <v>19</v>
      </c>
    </row>
    <row r="69" spans="1:4" x14ac:dyDescent="0.25">
      <c r="A69" t="s">
        <v>123</v>
      </c>
      <c r="B69" t="s">
        <v>217</v>
      </c>
      <c r="C69" t="s">
        <v>3753</v>
      </c>
      <c r="D69">
        <v>21</v>
      </c>
    </row>
    <row r="70" spans="1:4" x14ac:dyDescent="0.25">
      <c r="A70" t="s">
        <v>123</v>
      </c>
      <c r="B70" t="s">
        <v>223</v>
      </c>
      <c r="C70" t="s">
        <v>2800</v>
      </c>
      <c r="D70">
        <v>18</v>
      </c>
    </row>
    <row r="71" spans="1:4" x14ac:dyDescent="0.25">
      <c r="A71" t="s">
        <v>123</v>
      </c>
      <c r="B71" t="s">
        <v>142</v>
      </c>
      <c r="C71" t="s">
        <v>3354</v>
      </c>
      <c r="D71">
        <v>21</v>
      </c>
    </row>
    <row r="72" spans="1:4" x14ac:dyDescent="0.25">
      <c r="A72" t="s">
        <v>123</v>
      </c>
      <c r="B72" t="s">
        <v>611</v>
      </c>
      <c r="C72" t="s">
        <v>3754</v>
      </c>
      <c r="D72">
        <v>23</v>
      </c>
    </row>
    <row r="73" spans="1:4" x14ac:dyDescent="0.25">
      <c r="A73" t="s">
        <v>123</v>
      </c>
      <c r="B73" t="s">
        <v>1844</v>
      </c>
      <c r="C73" t="s">
        <v>3755</v>
      </c>
      <c r="D73">
        <v>25</v>
      </c>
    </row>
    <row r="75" spans="1:4" x14ac:dyDescent="0.25">
      <c r="A75" s="2" t="s">
        <v>157</v>
      </c>
    </row>
    <row r="76" spans="1:4" x14ac:dyDescent="0.25">
      <c r="A76" t="s">
        <v>158</v>
      </c>
      <c r="D76">
        <f>AVERAGE(D2:D73)</f>
        <v>13.861111111111111</v>
      </c>
    </row>
    <row r="77" spans="1:4" x14ac:dyDescent="0.25">
      <c r="A77" t="s">
        <v>159</v>
      </c>
      <c r="D77">
        <f>MAX(D2:D73)</f>
        <v>31</v>
      </c>
    </row>
    <row r="78" spans="1:4" x14ac:dyDescent="0.25">
      <c r="A78" t="s">
        <v>160</v>
      </c>
      <c r="D78">
        <f>MIN(D2:D73)</f>
        <v>-3</v>
      </c>
    </row>
    <row r="79" spans="1:4" x14ac:dyDescent="0.25">
      <c r="A79" t="s">
        <v>161</v>
      </c>
      <c r="D79">
        <f>COUNTIF(D2:D73,"&gt;0")</f>
        <v>68</v>
      </c>
    </row>
    <row r="80" spans="1:4" x14ac:dyDescent="0.25">
      <c r="A80" t="s">
        <v>162</v>
      </c>
      <c r="D80">
        <f>COUNTIF(D2:D73,"=0")</f>
        <v>1</v>
      </c>
    </row>
    <row r="81" spans="1:4" x14ac:dyDescent="0.25">
      <c r="A81" t="s">
        <v>1570</v>
      </c>
      <c r="D81">
        <f>COUNTIF(D2:D73,"&lt;0")</f>
        <v>3</v>
      </c>
    </row>
    <row r="83" spans="1:4" x14ac:dyDescent="0.25">
      <c r="A83" s="2" t="s">
        <v>164</v>
      </c>
    </row>
    <row r="84" spans="1:4" x14ac:dyDescent="0.25">
      <c r="A84" t="s">
        <v>165</v>
      </c>
      <c r="D84">
        <f>AVERAGE(D2,D3,D4,D5,D6,D7,D8,D9,D10,D11,D12,D13,D14,D15,D16,D17,D18,D19,D20)</f>
        <v>3.1052631578947367</v>
      </c>
    </row>
    <row r="85" spans="1:4" x14ac:dyDescent="0.25">
      <c r="A85" t="s">
        <v>166</v>
      </c>
      <c r="D85">
        <f>AVERAGE(D21,D22,D23,D24,D25,D26,D27,D28,D29,D30,D31,D32,D33,D34,D35)</f>
        <v>3.6</v>
      </c>
    </row>
    <row r="86" spans="1:4" x14ac:dyDescent="0.25">
      <c r="A86" t="s">
        <v>167</v>
      </c>
      <c r="D86">
        <f>AVERAGE(D36,D37,D38,D39,D40,D41,D42,D43,D44,D45,D46,D47,D48,D49,D50,D51,D52,D53,D54,D55,D56)</f>
        <v>24.095238095238095</v>
      </c>
    </row>
    <row r="87" spans="1:4" x14ac:dyDescent="0.25">
      <c r="A87" t="s">
        <v>168</v>
      </c>
      <c r="D87">
        <f>AVERAGE(D57,D58,D59,D60,D61,D62,D63,D64,D65,D66,D67,D68,D69,D70,D71,D72,D73)</f>
        <v>22.294117647058822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1136</v>
      </c>
      <c r="C2" t="s">
        <v>1008</v>
      </c>
      <c r="D2">
        <v>-3</v>
      </c>
    </row>
    <row r="3" spans="1:4" x14ac:dyDescent="0.25">
      <c r="A3" t="s">
        <v>4</v>
      </c>
      <c r="B3" t="s">
        <v>757</v>
      </c>
      <c r="C3" t="s">
        <v>3551</v>
      </c>
      <c r="D3">
        <v>-6</v>
      </c>
    </row>
    <row r="4" spans="1:4" x14ac:dyDescent="0.25">
      <c r="A4" t="s">
        <v>4</v>
      </c>
      <c r="B4" t="s">
        <v>244</v>
      </c>
      <c r="C4" t="s">
        <v>2297</v>
      </c>
      <c r="D4">
        <v>-4</v>
      </c>
    </row>
    <row r="5" spans="1:4" x14ac:dyDescent="0.25">
      <c r="A5" t="s">
        <v>4</v>
      </c>
      <c r="B5" t="s">
        <v>691</v>
      </c>
      <c r="C5" t="s">
        <v>3756</v>
      </c>
      <c r="D5">
        <v>-6</v>
      </c>
    </row>
    <row r="6" spans="1:4" x14ac:dyDescent="0.25">
      <c r="A6" t="s">
        <v>4</v>
      </c>
      <c r="B6" t="s">
        <v>400</v>
      </c>
      <c r="C6" t="s">
        <v>2200</v>
      </c>
      <c r="D6">
        <v>-5</v>
      </c>
    </row>
    <row r="7" spans="1:4" x14ac:dyDescent="0.25">
      <c r="A7" t="s">
        <v>4</v>
      </c>
      <c r="B7" t="s">
        <v>400</v>
      </c>
      <c r="C7" t="s">
        <v>1694</v>
      </c>
      <c r="D7">
        <v>-4</v>
      </c>
    </row>
    <row r="8" spans="1:4" x14ac:dyDescent="0.25">
      <c r="A8" t="s">
        <v>4</v>
      </c>
      <c r="B8" t="s">
        <v>274</v>
      </c>
      <c r="C8" t="s">
        <v>18</v>
      </c>
      <c r="D8">
        <v>-2</v>
      </c>
    </row>
    <row r="9" spans="1:4" x14ac:dyDescent="0.25">
      <c r="A9" t="s">
        <v>4</v>
      </c>
      <c r="B9" t="s">
        <v>1826</v>
      </c>
      <c r="C9" t="s">
        <v>20</v>
      </c>
      <c r="D9">
        <v>0</v>
      </c>
    </row>
    <row r="10" spans="1:4" x14ac:dyDescent="0.25">
      <c r="A10" t="s">
        <v>4</v>
      </c>
      <c r="B10" t="s">
        <v>572</v>
      </c>
      <c r="C10" t="s">
        <v>1743</v>
      </c>
      <c r="D10">
        <v>-3</v>
      </c>
    </row>
    <row r="11" spans="1:4" x14ac:dyDescent="0.25">
      <c r="A11" t="s">
        <v>4</v>
      </c>
      <c r="B11" t="s">
        <v>433</v>
      </c>
      <c r="C11" t="s">
        <v>3757</v>
      </c>
      <c r="D11">
        <v>-6</v>
      </c>
    </row>
    <row r="12" spans="1:4" x14ac:dyDescent="0.25">
      <c r="A12" t="s">
        <v>4</v>
      </c>
      <c r="B12" t="s">
        <v>2431</v>
      </c>
      <c r="C12" t="s">
        <v>2326</v>
      </c>
      <c r="D12">
        <v>-3</v>
      </c>
    </row>
    <row r="13" spans="1:4" x14ac:dyDescent="0.25">
      <c r="A13" t="s">
        <v>4</v>
      </c>
      <c r="B13" t="s">
        <v>186</v>
      </c>
      <c r="C13" t="s">
        <v>2397</v>
      </c>
      <c r="D13">
        <v>-6</v>
      </c>
    </row>
    <row r="14" spans="1:4" x14ac:dyDescent="0.25">
      <c r="A14" t="s">
        <v>4</v>
      </c>
      <c r="B14" t="s">
        <v>1855</v>
      </c>
      <c r="C14" t="s">
        <v>2398</v>
      </c>
      <c r="D14">
        <v>-9</v>
      </c>
    </row>
    <row r="15" spans="1:4" x14ac:dyDescent="0.25">
      <c r="A15" t="s">
        <v>4</v>
      </c>
      <c r="B15" t="s">
        <v>442</v>
      </c>
      <c r="C15" t="s">
        <v>3758</v>
      </c>
      <c r="D15">
        <v>-12</v>
      </c>
    </row>
    <row r="16" spans="1:4" x14ac:dyDescent="0.25">
      <c r="A16" t="s">
        <v>4</v>
      </c>
      <c r="B16" t="s">
        <v>503</v>
      </c>
      <c r="C16" t="s">
        <v>3615</v>
      </c>
      <c r="D16">
        <v>-10</v>
      </c>
    </row>
    <row r="17" spans="1:4" x14ac:dyDescent="0.25">
      <c r="A17" t="s">
        <v>4</v>
      </c>
      <c r="B17" t="s">
        <v>29</v>
      </c>
      <c r="C17" t="s">
        <v>3759</v>
      </c>
      <c r="D17">
        <v>-13</v>
      </c>
    </row>
    <row r="18" spans="1:4" x14ac:dyDescent="0.25">
      <c r="A18" t="s">
        <v>4</v>
      </c>
      <c r="B18" t="s">
        <v>710</v>
      </c>
      <c r="C18" t="s">
        <v>3618</v>
      </c>
      <c r="D18">
        <v>-11</v>
      </c>
    </row>
    <row r="19" spans="1:4" x14ac:dyDescent="0.25">
      <c r="A19" t="s">
        <v>4</v>
      </c>
      <c r="B19" t="s">
        <v>927</v>
      </c>
      <c r="C19" t="s">
        <v>3760</v>
      </c>
      <c r="D19">
        <v>-14</v>
      </c>
    </row>
    <row r="20" spans="1:4" x14ac:dyDescent="0.25">
      <c r="A20" t="s">
        <v>40</v>
      </c>
      <c r="B20" t="s">
        <v>453</v>
      </c>
      <c r="C20" t="s">
        <v>3761</v>
      </c>
      <c r="D20">
        <v>-17</v>
      </c>
    </row>
    <row r="21" spans="1:4" x14ac:dyDescent="0.25">
      <c r="A21" t="s">
        <v>40</v>
      </c>
      <c r="B21" t="s">
        <v>239</v>
      </c>
      <c r="C21" t="s">
        <v>3762</v>
      </c>
      <c r="D21">
        <v>-15</v>
      </c>
    </row>
    <row r="22" spans="1:4" x14ac:dyDescent="0.25">
      <c r="A22" t="s">
        <v>40</v>
      </c>
      <c r="B22" t="s">
        <v>246</v>
      </c>
      <c r="C22" t="s">
        <v>3763</v>
      </c>
      <c r="D22">
        <v>-18</v>
      </c>
    </row>
    <row r="23" spans="1:4" x14ac:dyDescent="0.25">
      <c r="A23" t="s">
        <v>40</v>
      </c>
      <c r="B23" t="s">
        <v>1836</v>
      </c>
      <c r="C23" t="s">
        <v>3764</v>
      </c>
      <c r="D23">
        <v>-19</v>
      </c>
    </row>
    <row r="24" spans="1:4" x14ac:dyDescent="0.25">
      <c r="A24" t="s">
        <v>40</v>
      </c>
      <c r="B24" t="s">
        <v>1836</v>
      </c>
      <c r="C24" t="s">
        <v>3765</v>
      </c>
      <c r="D24">
        <v>-20</v>
      </c>
    </row>
    <row r="25" spans="1:4" x14ac:dyDescent="0.25">
      <c r="A25" t="s">
        <v>40</v>
      </c>
      <c r="B25" t="s">
        <v>361</v>
      </c>
      <c r="C25" t="s">
        <v>3766</v>
      </c>
      <c r="D25">
        <v>-22</v>
      </c>
    </row>
    <row r="26" spans="1:4" x14ac:dyDescent="0.25">
      <c r="A26" t="s">
        <v>40</v>
      </c>
      <c r="B26" t="s">
        <v>1958</v>
      </c>
      <c r="C26" t="s">
        <v>3767</v>
      </c>
      <c r="D26">
        <v>-20</v>
      </c>
    </row>
    <row r="27" spans="1:4" x14ac:dyDescent="0.25">
      <c r="A27" t="s">
        <v>40</v>
      </c>
      <c r="B27" t="s">
        <v>307</v>
      </c>
      <c r="C27" t="s">
        <v>3768</v>
      </c>
      <c r="D27">
        <v>-22</v>
      </c>
    </row>
    <row r="28" spans="1:4" x14ac:dyDescent="0.25">
      <c r="A28" t="s">
        <v>40</v>
      </c>
      <c r="B28" t="s">
        <v>408</v>
      </c>
      <c r="C28" t="s">
        <v>3769</v>
      </c>
      <c r="D28">
        <v>-19</v>
      </c>
    </row>
    <row r="29" spans="1:4" x14ac:dyDescent="0.25">
      <c r="A29" t="s">
        <v>40</v>
      </c>
      <c r="B29" t="s">
        <v>1475</v>
      </c>
      <c r="C29" t="s">
        <v>3770</v>
      </c>
      <c r="D29">
        <v>-16</v>
      </c>
    </row>
    <row r="30" spans="1:4" x14ac:dyDescent="0.25">
      <c r="A30" t="s">
        <v>40</v>
      </c>
      <c r="B30" t="s">
        <v>2962</v>
      </c>
      <c r="C30" t="s">
        <v>3771</v>
      </c>
      <c r="D30">
        <v>-17</v>
      </c>
    </row>
    <row r="31" spans="1:4" x14ac:dyDescent="0.25">
      <c r="A31" t="s">
        <v>40</v>
      </c>
      <c r="B31" t="s">
        <v>435</v>
      </c>
      <c r="C31" t="s">
        <v>3772</v>
      </c>
      <c r="D31">
        <v>-14</v>
      </c>
    </row>
    <row r="32" spans="1:4" x14ac:dyDescent="0.25">
      <c r="A32" t="s">
        <v>40</v>
      </c>
      <c r="B32" t="s">
        <v>313</v>
      </c>
      <c r="C32" t="s">
        <v>3773</v>
      </c>
      <c r="D32">
        <v>-17</v>
      </c>
    </row>
    <row r="33" spans="1:4" x14ac:dyDescent="0.25">
      <c r="A33" t="s">
        <v>40</v>
      </c>
      <c r="B33" t="s">
        <v>598</v>
      </c>
      <c r="C33" t="s">
        <v>3774</v>
      </c>
      <c r="D33">
        <v>-14</v>
      </c>
    </row>
    <row r="34" spans="1:4" x14ac:dyDescent="0.25">
      <c r="A34" t="s">
        <v>40</v>
      </c>
      <c r="B34" t="s">
        <v>541</v>
      </c>
      <c r="C34" t="s">
        <v>3775</v>
      </c>
      <c r="D34">
        <v>-12</v>
      </c>
    </row>
    <row r="35" spans="1:4" x14ac:dyDescent="0.25">
      <c r="A35" t="s">
        <v>40</v>
      </c>
      <c r="B35" t="s">
        <v>894</v>
      </c>
      <c r="C35" t="s">
        <v>3588</v>
      </c>
      <c r="D35">
        <v>-13</v>
      </c>
    </row>
    <row r="36" spans="1:4" x14ac:dyDescent="0.25">
      <c r="A36" t="s">
        <v>40</v>
      </c>
      <c r="B36" t="s">
        <v>894</v>
      </c>
      <c r="C36" t="s">
        <v>3589</v>
      </c>
      <c r="D36">
        <v>-14</v>
      </c>
    </row>
    <row r="37" spans="1:4" x14ac:dyDescent="0.25">
      <c r="A37" t="s">
        <v>40</v>
      </c>
      <c r="B37" t="s">
        <v>1988</v>
      </c>
      <c r="C37" t="s">
        <v>3776</v>
      </c>
      <c r="D37">
        <v>-15</v>
      </c>
    </row>
    <row r="38" spans="1:4" x14ac:dyDescent="0.25">
      <c r="A38" t="s">
        <v>40</v>
      </c>
      <c r="B38" t="s">
        <v>1988</v>
      </c>
      <c r="C38" t="s">
        <v>3777</v>
      </c>
      <c r="D38">
        <v>-16</v>
      </c>
    </row>
    <row r="39" spans="1:4" x14ac:dyDescent="0.25">
      <c r="A39" t="s">
        <v>40</v>
      </c>
      <c r="B39" t="s">
        <v>1206</v>
      </c>
      <c r="C39" t="s">
        <v>3778</v>
      </c>
      <c r="D39">
        <v>-15</v>
      </c>
    </row>
    <row r="40" spans="1:4" x14ac:dyDescent="0.25">
      <c r="A40" t="s">
        <v>40</v>
      </c>
      <c r="B40" t="s">
        <v>1206</v>
      </c>
      <c r="C40" t="s">
        <v>3779</v>
      </c>
      <c r="D40">
        <v>-14</v>
      </c>
    </row>
    <row r="41" spans="1:4" x14ac:dyDescent="0.25">
      <c r="A41" t="s">
        <v>40</v>
      </c>
      <c r="B41" t="s">
        <v>301</v>
      </c>
      <c r="C41" t="s">
        <v>3780</v>
      </c>
      <c r="D41">
        <v>-16</v>
      </c>
    </row>
    <row r="42" spans="1:4" x14ac:dyDescent="0.25">
      <c r="A42" t="s">
        <v>40</v>
      </c>
      <c r="B42" t="s">
        <v>348</v>
      </c>
      <c r="C42" t="s">
        <v>3781</v>
      </c>
      <c r="D42">
        <v>-15</v>
      </c>
    </row>
    <row r="43" spans="1:4" x14ac:dyDescent="0.25">
      <c r="A43" t="s">
        <v>40</v>
      </c>
      <c r="B43" t="s">
        <v>348</v>
      </c>
      <c r="C43" t="s">
        <v>3782</v>
      </c>
      <c r="D43">
        <v>-14</v>
      </c>
    </row>
    <row r="44" spans="1:4" x14ac:dyDescent="0.25">
      <c r="A44" t="s">
        <v>40</v>
      </c>
      <c r="B44" t="s">
        <v>78</v>
      </c>
      <c r="C44" t="s">
        <v>3783</v>
      </c>
      <c r="D44">
        <v>-15</v>
      </c>
    </row>
    <row r="45" spans="1:4" x14ac:dyDescent="0.25">
      <c r="A45" t="s">
        <v>80</v>
      </c>
      <c r="B45" t="s">
        <v>41</v>
      </c>
      <c r="C45" t="s">
        <v>3595</v>
      </c>
      <c r="D45">
        <v>-12</v>
      </c>
    </row>
    <row r="46" spans="1:4" x14ac:dyDescent="0.25">
      <c r="A46" t="s">
        <v>80</v>
      </c>
      <c r="B46" t="s">
        <v>857</v>
      </c>
      <c r="C46" t="s">
        <v>3784</v>
      </c>
      <c r="D46">
        <v>-15</v>
      </c>
    </row>
    <row r="47" spans="1:4" x14ac:dyDescent="0.25">
      <c r="A47" t="s">
        <v>80</v>
      </c>
      <c r="B47" t="s">
        <v>1027</v>
      </c>
      <c r="C47" t="s">
        <v>3785</v>
      </c>
      <c r="D47">
        <v>-14</v>
      </c>
    </row>
    <row r="48" spans="1:4" x14ac:dyDescent="0.25">
      <c r="A48" t="s">
        <v>80</v>
      </c>
      <c r="B48" t="s">
        <v>1027</v>
      </c>
      <c r="C48" t="s">
        <v>3786</v>
      </c>
      <c r="D48">
        <v>-13</v>
      </c>
    </row>
    <row r="49" spans="1:4" x14ac:dyDescent="0.25">
      <c r="A49" t="s">
        <v>80</v>
      </c>
      <c r="B49" t="s">
        <v>588</v>
      </c>
      <c r="C49" t="s">
        <v>3787</v>
      </c>
      <c r="D49">
        <v>-15</v>
      </c>
    </row>
    <row r="50" spans="1:4" x14ac:dyDescent="0.25">
      <c r="A50" t="s">
        <v>80</v>
      </c>
      <c r="B50" t="s">
        <v>1771</v>
      </c>
      <c r="C50" t="s">
        <v>3788</v>
      </c>
      <c r="D50">
        <v>-18</v>
      </c>
    </row>
    <row r="51" spans="1:4" x14ac:dyDescent="0.25">
      <c r="A51" t="s">
        <v>80</v>
      </c>
      <c r="B51" t="s">
        <v>1495</v>
      </c>
      <c r="C51" t="s">
        <v>3789</v>
      </c>
      <c r="D51">
        <v>-20</v>
      </c>
    </row>
    <row r="52" spans="1:4" x14ac:dyDescent="0.25">
      <c r="A52" t="s">
        <v>80</v>
      </c>
      <c r="B52" t="s">
        <v>779</v>
      </c>
      <c r="C52" t="s">
        <v>3790</v>
      </c>
      <c r="D52">
        <v>-21</v>
      </c>
    </row>
    <row r="53" spans="1:4" x14ac:dyDescent="0.25">
      <c r="A53" t="s">
        <v>80</v>
      </c>
      <c r="B53" t="s">
        <v>2170</v>
      </c>
      <c r="C53" t="s">
        <v>3791</v>
      </c>
      <c r="D53">
        <v>-19</v>
      </c>
    </row>
    <row r="54" spans="1:4" x14ac:dyDescent="0.25">
      <c r="A54" t="s">
        <v>80</v>
      </c>
      <c r="B54" t="s">
        <v>2170</v>
      </c>
      <c r="C54" t="s">
        <v>3792</v>
      </c>
      <c r="D54">
        <v>-18</v>
      </c>
    </row>
    <row r="55" spans="1:4" x14ac:dyDescent="0.25">
      <c r="A55" t="s">
        <v>80</v>
      </c>
      <c r="B55" t="s">
        <v>499</v>
      </c>
      <c r="C55" t="s">
        <v>3793</v>
      </c>
      <c r="D55">
        <v>-21</v>
      </c>
    </row>
    <row r="56" spans="1:4" x14ac:dyDescent="0.25">
      <c r="A56" t="s">
        <v>80</v>
      </c>
      <c r="B56" t="s">
        <v>219</v>
      </c>
      <c r="C56" t="s">
        <v>1903</v>
      </c>
      <c r="D56">
        <v>-20</v>
      </c>
    </row>
    <row r="57" spans="1:4" x14ac:dyDescent="0.25">
      <c r="A57" t="s">
        <v>80</v>
      </c>
      <c r="B57" t="s">
        <v>219</v>
      </c>
      <c r="C57" t="s">
        <v>3794</v>
      </c>
      <c r="D57">
        <v>-19</v>
      </c>
    </row>
    <row r="58" spans="1:4" x14ac:dyDescent="0.25">
      <c r="A58" t="s">
        <v>80</v>
      </c>
      <c r="B58" t="s">
        <v>874</v>
      </c>
      <c r="C58" t="s">
        <v>3795</v>
      </c>
      <c r="D58">
        <v>-21</v>
      </c>
    </row>
    <row r="59" spans="1:4" x14ac:dyDescent="0.25">
      <c r="A59" t="s">
        <v>80</v>
      </c>
      <c r="B59" t="s">
        <v>805</v>
      </c>
      <c r="C59" t="s">
        <v>3796</v>
      </c>
      <c r="D59">
        <v>-19</v>
      </c>
    </row>
    <row r="60" spans="1:4" x14ac:dyDescent="0.25">
      <c r="A60" t="s">
        <v>80</v>
      </c>
      <c r="B60" t="s">
        <v>376</v>
      </c>
      <c r="C60" t="s">
        <v>3797</v>
      </c>
      <c r="D60">
        <v>-21</v>
      </c>
    </row>
    <row r="61" spans="1:4" x14ac:dyDescent="0.25">
      <c r="A61" t="s">
        <v>80</v>
      </c>
      <c r="B61" t="s">
        <v>376</v>
      </c>
      <c r="C61" t="s">
        <v>3798</v>
      </c>
      <c r="D61">
        <v>-22</v>
      </c>
    </row>
    <row r="62" spans="1:4" x14ac:dyDescent="0.25">
      <c r="A62" t="s">
        <v>80</v>
      </c>
      <c r="B62" t="s">
        <v>341</v>
      </c>
      <c r="C62" t="s">
        <v>3799</v>
      </c>
      <c r="D62">
        <v>-21</v>
      </c>
    </row>
    <row r="63" spans="1:4" x14ac:dyDescent="0.25">
      <c r="A63" t="s">
        <v>80</v>
      </c>
      <c r="B63" t="s">
        <v>987</v>
      </c>
      <c r="C63" t="s">
        <v>1909</v>
      </c>
      <c r="D63">
        <v>-23</v>
      </c>
    </row>
    <row r="64" spans="1:4" x14ac:dyDescent="0.25">
      <c r="A64" t="s">
        <v>80</v>
      </c>
      <c r="B64" t="s">
        <v>1073</v>
      </c>
      <c r="C64" t="s">
        <v>3800</v>
      </c>
      <c r="D64">
        <v>-20</v>
      </c>
    </row>
    <row r="65" spans="1:4" x14ac:dyDescent="0.25">
      <c r="A65" t="s">
        <v>80</v>
      </c>
      <c r="B65" t="s">
        <v>706</v>
      </c>
      <c r="C65" t="s">
        <v>3801</v>
      </c>
      <c r="D65">
        <v>-23</v>
      </c>
    </row>
    <row r="66" spans="1:4" x14ac:dyDescent="0.25">
      <c r="A66" t="s">
        <v>80</v>
      </c>
      <c r="B66" t="s">
        <v>1640</v>
      </c>
      <c r="C66" t="s">
        <v>3802</v>
      </c>
      <c r="D66">
        <v>-22</v>
      </c>
    </row>
    <row r="67" spans="1:4" x14ac:dyDescent="0.25">
      <c r="A67" t="s">
        <v>80</v>
      </c>
      <c r="B67" t="s">
        <v>550</v>
      </c>
      <c r="C67" t="s">
        <v>3803</v>
      </c>
      <c r="D67">
        <v>-23</v>
      </c>
    </row>
    <row r="68" spans="1:4" x14ac:dyDescent="0.25">
      <c r="A68" t="s">
        <v>80</v>
      </c>
      <c r="B68" t="s">
        <v>346</v>
      </c>
      <c r="C68" t="s">
        <v>3804</v>
      </c>
      <c r="D68">
        <v>-26</v>
      </c>
    </row>
    <row r="69" spans="1:4" x14ac:dyDescent="0.25">
      <c r="A69" t="s">
        <v>80</v>
      </c>
      <c r="B69" t="s">
        <v>481</v>
      </c>
      <c r="C69" t="s">
        <v>3805</v>
      </c>
      <c r="D69">
        <v>-25</v>
      </c>
    </row>
    <row r="70" spans="1:4" x14ac:dyDescent="0.25">
      <c r="A70" t="s">
        <v>80</v>
      </c>
      <c r="B70" t="s">
        <v>481</v>
      </c>
      <c r="C70" t="s">
        <v>3806</v>
      </c>
      <c r="D70">
        <v>-24</v>
      </c>
    </row>
    <row r="71" spans="1:4" x14ac:dyDescent="0.25">
      <c r="A71" t="s">
        <v>123</v>
      </c>
      <c r="B71" t="s">
        <v>126</v>
      </c>
      <c r="C71" t="s">
        <v>3807</v>
      </c>
      <c r="D71">
        <v>-25</v>
      </c>
    </row>
    <row r="72" spans="1:4" x14ac:dyDescent="0.25">
      <c r="A72" t="s">
        <v>123</v>
      </c>
      <c r="B72" t="s">
        <v>205</v>
      </c>
      <c r="C72" t="s">
        <v>3808</v>
      </c>
      <c r="D72">
        <v>-27</v>
      </c>
    </row>
    <row r="73" spans="1:4" x14ac:dyDescent="0.25">
      <c r="A73" t="s">
        <v>123</v>
      </c>
      <c r="B73" t="s">
        <v>935</v>
      </c>
      <c r="C73" t="s">
        <v>3809</v>
      </c>
      <c r="D73">
        <v>-30</v>
      </c>
    </row>
    <row r="74" spans="1:4" x14ac:dyDescent="0.25">
      <c r="A74" t="s">
        <v>123</v>
      </c>
      <c r="B74" t="s">
        <v>400</v>
      </c>
      <c r="C74" t="s">
        <v>3810</v>
      </c>
      <c r="D74">
        <v>-32</v>
      </c>
    </row>
    <row r="75" spans="1:4" x14ac:dyDescent="0.25">
      <c r="A75" t="s">
        <v>123</v>
      </c>
      <c r="B75" t="s">
        <v>175</v>
      </c>
      <c r="C75" t="s">
        <v>3811</v>
      </c>
      <c r="D75">
        <v>-30</v>
      </c>
    </row>
    <row r="76" spans="1:4" x14ac:dyDescent="0.25">
      <c r="A76" t="s">
        <v>123</v>
      </c>
      <c r="B76" t="s">
        <v>570</v>
      </c>
      <c r="C76" t="s">
        <v>3812</v>
      </c>
      <c r="D76">
        <v>-28</v>
      </c>
    </row>
    <row r="77" spans="1:4" x14ac:dyDescent="0.25">
      <c r="A77" t="s">
        <v>123</v>
      </c>
      <c r="B77" t="s">
        <v>2080</v>
      </c>
      <c r="C77" t="s">
        <v>3813</v>
      </c>
      <c r="D77">
        <v>-29</v>
      </c>
    </row>
    <row r="78" spans="1:4" x14ac:dyDescent="0.25">
      <c r="A78" t="s">
        <v>123</v>
      </c>
      <c r="B78" t="s">
        <v>2080</v>
      </c>
      <c r="C78" t="s">
        <v>3814</v>
      </c>
      <c r="D78">
        <v>-30</v>
      </c>
    </row>
    <row r="79" spans="1:4" x14ac:dyDescent="0.25">
      <c r="A79" t="s">
        <v>123</v>
      </c>
      <c r="B79" t="s">
        <v>2266</v>
      </c>
      <c r="C79" t="s">
        <v>3815</v>
      </c>
      <c r="D79">
        <v>-28</v>
      </c>
    </row>
    <row r="80" spans="1:4" x14ac:dyDescent="0.25">
      <c r="A80" t="s">
        <v>123</v>
      </c>
      <c r="B80" t="s">
        <v>1598</v>
      </c>
      <c r="C80" t="s">
        <v>3816</v>
      </c>
      <c r="D80">
        <v>-31</v>
      </c>
    </row>
    <row r="81" spans="1:4" x14ac:dyDescent="0.25">
      <c r="A81" t="s">
        <v>123</v>
      </c>
      <c r="B81" t="s">
        <v>941</v>
      </c>
      <c r="C81" t="s">
        <v>3817</v>
      </c>
      <c r="D81">
        <v>-29</v>
      </c>
    </row>
    <row r="82" spans="1:4" x14ac:dyDescent="0.25">
      <c r="A82" t="s">
        <v>123</v>
      </c>
      <c r="B82" t="s">
        <v>1231</v>
      </c>
      <c r="C82" t="s">
        <v>3818</v>
      </c>
      <c r="D82">
        <v>-30</v>
      </c>
    </row>
    <row r="83" spans="1:4" x14ac:dyDescent="0.25">
      <c r="A83" t="s">
        <v>123</v>
      </c>
      <c r="B83" t="s">
        <v>1231</v>
      </c>
      <c r="C83" t="s">
        <v>3819</v>
      </c>
      <c r="D83">
        <v>-31</v>
      </c>
    </row>
    <row r="84" spans="1:4" x14ac:dyDescent="0.25">
      <c r="A84" t="s">
        <v>123</v>
      </c>
      <c r="B84" t="s">
        <v>380</v>
      </c>
      <c r="C84" t="s">
        <v>3820</v>
      </c>
      <c r="D84">
        <v>-30</v>
      </c>
    </row>
    <row r="85" spans="1:4" x14ac:dyDescent="0.25">
      <c r="A85" t="s">
        <v>123</v>
      </c>
      <c r="B85" t="s">
        <v>380</v>
      </c>
      <c r="C85" t="s">
        <v>3821</v>
      </c>
      <c r="D85">
        <v>-29</v>
      </c>
    </row>
    <row r="86" spans="1:4" x14ac:dyDescent="0.25">
      <c r="A86" t="s">
        <v>123</v>
      </c>
      <c r="B86" t="s">
        <v>749</v>
      </c>
      <c r="C86" t="s">
        <v>3822</v>
      </c>
      <c r="D86">
        <v>-31</v>
      </c>
    </row>
    <row r="87" spans="1:4" x14ac:dyDescent="0.25">
      <c r="A87" t="s">
        <v>123</v>
      </c>
      <c r="B87" t="s">
        <v>813</v>
      </c>
      <c r="C87" t="s">
        <v>3823</v>
      </c>
      <c r="D87">
        <v>-33</v>
      </c>
    </row>
    <row r="88" spans="1:4" x14ac:dyDescent="0.25">
      <c r="A88" t="s">
        <v>123</v>
      </c>
      <c r="B88" t="s">
        <v>1202</v>
      </c>
      <c r="C88" t="s">
        <v>3824</v>
      </c>
      <c r="D88">
        <v>-32</v>
      </c>
    </row>
    <row r="89" spans="1:4" x14ac:dyDescent="0.25">
      <c r="A89" t="s">
        <v>123</v>
      </c>
      <c r="B89" t="s">
        <v>1202</v>
      </c>
      <c r="C89" t="s">
        <v>3825</v>
      </c>
      <c r="D89">
        <v>-31</v>
      </c>
    </row>
    <row r="90" spans="1:4" x14ac:dyDescent="0.25">
      <c r="A90" t="s">
        <v>123</v>
      </c>
      <c r="B90" t="s">
        <v>1202</v>
      </c>
      <c r="C90" t="s">
        <v>3826</v>
      </c>
      <c r="D90">
        <v>-30</v>
      </c>
    </row>
    <row r="91" spans="1:4" x14ac:dyDescent="0.25">
      <c r="A91" t="s">
        <v>123</v>
      </c>
      <c r="B91" t="s">
        <v>877</v>
      </c>
      <c r="C91" t="s">
        <v>3827</v>
      </c>
      <c r="D91">
        <v>-32</v>
      </c>
    </row>
    <row r="92" spans="1:4" x14ac:dyDescent="0.25">
      <c r="A92" t="s">
        <v>123</v>
      </c>
      <c r="B92" t="s">
        <v>1844</v>
      </c>
      <c r="C92" t="s">
        <v>3828</v>
      </c>
      <c r="D92">
        <v>-34</v>
      </c>
    </row>
    <row r="93" spans="1:4" x14ac:dyDescent="0.25">
      <c r="A93" t="s">
        <v>123</v>
      </c>
      <c r="B93" t="s">
        <v>120</v>
      </c>
      <c r="C93" t="s">
        <v>3829</v>
      </c>
      <c r="D93">
        <v>-36</v>
      </c>
    </row>
    <row r="94" spans="1:4" x14ac:dyDescent="0.25">
      <c r="A94" t="s">
        <v>123</v>
      </c>
      <c r="B94" t="s">
        <v>900</v>
      </c>
      <c r="C94" t="s">
        <v>3830</v>
      </c>
      <c r="D94">
        <v>-33</v>
      </c>
    </row>
    <row r="95" spans="1:4" x14ac:dyDescent="0.25">
      <c r="A95" t="s">
        <v>123</v>
      </c>
      <c r="B95" t="s">
        <v>1990</v>
      </c>
      <c r="C95" t="s">
        <v>3831</v>
      </c>
      <c r="D95">
        <v>-31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-19.180851063829788</v>
      </c>
    </row>
    <row r="99" spans="1:4" x14ac:dyDescent="0.25">
      <c r="A99" t="s">
        <v>159</v>
      </c>
      <c r="D99">
        <f>MAX(D2:D95)</f>
        <v>0</v>
      </c>
    </row>
    <row r="100" spans="1:4" x14ac:dyDescent="0.25">
      <c r="A100" t="s">
        <v>160</v>
      </c>
      <c r="D100">
        <f>MIN(D2:D95)</f>
        <v>-36</v>
      </c>
    </row>
    <row r="101" spans="1:4" x14ac:dyDescent="0.25">
      <c r="A101" t="s">
        <v>161</v>
      </c>
      <c r="D101">
        <f>COUNTIF(D2:D95,"&gt;0")</f>
        <v>0</v>
      </c>
    </row>
    <row r="102" spans="1:4" x14ac:dyDescent="0.25">
      <c r="A102" t="s">
        <v>162</v>
      </c>
      <c r="D102">
        <f>COUNTIF(D2:D95,"=0")</f>
        <v>1</v>
      </c>
    </row>
    <row r="103" spans="1:4" x14ac:dyDescent="0.25">
      <c r="A103" t="s">
        <v>1570</v>
      </c>
      <c r="D103">
        <f>COUNTIF(D2:D95,"&lt;0")</f>
        <v>93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AVERAGE(D2,D3,D4,D5,D6,D7,D8,D9,D10,D11,D12,D13,D14,D15,D16,D17,D18,D19)</f>
        <v>-6.5</v>
      </c>
    </row>
    <row r="107" spans="1:4" x14ac:dyDescent="0.25">
      <c r="A107" t="s">
        <v>166</v>
      </c>
      <c r="D107">
        <f>AVERAGE(D20,D21,D22,D23,D24,D25,D26,D27,D28,D29,D30,D31,D32,D33,D34,D35,D36,D37,D38,D39,D40,D41,D42,D43,D44)</f>
        <v>-16.36</v>
      </c>
    </row>
    <row r="108" spans="1:4" x14ac:dyDescent="0.25">
      <c r="A108" t="s">
        <v>167</v>
      </c>
      <c r="D108">
        <f>AVERAGE(D45,D46,D47,D48,D49,D50,D51,D52,D53,D54,D55,D56,D57,D58,D59,D60,D61,D62,D63,D64,D65,D66,D67,D68,D69,D70)</f>
        <v>-19.807692307692307</v>
      </c>
    </row>
    <row r="109" spans="1:4" x14ac:dyDescent="0.25">
      <c r="A109" t="s">
        <v>168</v>
      </c>
      <c r="D109">
        <f>AVERAGE(D71,D72,D73,D74,D75,D76,D77,D78,D79,D80,D81,D82,D83,D84,D85,D86,D87,D88,D89,D90,D91,D92,D93,D94,D95)</f>
        <v>-30.48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795</v>
      </c>
      <c r="C2" t="s">
        <v>171</v>
      </c>
      <c r="D2">
        <v>3</v>
      </c>
    </row>
    <row r="3" spans="1:4" x14ac:dyDescent="0.25">
      <c r="A3" t="s">
        <v>4</v>
      </c>
      <c r="B3" t="s">
        <v>565</v>
      </c>
      <c r="C3" t="s">
        <v>2353</v>
      </c>
      <c r="D3">
        <v>4</v>
      </c>
    </row>
    <row r="4" spans="1:4" x14ac:dyDescent="0.25">
      <c r="A4" t="s">
        <v>4</v>
      </c>
      <c r="B4" t="s">
        <v>1666</v>
      </c>
      <c r="C4" t="s">
        <v>308</v>
      </c>
      <c r="D4">
        <v>1</v>
      </c>
    </row>
    <row r="5" spans="1:4" x14ac:dyDescent="0.25">
      <c r="A5" t="s">
        <v>4</v>
      </c>
      <c r="B5" t="s">
        <v>172</v>
      </c>
      <c r="C5" t="s">
        <v>430</v>
      </c>
      <c r="D5">
        <v>4</v>
      </c>
    </row>
    <row r="6" spans="1:4" x14ac:dyDescent="0.25">
      <c r="A6" t="s">
        <v>4</v>
      </c>
      <c r="B6" t="s">
        <v>1824</v>
      </c>
      <c r="C6" t="s">
        <v>780</v>
      </c>
      <c r="D6">
        <v>6</v>
      </c>
    </row>
    <row r="7" spans="1:4" x14ac:dyDescent="0.25">
      <c r="A7" t="s">
        <v>4</v>
      </c>
      <c r="B7" t="s">
        <v>865</v>
      </c>
      <c r="C7" t="s">
        <v>1012</v>
      </c>
      <c r="D7">
        <v>4</v>
      </c>
    </row>
    <row r="8" spans="1:4" x14ac:dyDescent="0.25">
      <c r="A8" t="s">
        <v>4</v>
      </c>
      <c r="B8" t="s">
        <v>2842</v>
      </c>
      <c r="C8" t="s">
        <v>3087</v>
      </c>
      <c r="D8">
        <v>1</v>
      </c>
    </row>
    <row r="9" spans="1:4" x14ac:dyDescent="0.25">
      <c r="A9" t="s">
        <v>4</v>
      </c>
      <c r="B9" t="s">
        <v>97</v>
      </c>
      <c r="C9" t="s">
        <v>1744</v>
      </c>
      <c r="D9">
        <v>-2</v>
      </c>
    </row>
    <row r="10" spans="1:4" x14ac:dyDescent="0.25">
      <c r="A10" t="s">
        <v>4</v>
      </c>
      <c r="B10" t="s">
        <v>874</v>
      </c>
      <c r="C10" t="s">
        <v>1745</v>
      </c>
      <c r="D10">
        <v>-4</v>
      </c>
    </row>
    <row r="11" spans="1:4" x14ac:dyDescent="0.25">
      <c r="A11" t="s">
        <v>4</v>
      </c>
      <c r="B11" t="s">
        <v>101</v>
      </c>
      <c r="C11" t="s">
        <v>1925</v>
      </c>
      <c r="D11">
        <v>-3</v>
      </c>
    </row>
    <row r="12" spans="1:4" x14ac:dyDescent="0.25">
      <c r="A12" t="s">
        <v>4</v>
      </c>
      <c r="B12" t="s">
        <v>101</v>
      </c>
      <c r="C12" t="s">
        <v>441</v>
      </c>
      <c r="D12">
        <v>-2</v>
      </c>
    </row>
    <row r="13" spans="1:4" x14ac:dyDescent="0.25">
      <c r="A13" t="s">
        <v>4</v>
      </c>
      <c r="B13" t="s">
        <v>223</v>
      </c>
      <c r="C13" t="s">
        <v>30</v>
      </c>
      <c r="D13">
        <v>-1</v>
      </c>
    </row>
    <row r="14" spans="1:4" x14ac:dyDescent="0.25">
      <c r="A14" t="s">
        <v>4</v>
      </c>
      <c r="B14" t="s">
        <v>223</v>
      </c>
      <c r="C14" t="s">
        <v>443</v>
      </c>
      <c r="D14">
        <v>0</v>
      </c>
    </row>
    <row r="15" spans="1:4" x14ac:dyDescent="0.25">
      <c r="A15" t="s">
        <v>4</v>
      </c>
      <c r="B15" t="s">
        <v>894</v>
      </c>
      <c r="C15" t="s">
        <v>445</v>
      </c>
      <c r="D15">
        <v>-2</v>
      </c>
    </row>
    <row r="16" spans="1:4" x14ac:dyDescent="0.25">
      <c r="A16" t="s">
        <v>4</v>
      </c>
      <c r="B16" t="s">
        <v>267</v>
      </c>
      <c r="C16" t="s">
        <v>446</v>
      </c>
      <c r="D16">
        <v>1</v>
      </c>
    </row>
    <row r="17" spans="1:4" x14ac:dyDescent="0.25">
      <c r="A17" t="s">
        <v>4</v>
      </c>
      <c r="B17" t="s">
        <v>1437</v>
      </c>
      <c r="C17" t="s">
        <v>447</v>
      </c>
      <c r="D17">
        <v>-1</v>
      </c>
    </row>
    <row r="18" spans="1:4" x14ac:dyDescent="0.25">
      <c r="A18" t="s">
        <v>4</v>
      </c>
      <c r="B18" t="s">
        <v>1276</v>
      </c>
      <c r="C18" t="s">
        <v>2157</v>
      </c>
      <c r="D18">
        <v>-3</v>
      </c>
    </row>
    <row r="19" spans="1:4" x14ac:dyDescent="0.25">
      <c r="A19" t="s">
        <v>40</v>
      </c>
      <c r="B19" t="s">
        <v>795</v>
      </c>
      <c r="C19" t="s">
        <v>2701</v>
      </c>
      <c r="D19">
        <v>-5</v>
      </c>
    </row>
    <row r="20" spans="1:4" x14ac:dyDescent="0.25">
      <c r="A20" t="s">
        <v>40</v>
      </c>
      <c r="B20" t="s">
        <v>1545</v>
      </c>
      <c r="C20" t="s">
        <v>2722</v>
      </c>
      <c r="D20">
        <v>-3</v>
      </c>
    </row>
    <row r="21" spans="1:4" x14ac:dyDescent="0.25">
      <c r="A21" t="s">
        <v>40</v>
      </c>
      <c r="B21" t="s">
        <v>1613</v>
      </c>
      <c r="C21" t="s">
        <v>2404</v>
      </c>
      <c r="D21">
        <v>-6</v>
      </c>
    </row>
    <row r="22" spans="1:4" x14ac:dyDescent="0.25">
      <c r="A22" t="s">
        <v>40</v>
      </c>
      <c r="B22" t="s">
        <v>1029</v>
      </c>
      <c r="C22" t="s">
        <v>48</v>
      </c>
      <c r="D22">
        <v>-3</v>
      </c>
    </row>
    <row r="23" spans="1:4" x14ac:dyDescent="0.25">
      <c r="A23" t="s">
        <v>40</v>
      </c>
      <c r="B23" t="s">
        <v>175</v>
      </c>
      <c r="C23" t="s">
        <v>50</v>
      </c>
      <c r="D23">
        <v>-5</v>
      </c>
    </row>
    <row r="24" spans="1:4" x14ac:dyDescent="0.25">
      <c r="A24" t="s">
        <v>40</v>
      </c>
      <c r="B24" t="s">
        <v>1086</v>
      </c>
      <c r="C24" t="s">
        <v>3832</v>
      </c>
      <c r="D24">
        <v>-7</v>
      </c>
    </row>
    <row r="25" spans="1:4" x14ac:dyDescent="0.25">
      <c r="A25" t="s">
        <v>40</v>
      </c>
      <c r="B25" t="s">
        <v>1194</v>
      </c>
      <c r="C25" t="s">
        <v>3833</v>
      </c>
      <c r="D25">
        <v>-5</v>
      </c>
    </row>
    <row r="26" spans="1:4" x14ac:dyDescent="0.25">
      <c r="A26" t="s">
        <v>40</v>
      </c>
      <c r="B26" t="s">
        <v>834</v>
      </c>
      <c r="C26" t="s">
        <v>597</v>
      </c>
      <c r="D26">
        <v>-2</v>
      </c>
    </row>
    <row r="27" spans="1:4" x14ac:dyDescent="0.25">
      <c r="A27" t="s">
        <v>40</v>
      </c>
      <c r="B27" t="s">
        <v>465</v>
      </c>
      <c r="C27" t="s">
        <v>342</v>
      </c>
      <c r="D27">
        <v>0</v>
      </c>
    </row>
    <row r="28" spans="1:4" x14ac:dyDescent="0.25">
      <c r="A28" t="s">
        <v>40</v>
      </c>
      <c r="B28" t="s">
        <v>594</v>
      </c>
      <c r="C28" t="s">
        <v>463</v>
      </c>
      <c r="D28">
        <v>-2</v>
      </c>
    </row>
    <row r="29" spans="1:4" x14ac:dyDescent="0.25">
      <c r="A29" t="s">
        <v>40</v>
      </c>
      <c r="B29" t="s">
        <v>370</v>
      </c>
      <c r="C29" t="s">
        <v>2332</v>
      </c>
      <c r="D29">
        <v>-1</v>
      </c>
    </row>
    <row r="30" spans="1:4" x14ac:dyDescent="0.25">
      <c r="A30" t="s">
        <v>40</v>
      </c>
      <c r="B30" t="s">
        <v>370</v>
      </c>
      <c r="C30" t="s">
        <v>464</v>
      </c>
      <c r="D30">
        <v>0</v>
      </c>
    </row>
    <row r="31" spans="1:4" x14ac:dyDescent="0.25">
      <c r="A31" t="s">
        <v>40</v>
      </c>
      <c r="B31" t="s">
        <v>437</v>
      </c>
      <c r="C31" t="s">
        <v>63</v>
      </c>
      <c r="D31">
        <v>-1</v>
      </c>
    </row>
    <row r="32" spans="1:4" x14ac:dyDescent="0.25">
      <c r="A32" t="s">
        <v>40</v>
      </c>
      <c r="B32" t="s">
        <v>374</v>
      </c>
      <c r="C32" t="s">
        <v>725</v>
      </c>
      <c r="D32">
        <v>1</v>
      </c>
    </row>
    <row r="33" spans="1:4" x14ac:dyDescent="0.25">
      <c r="A33" t="s">
        <v>40</v>
      </c>
      <c r="B33" t="s">
        <v>114</v>
      </c>
      <c r="C33" t="s">
        <v>349</v>
      </c>
      <c r="D33">
        <v>3</v>
      </c>
    </row>
    <row r="34" spans="1:4" x14ac:dyDescent="0.25">
      <c r="A34" t="s">
        <v>40</v>
      </c>
      <c r="B34" t="s">
        <v>1127</v>
      </c>
      <c r="C34" t="s">
        <v>727</v>
      </c>
      <c r="D34">
        <v>4</v>
      </c>
    </row>
    <row r="35" spans="1:4" x14ac:dyDescent="0.25">
      <c r="A35" t="s">
        <v>40</v>
      </c>
      <c r="B35" t="s">
        <v>1127</v>
      </c>
      <c r="C35" t="s">
        <v>939</v>
      </c>
      <c r="D35">
        <v>5</v>
      </c>
    </row>
    <row r="36" spans="1:4" x14ac:dyDescent="0.25">
      <c r="A36" t="s">
        <v>40</v>
      </c>
      <c r="B36" t="s">
        <v>2453</v>
      </c>
      <c r="C36" t="s">
        <v>1938</v>
      </c>
      <c r="D36">
        <v>7</v>
      </c>
    </row>
    <row r="37" spans="1:4" x14ac:dyDescent="0.25">
      <c r="A37" t="s">
        <v>40</v>
      </c>
      <c r="B37" t="s">
        <v>320</v>
      </c>
      <c r="C37" t="s">
        <v>1939</v>
      </c>
      <c r="D37">
        <v>10</v>
      </c>
    </row>
    <row r="38" spans="1:4" x14ac:dyDescent="0.25">
      <c r="A38" t="s">
        <v>40</v>
      </c>
      <c r="B38" t="s">
        <v>710</v>
      </c>
      <c r="C38" t="s">
        <v>945</v>
      </c>
      <c r="D38">
        <v>8</v>
      </c>
    </row>
    <row r="39" spans="1:4" x14ac:dyDescent="0.25">
      <c r="A39" t="s">
        <v>80</v>
      </c>
      <c r="B39" t="s">
        <v>1541</v>
      </c>
      <c r="C39" t="s">
        <v>947</v>
      </c>
      <c r="D39">
        <v>10</v>
      </c>
    </row>
    <row r="40" spans="1:4" x14ac:dyDescent="0.25">
      <c r="A40" t="s">
        <v>80</v>
      </c>
      <c r="B40" t="s">
        <v>170</v>
      </c>
      <c r="C40" t="s">
        <v>2165</v>
      </c>
      <c r="D40">
        <v>8</v>
      </c>
    </row>
    <row r="41" spans="1:4" x14ac:dyDescent="0.25">
      <c r="A41" t="s">
        <v>80</v>
      </c>
      <c r="B41" t="s">
        <v>1244</v>
      </c>
      <c r="C41" t="s">
        <v>3340</v>
      </c>
      <c r="D41">
        <v>9</v>
      </c>
    </row>
    <row r="42" spans="1:4" x14ac:dyDescent="0.25">
      <c r="A42" t="s">
        <v>80</v>
      </c>
      <c r="B42" t="s">
        <v>1244</v>
      </c>
      <c r="C42" t="s">
        <v>2783</v>
      </c>
      <c r="D42">
        <v>10</v>
      </c>
    </row>
    <row r="43" spans="1:4" x14ac:dyDescent="0.25">
      <c r="A43" t="s">
        <v>80</v>
      </c>
      <c r="B43" t="s">
        <v>1613</v>
      </c>
      <c r="C43" t="s">
        <v>1943</v>
      </c>
      <c r="D43">
        <v>9</v>
      </c>
    </row>
    <row r="44" spans="1:4" x14ac:dyDescent="0.25">
      <c r="A44" t="s">
        <v>80</v>
      </c>
      <c r="B44" t="s">
        <v>1613</v>
      </c>
      <c r="C44" t="s">
        <v>3732</v>
      </c>
      <c r="D44">
        <v>8</v>
      </c>
    </row>
    <row r="45" spans="1:4" x14ac:dyDescent="0.25">
      <c r="A45" t="s">
        <v>80</v>
      </c>
      <c r="B45" t="s">
        <v>618</v>
      </c>
      <c r="C45" t="s">
        <v>3342</v>
      </c>
      <c r="D45">
        <v>10</v>
      </c>
    </row>
    <row r="46" spans="1:4" x14ac:dyDescent="0.25">
      <c r="A46" t="s">
        <v>80</v>
      </c>
      <c r="B46" t="s">
        <v>1280</v>
      </c>
      <c r="C46" t="s">
        <v>1147</v>
      </c>
      <c r="D46">
        <v>7</v>
      </c>
    </row>
    <row r="47" spans="1:4" x14ac:dyDescent="0.25">
      <c r="A47" t="s">
        <v>80</v>
      </c>
      <c r="B47" t="s">
        <v>1119</v>
      </c>
      <c r="C47" t="s">
        <v>3699</v>
      </c>
      <c r="D47">
        <v>5</v>
      </c>
    </row>
    <row r="48" spans="1:4" x14ac:dyDescent="0.25">
      <c r="A48" t="s">
        <v>80</v>
      </c>
      <c r="B48" t="s">
        <v>1146</v>
      </c>
      <c r="C48" t="s">
        <v>485</v>
      </c>
      <c r="D48">
        <v>6</v>
      </c>
    </row>
    <row r="49" spans="1:4" x14ac:dyDescent="0.25">
      <c r="A49" t="s">
        <v>80</v>
      </c>
      <c r="B49" t="s">
        <v>1146</v>
      </c>
      <c r="C49" t="s">
        <v>3700</v>
      </c>
      <c r="D49">
        <v>7</v>
      </c>
    </row>
    <row r="50" spans="1:4" x14ac:dyDescent="0.25">
      <c r="A50" t="s">
        <v>80</v>
      </c>
      <c r="B50" t="s">
        <v>277</v>
      </c>
      <c r="C50" t="s">
        <v>2982</v>
      </c>
      <c r="D50">
        <v>9</v>
      </c>
    </row>
    <row r="51" spans="1:4" x14ac:dyDescent="0.25">
      <c r="A51" t="s">
        <v>80</v>
      </c>
      <c r="B51" t="s">
        <v>648</v>
      </c>
      <c r="C51" t="s">
        <v>3834</v>
      </c>
      <c r="D51">
        <v>10</v>
      </c>
    </row>
    <row r="52" spans="1:4" x14ac:dyDescent="0.25">
      <c r="A52" t="s">
        <v>80</v>
      </c>
      <c r="B52" t="s">
        <v>648</v>
      </c>
      <c r="C52" t="s">
        <v>1458</v>
      </c>
      <c r="D52">
        <v>11</v>
      </c>
    </row>
    <row r="53" spans="1:4" x14ac:dyDescent="0.25">
      <c r="A53" t="s">
        <v>80</v>
      </c>
      <c r="B53" t="s">
        <v>93</v>
      </c>
      <c r="C53" t="s">
        <v>2983</v>
      </c>
      <c r="D53">
        <v>9</v>
      </c>
    </row>
    <row r="54" spans="1:4" x14ac:dyDescent="0.25">
      <c r="A54" t="s">
        <v>80</v>
      </c>
      <c r="B54" t="s">
        <v>93</v>
      </c>
      <c r="C54" t="s">
        <v>2913</v>
      </c>
      <c r="D54">
        <v>8</v>
      </c>
    </row>
    <row r="55" spans="1:4" x14ac:dyDescent="0.25">
      <c r="A55" t="s">
        <v>80</v>
      </c>
      <c r="B55" t="s">
        <v>1817</v>
      </c>
      <c r="C55" t="s">
        <v>1460</v>
      </c>
      <c r="D55">
        <v>10</v>
      </c>
    </row>
    <row r="56" spans="1:4" x14ac:dyDescent="0.25">
      <c r="A56" t="s">
        <v>80</v>
      </c>
      <c r="B56" t="s">
        <v>261</v>
      </c>
      <c r="C56" t="s">
        <v>492</v>
      </c>
      <c r="D56">
        <v>9</v>
      </c>
    </row>
    <row r="57" spans="1:4" x14ac:dyDescent="0.25">
      <c r="A57" t="s">
        <v>80</v>
      </c>
      <c r="B57" t="s">
        <v>261</v>
      </c>
      <c r="C57" t="s">
        <v>3441</v>
      </c>
      <c r="D57">
        <v>8</v>
      </c>
    </row>
    <row r="58" spans="1:4" x14ac:dyDescent="0.25">
      <c r="A58" t="s">
        <v>80</v>
      </c>
      <c r="B58" t="s">
        <v>284</v>
      </c>
      <c r="C58" t="s">
        <v>1463</v>
      </c>
      <c r="D58">
        <v>10</v>
      </c>
    </row>
    <row r="59" spans="1:4" x14ac:dyDescent="0.25">
      <c r="A59" t="s">
        <v>80</v>
      </c>
      <c r="B59" t="s">
        <v>1442</v>
      </c>
      <c r="C59" t="s">
        <v>2274</v>
      </c>
      <c r="D59">
        <v>8</v>
      </c>
    </row>
    <row r="60" spans="1:4" x14ac:dyDescent="0.25">
      <c r="A60" t="s">
        <v>80</v>
      </c>
      <c r="B60" t="s">
        <v>1442</v>
      </c>
      <c r="C60" t="s">
        <v>2275</v>
      </c>
      <c r="D60">
        <v>7</v>
      </c>
    </row>
    <row r="61" spans="1:4" x14ac:dyDescent="0.25">
      <c r="A61" t="s">
        <v>80</v>
      </c>
      <c r="B61" t="s">
        <v>108</v>
      </c>
      <c r="C61" t="s">
        <v>2176</v>
      </c>
      <c r="D61">
        <v>5</v>
      </c>
    </row>
    <row r="62" spans="1:4" x14ac:dyDescent="0.25">
      <c r="A62" t="s">
        <v>80</v>
      </c>
      <c r="B62" t="s">
        <v>524</v>
      </c>
      <c r="C62" t="s">
        <v>1838</v>
      </c>
      <c r="D62">
        <v>6</v>
      </c>
    </row>
    <row r="63" spans="1:4" x14ac:dyDescent="0.25">
      <c r="A63" t="s">
        <v>80</v>
      </c>
      <c r="B63" t="s">
        <v>442</v>
      </c>
      <c r="C63" t="s">
        <v>2450</v>
      </c>
      <c r="D63">
        <v>5</v>
      </c>
    </row>
    <row r="64" spans="1:4" x14ac:dyDescent="0.25">
      <c r="A64" t="s">
        <v>80</v>
      </c>
      <c r="B64" t="s">
        <v>442</v>
      </c>
      <c r="C64" t="s">
        <v>1839</v>
      </c>
      <c r="D64">
        <v>4</v>
      </c>
    </row>
    <row r="65" spans="1:4" x14ac:dyDescent="0.25">
      <c r="A65" t="s">
        <v>80</v>
      </c>
      <c r="B65" t="s">
        <v>114</v>
      </c>
      <c r="C65" t="s">
        <v>1605</v>
      </c>
      <c r="D65">
        <v>5</v>
      </c>
    </row>
    <row r="66" spans="1:4" x14ac:dyDescent="0.25">
      <c r="A66" t="s">
        <v>80</v>
      </c>
      <c r="B66" t="s">
        <v>114</v>
      </c>
      <c r="C66" t="s">
        <v>1164</v>
      </c>
      <c r="D66">
        <v>6</v>
      </c>
    </row>
    <row r="67" spans="1:4" x14ac:dyDescent="0.25">
      <c r="A67" t="s">
        <v>80</v>
      </c>
      <c r="B67" t="s">
        <v>990</v>
      </c>
      <c r="C67" t="s">
        <v>500</v>
      </c>
      <c r="D67">
        <v>5</v>
      </c>
    </row>
    <row r="68" spans="1:4" x14ac:dyDescent="0.25">
      <c r="A68" t="s">
        <v>80</v>
      </c>
      <c r="B68" t="s">
        <v>290</v>
      </c>
      <c r="C68" t="s">
        <v>1166</v>
      </c>
      <c r="D68">
        <v>7</v>
      </c>
    </row>
    <row r="69" spans="1:4" x14ac:dyDescent="0.25">
      <c r="A69" t="s">
        <v>80</v>
      </c>
      <c r="B69" t="s">
        <v>815</v>
      </c>
      <c r="C69" t="s">
        <v>638</v>
      </c>
      <c r="D69">
        <v>4</v>
      </c>
    </row>
    <row r="70" spans="1:4" x14ac:dyDescent="0.25">
      <c r="A70" t="s">
        <v>80</v>
      </c>
      <c r="B70" t="s">
        <v>294</v>
      </c>
      <c r="C70" t="s">
        <v>2552</v>
      </c>
      <c r="D70">
        <v>7</v>
      </c>
    </row>
    <row r="71" spans="1:4" x14ac:dyDescent="0.25">
      <c r="A71" t="s">
        <v>80</v>
      </c>
      <c r="B71" t="s">
        <v>556</v>
      </c>
      <c r="C71" t="s">
        <v>1171</v>
      </c>
      <c r="D71">
        <v>5</v>
      </c>
    </row>
    <row r="72" spans="1:4" x14ac:dyDescent="0.25">
      <c r="A72" t="s">
        <v>80</v>
      </c>
      <c r="B72" t="s">
        <v>422</v>
      </c>
      <c r="C72" t="s">
        <v>2183</v>
      </c>
      <c r="D72">
        <v>6</v>
      </c>
    </row>
    <row r="73" spans="1:4" x14ac:dyDescent="0.25">
      <c r="A73" t="s">
        <v>80</v>
      </c>
      <c r="B73" t="s">
        <v>422</v>
      </c>
      <c r="C73" t="s">
        <v>2456</v>
      </c>
      <c r="D73">
        <v>7</v>
      </c>
    </row>
    <row r="74" spans="1:4" x14ac:dyDescent="0.25">
      <c r="A74" t="s">
        <v>80</v>
      </c>
      <c r="B74" t="s">
        <v>584</v>
      </c>
      <c r="C74" t="s">
        <v>2457</v>
      </c>
      <c r="D74">
        <v>6</v>
      </c>
    </row>
    <row r="75" spans="1:4" x14ac:dyDescent="0.25">
      <c r="A75" t="s">
        <v>80</v>
      </c>
      <c r="B75" t="s">
        <v>584</v>
      </c>
      <c r="C75" t="s">
        <v>1173</v>
      </c>
      <c r="D75">
        <v>5</v>
      </c>
    </row>
    <row r="76" spans="1:4" x14ac:dyDescent="0.25">
      <c r="A76" t="s">
        <v>123</v>
      </c>
      <c r="B76" t="s">
        <v>1007</v>
      </c>
      <c r="C76" t="s">
        <v>3835</v>
      </c>
      <c r="D76">
        <v>2</v>
      </c>
    </row>
    <row r="77" spans="1:4" x14ac:dyDescent="0.25">
      <c r="A77" t="s">
        <v>123</v>
      </c>
      <c r="B77" t="s">
        <v>355</v>
      </c>
      <c r="C77" t="s">
        <v>649</v>
      </c>
      <c r="D77">
        <v>3</v>
      </c>
    </row>
    <row r="78" spans="1:4" x14ac:dyDescent="0.25">
      <c r="A78" t="s">
        <v>123</v>
      </c>
      <c r="B78" t="s">
        <v>355</v>
      </c>
      <c r="C78" t="s">
        <v>2555</v>
      </c>
      <c r="D78">
        <v>4</v>
      </c>
    </row>
    <row r="79" spans="1:4" x14ac:dyDescent="0.25">
      <c r="A79" t="s">
        <v>123</v>
      </c>
      <c r="B79" t="s">
        <v>912</v>
      </c>
      <c r="C79" t="s">
        <v>2604</v>
      </c>
      <c r="D79">
        <v>2</v>
      </c>
    </row>
    <row r="80" spans="1:4" x14ac:dyDescent="0.25">
      <c r="A80" t="s">
        <v>123</v>
      </c>
      <c r="B80" t="s">
        <v>912</v>
      </c>
      <c r="C80" t="s">
        <v>655</v>
      </c>
      <c r="D80">
        <v>1</v>
      </c>
    </row>
    <row r="81" spans="1:4" x14ac:dyDescent="0.25">
      <c r="A81" t="s">
        <v>123</v>
      </c>
      <c r="B81" t="s">
        <v>1453</v>
      </c>
      <c r="C81" t="s">
        <v>3068</v>
      </c>
      <c r="D81">
        <v>4</v>
      </c>
    </row>
    <row r="82" spans="1:4" x14ac:dyDescent="0.25">
      <c r="A82" t="s">
        <v>123</v>
      </c>
      <c r="B82" t="s">
        <v>1086</v>
      </c>
      <c r="C82" t="s">
        <v>3707</v>
      </c>
      <c r="D82">
        <v>6</v>
      </c>
    </row>
    <row r="83" spans="1:4" x14ac:dyDescent="0.25">
      <c r="A83" t="s">
        <v>123</v>
      </c>
      <c r="B83" t="s">
        <v>1033</v>
      </c>
      <c r="C83" t="s">
        <v>3836</v>
      </c>
      <c r="D83">
        <v>4</v>
      </c>
    </row>
    <row r="84" spans="1:4" x14ac:dyDescent="0.25">
      <c r="A84" t="s">
        <v>123</v>
      </c>
      <c r="B84" t="s">
        <v>1033</v>
      </c>
      <c r="C84" t="s">
        <v>2734</v>
      </c>
      <c r="D84">
        <v>3</v>
      </c>
    </row>
    <row r="85" spans="1:4" x14ac:dyDescent="0.25">
      <c r="A85" t="s">
        <v>123</v>
      </c>
      <c r="B85" t="s">
        <v>1598</v>
      </c>
      <c r="C85" t="s">
        <v>2245</v>
      </c>
      <c r="D85">
        <v>0</v>
      </c>
    </row>
    <row r="86" spans="1:4" x14ac:dyDescent="0.25">
      <c r="A86" t="s">
        <v>123</v>
      </c>
      <c r="B86" t="s">
        <v>19</v>
      </c>
      <c r="C86" t="s">
        <v>669</v>
      </c>
      <c r="D86">
        <v>3</v>
      </c>
    </row>
    <row r="87" spans="1:4" x14ac:dyDescent="0.25">
      <c r="A87" t="s">
        <v>123</v>
      </c>
      <c r="B87" t="s">
        <v>943</v>
      </c>
      <c r="C87" t="s">
        <v>670</v>
      </c>
      <c r="D87">
        <v>4</v>
      </c>
    </row>
    <row r="88" spans="1:4" x14ac:dyDescent="0.25">
      <c r="A88" t="s">
        <v>123</v>
      </c>
      <c r="B88" t="s">
        <v>378</v>
      </c>
      <c r="C88" t="s">
        <v>3837</v>
      </c>
      <c r="D88">
        <v>5</v>
      </c>
    </row>
    <row r="89" spans="1:4" x14ac:dyDescent="0.25">
      <c r="A89" t="s">
        <v>123</v>
      </c>
      <c r="B89" t="s">
        <v>702</v>
      </c>
      <c r="C89" t="s">
        <v>771</v>
      </c>
      <c r="D89">
        <v>4</v>
      </c>
    </row>
    <row r="90" spans="1:4" x14ac:dyDescent="0.25">
      <c r="A90" t="s">
        <v>123</v>
      </c>
      <c r="B90" t="s">
        <v>812</v>
      </c>
      <c r="C90" t="s">
        <v>3838</v>
      </c>
      <c r="D90">
        <v>1</v>
      </c>
    </row>
    <row r="91" spans="1:4" x14ac:dyDescent="0.25">
      <c r="A91" t="s">
        <v>123</v>
      </c>
      <c r="B91" t="s">
        <v>1640</v>
      </c>
      <c r="C91" t="s">
        <v>3581</v>
      </c>
      <c r="D91">
        <v>-2</v>
      </c>
    </row>
    <row r="92" spans="1:4" x14ac:dyDescent="0.25">
      <c r="A92" t="s">
        <v>123</v>
      </c>
      <c r="B92" t="s">
        <v>898</v>
      </c>
      <c r="C92" t="s">
        <v>538</v>
      </c>
      <c r="D92">
        <v>0</v>
      </c>
    </row>
    <row r="93" spans="1:4" x14ac:dyDescent="0.25">
      <c r="A93" t="s">
        <v>123</v>
      </c>
      <c r="B93" t="s">
        <v>31</v>
      </c>
      <c r="C93" t="s">
        <v>866</v>
      </c>
      <c r="D93">
        <v>-3</v>
      </c>
    </row>
    <row r="94" spans="1:4" x14ac:dyDescent="0.25">
      <c r="A94" t="s">
        <v>123</v>
      </c>
      <c r="B94" t="s">
        <v>1237</v>
      </c>
      <c r="C94" t="s">
        <v>2709</v>
      </c>
      <c r="D94">
        <v>0</v>
      </c>
    </row>
    <row r="95" spans="1:4" x14ac:dyDescent="0.25">
      <c r="A95" t="s">
        <v>123</v>
      </c>
      <c r="B95" t="s">
        <v>817</v>
      </c>
      <c r="C95" t="s">
        <v>2711</v>
      </c>
      <c r="D95">
        <v>-2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3.3404255319148937</v>
      </c>
    </row>
    <row r="99" spans="1:4" x14ac:dyDescent="0.25">
      <c r="A99" t="s">
        <v>159</v>
      </c>
      <c r="D99">
        <f>MAX(D2:D95)</f>
        <v>11</v>
      </c>
    </row>
    <row r="100" spans="1:4" x14ac:dyDescent="0.25">
      <c r="A100" t="s">
        <v>160</v>
      </c>
      <c r="D100">
        <f>MIN(D2:D95)</f>
        <v>-7</v>
      </c>
    </row>
    <row r="101" spans="1:4" x14ac:dyDescent="0.25">
      <c r="A101" t="s">
        <v>161</v>
      </c>
      <c r="D101">
        <f>COUNTIF(D2:D95,"&gt;0")</f>
        <v>66</v>
      </c>
    </row>
    <row r="102" spans="1:4" x14ac:dyDescent="0.25">
      <c r="A102" t="s">
        <v>162</v>
      </c>
      <c r="D102">
        <f>COUNTIF(D2:D95,"=0")</f>
        <v>6</v>
      </c>
    </row>
    <row r="103" spans="1:4" x14ac:dyDescent="0.25">
      <c r="A103" t="s">
        <v>1570</v>
      </c>
      <c r="D103">
        <f>COUNTIF(D2:D95,"&lt;0")</f>
        <v>22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AVERAGE(D2,D3,D4,D5,D6,D7,D8,D9,D10,D11,D12,D13,D14,D15,D16,D17,D18)</f>
        <v>0.35294117647058826</v>
      </c>
    </row>
    <row r="107" spans="1:4" x14ac:dyDescent="0.25">
      <c r="A107" t="s">
        <v>166</v>
      </c>
      <c r="D107">
        <f>AVERAGE(D19,D20,D21,D22,D23,D24,D25,D26,D27,D28,D29,D30,D31,D32,D33,D34,D35,D36,D37,D38)</f>
        <v>-0.1</v>
      </c>
    </row>
    <row r="108" spans="1:4" x14ac:dyDescent="0.25">
      <c r="A108" t="s">
        <v>167</v>
      </c>
      <c r="D108">
        <f>AVERAGE(D39,D40,D41,D42,D43,D44,D45,D46,D47,D48,D49,D50,D51,D52,D53,D54,D55,D56,D57,D58,D59,D60,D61,D62,D63,D64,D65,D66,D67,D68,D69,D70,D71,D72,D73,D74,D75)</f>
        <v>7.3243243243243246</v>
      </c>
    </row>
    <row r="109" spans="1:4" x14ac:dyDescent="0.25">
      <c r="A109" t="s">
        <v>168</v>
      </c>
      <c r="D109">
        <f>AVERAGE(D76,D77,D78,D79,D80,D81,D82,D83,D84,D85,D86,D87,D88,D89,D90,D91,D92,D93,D94,D95)</f>
        <v>1.95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1055</v>
      </c>
      <c r="C2" t="s">
        <v>908</v>
      </c>
      <c r="D2">
        <v>-2</v>
      </c>
    </row>
    <row r="3" spans="1:4" x14ac:dyDescent="0.25">
      <c r="A3" t="s">
        <v>4</v>
      </c>
      <c r="B3" t="s">
        <v>2570</v>
      </c>
      <c r="C3" t="s">
        <v>8</v>
      </c>
      <c r="D3">
        <v>0</v>
      </c>
    </row>
    <row r="4" spans="1:4" x14ac:dyDescent="0.25">
      <c r="A4" t="s">
        <v>4</v>
      </c>
      <c r="B4" t="s">
        <v>2405</v>
      </c>
      <c r="C4" t="s">
        <v>1869</v>
      </c>
      <c r="D4">
        <v>-3</v>
      </c>
    </row>
    <row r="5" spans="1:4" x14ac:dyDescent="0.25">
      <c r="A5" t="s">
        <v>4</v>
      </c>
      <c r="B5" t="s">
        <v>778</v>
      </c>
      <c r="C5" t="s">
        <v>309</v>
      </c>
      <c r="D5">
        <v>-1</v>
      </c>
    </row>
    <row r="6" spans="1:4" x14ac:dyDescent="0.25">
      <c r="A6" t="s">
        <v>4</v>
      </c>
      <c r="B6" t="s">
        <v>1754</v>
      </c>
      <c r="C6" t="s">
        <v>432</v>
      </c>
      <c r="D6">
        <v>2</v>
      </c>
    </row>
    <row r="7" spans="1:4" x14ac:dyDescent="0.25">
      <c r="A7" t="s">
        <v>4</v>
      </c>
      <c r="B7" t="s">
        <v>643</v>
      </c>
      <c r="C7" t="s">
        <v>1012</v>
      </c>
      <c r="D7">
        <v>4</v>
      </c>
    </row>
    <row r="8" spans="1:4" x14ac:dyDescent="0.25">
      <c r="A8" t="s">
        <v>4</v>
      </c>
      <c r="B8" t="s">
        <v>333</v>
      </c>
      <c r="C8" t="s">
        <v>1974</v>
      </c>
      <c r="D8">
        <v>5</v>
      </c>
    </row>
    <row r="9" spans="1:4" x14ac:dyDescent="0.25">
      <c r="A9" t="s">
        <v>4</v>
      </c>
      <c r="B9" t="s">
        <v>1432</v>
      </c>
      <c r="C9" t="s">
        <v>1351</v>
      </c>
      <c r="D9">
        <v>3</v>
      </c>
    </row>
    <row r="10" spans="1:4" x14ac:dyDescent="0.25">
      <c r="A10" t="s">
        <v>4</v>
      </c>
      <c r="B10" t="s">
        <v>256</v>
      </c>
      <c r="C10" t="s">
        <v>2647</v>
      </c>
      <c r="D10">
        <v>6</v>
      </c>
    </row>
    <row r="11" spans="1:4" x14ac:dyDescent="0.25">
      <c r="A11" t="s">
        <v>4</v>
      </c>
      <c r="B11" t="s">
        <v>1533</v>
      </c>
      <c r="C11" t="s">
        <v>1014</v>
      </c>
      <c r="D11">
        <v>8</v>
      </c>
    </row>
    <row r="12" spans="1:4" x14ac:dyDescent="0.25">
      <c r="A12" t="s">
        <v>4</v>
      </c>
      <c r="B12" t="s">
        <v>872</v>
      </c>
      <c r="C12" t="s">
        <v>1111</v>
      </c>
      <c r="D12">
        <v>5</v>
      </c>
    </row>
    <row r="13" spans="1:4" x14ac:dyDescent="0.25">
      <c r="A13" t="s">
        <v>4</v>
      </c>
      <c r="B13" t="s">
        <v>104</v>
      </c>
      <c r="C13" t="s">
        <v>195</v>
      </c>
      <c r="D13">
        <v>8</v>
      </c>
    </row>
    <row r="14" spans="1:4" x14ac:dyDescent="0.25">
      <c r="A14" t="s">
        <v>4</v>
      </c>
      <c r="B14" t="s">
        <v>1436</v>
      </c>
      <c r="C14" t="s">
        <v>1199</v>
      </c>
      <c r="D14">
        <v>6</v>
      </c>
    </row>
    <row r="15" spans="1:4" x14ac:dyDescent="0.25">
      <c r="A15" t="s">
        <v>4</v>
      </c>
      <c r="B15" t="s">
        <v>702</v>
      </c>
      <c r="C15" t="s">
        <v>326</v>
      </c>
      <c r="D15">
        <v>8</v>
      </c>
    </row>
    <row r="16" spans="1:4" x14ac:dyDescent="0.25">
      <c r="A16" t="s">
        <v>4</v>
      </c>
      <c r="B16" t="s">
        <v>749</v>
      </c>
      <c r="C16" t="s">
        <v>1020</v>
      </c>
      <c r="D16">
        <v>10</v>
      </c>
    </row>
    <row r="17" spans="1:4" x14ac:dyDescent="0.25">
      <c r="A17" t="s">
        <v>4</v>
      </c>
      <c r="B17" t="s">
        <v>579</v>
      </c>
      <c r="C17" t="s">
        <v>3730</v>
      </c>
      <c r="D17">
        <v>13</v>
      </c>
    </row>
    <row r="18" spans="1:4" x14ac:dyDescent="0.25">
      <c r="A18" t="s">
        <v>4</v>
      </c>
      <c r="B18" t="s">
        <v>27</v>
      </c>
      <c r="C18" t="s">
        <v>1361</v>
      </c>
      <c r="D18">
        <v>11</v>
      </c>
    </row>
    <row r="19" spans="1:4" x14ac:dyDescent="0.25">
      <c r="A19" t="s">
        <v>4</v>
      </c>
      <c r="B19" t="s">
        <v>611</v>
      </c>
      <c r="C19" t="s">
        <v>3227</v>
      </c>
      <c r="D19">
        <v>13</v>
      </c>
    </row>
    <row r="20" spans="1:4" x14ac:dyDescent="0.25">
      <c r="A20" t="s">
        <v>4</v>
      </c>
      <c r="B20" t="s">
        <v>1988</v>
      </c>
      <c r="C20" t="s">
        <v>1364</v>
      </c>
      <c r="D20">
        <v>16</v>
      </c>
    </row>
    <row r="21" spans="1:4" x14ac:dyDescent="0.25">
      <c r="A21" t="s">
        <v>4</v>
      </c>
      <c r="B21" t="s">
        <v>817</v>
      </c>
      <c r="C21" t="s">
        <v>1365</v>
      </c>
      <c r="D21">
        <v>17</v>
      </c>
    </row>
    <row r="22" spans="1:4" x14ac:dyDescent="0.25">
      <c r="A22" t="s">
        <v>4</v>
      </c>
      <c r="B22" t="s">
        <v>817</v>
      </c>
      <c r="C22" t="s">
        <v>1366</v>
      </c>
      <c r="D22">
        <v>18</v>
      </c>
    </row>
    <row r="23" spans="1:4" x14ac:dyDescent="0.25">
      <c r="A23" t="s">
        <v>40</v>
      </c>
      <c r="B23" t="s">
        <v>795</v>
      </c>
      <c r="C23" t="s">
        <v>1989</v>
      </c>
      <c r="D23">
        <v>21</v>
      </c>
    </row>
    <row r="24" spans="1:4" x14ac:dyDescent="0.25">
      <c r="A24" t="s">
        <v>40</v>
      </c>
      <c r="B24" t="s">
        <v>7</v>
      </c>
      <c r="C24" t="s">
        <v>1992</v>
      </c>
      <c r="D24">
        <v>23</v>
      </c>
    </row>
    <row r="25" spans="1:4" x14ac:dyDescent="0.25">
      <c r="A25" t="s">
        <v>40</v>
      </c>
      <c r="B25" t="s">
        <v>244</v>
      </c>
      <c r="C25" t="s">
        <v>3839</v>
      </c>
      <c r="D25">
        <v>21</v>
      </c>
    </row>
    <row r="26" spans="1:4" x14ac:dyDescent="0.25">
      <c r="A26" t="s">
        <v>40</v>
      </c>
      <c r="B26" t="s">
        <v>244</v>
      </c>
      <c r="C26" t="s">
        <v>1993</v>
      </c>
      <c r="D26">
        <v>20</v>
      </c>
    </row>
    <row r="27" spans="1:4" x14ac:dyDescent="0.25">
      <c r="A27" t="s">
        <v>40</v>
      </c>
      <c r="B27" t="s">
        <v>778</v>
      </c>
      <c r="C27" t="s">
        <v>1994</v>
      </c>
      <c r="D27">
        <v>22</v>
      </c>
    </row>
    <row r="28" spans="1:4" x14ac:dyDescent="0.25">
      <c r="A28" t="s">
        <v>40</v>
      </c>
      <c r="B28" t="s">
        <v>1029</v>
      </c>
      <c r="C28" t="s">
        <v>3158</v>
      </c>
      <c r="D28">
        <v>20</v>
      </c>
    </row>
    <row r="29" spans="1:4" x14ac:dyDescent="0.25">
      <c r="A29" t="s">
        <v>40</v>
      </c>
      <c r="B29" t="s">
        <v>621</v>
      </c>
      <c r="C29" t="s">
        <v>1036</v>
      </c>
      <c r="D29">
        <v>17</v>
      </c>
    </row>
    <row r="30" spans="1:4" x14ac:dyDescent="0.25">
      <c r="A30" t="s">
        <v>40</v>
      </c>
      <c r="B30" t="s">
        <v>333</v>
      </c>
      <c r="C30" t="s">
        <v>3840</v>
      </c>
      <c r="D30">
        <v>19</v>
      </c>
    </row>
    <row r="31" spans="1:4" x14ac:dyDescent="0.25">
      <c r="A31" t="s">
        <v>40</v>
      </c>
      <c r="B31" t="s">
        <v>517</v>
      </c>
      <c r="C31" t="s">
        <v>1039</v>
      </c>
      <c r="D31">
        <v>22</v>
      </c>
    </row>
    <row r="32" spans="1:4" x14ac:dyDescent="0.25">
      <c r="A32" t="s">
        <v>40</v>
      </c>
      <c r="B32" t="s">
        <v>1533</v>
      </c>
      <c r="C32" t="s">
        <v>1041</v>
      </c>
      <c r="D32">
        <v>24</v>
      </c>
    </row>
    <row r="33" spans="1:4" x14ac:dyDescent="0.25">
      <c r="A33" t="s">
        <v>40</v>
      </c>
      <c r="B33" t="s">
        <v>1533</v>
      </c>
      <c r="C33" t="s">
        <v>3161</v>
      </c>
      <c r="D33">
        <v>25</v>
      </c>
    </row>
    <row r="34" spans="1:4" x14ac:dyDescent="0.25">
      <c r="A34" t="s">
        <v>40</v>
      </c>
      <c r="B34" t="s">
        <v>807</v>
      </c>
      <c r="C34" t="s">
        <v>3162</v>
      </c>
      <c r="D34">
        <v>23</v>
      </c>
    </row>
    <row r="35" spans="1:4" x14ac:dyDescent="0.25">
      <c r="A35" t="s">
        <v>40</v>
      </c>
      <c r="B35" t="s">
        <v>1536</v>
      </c>
      <c r="C35" t="s">
        <v>1044</v>
      </c>
      <c r="D35">
        <v>24</v>
      </c>
    </row>
    <row r="36" spans="1:4" x14ac:dyDescent="0.25">
      <c r="A36" t="s">
        <v>40</v>
      </c>
      <c r="B36" t="s">
        <v>142</v>
      </c>
      <c r="C36" t="s">
        <v>1046</v>
      </c>
      <c r="D36">
        <v>23</v>
      </c>
    </row>
    <row r="37" spans="1:4" x14ac:dyDescent="0.25">
      <c r="A37" t="s">
        <v>40</v>
      </c>
      <c r="B37" t="s">
        <v>1517</v>
      </c>
      <c r="C37" t="s">
        <v>3841</v>
      </c>
      <c r="D37">
        <v>25</v>
      </c>
    </row>
    <row r="38" spans="1:4" x14ac:dyDescent="0.25">
      <c r="A38" t="s">
        <v>40</v>
      </c>
      <c r="B38" t="s">
        <v>1217</v>
      </c>
      <c r="C38" t="s">
        <v>3058</v>
      </c>
      <c r="D38">
        <v>22</v>
      </c>
    </row>
    <row r="39" spans="1:4" x14ac:dyDescent="0.25">
      <c r="A39" t="s">
        <v>40</v>
      </c>
      <c r="B39" t="s">
        <v>706</v>
      </c>
      <c r="C39" t="s">
        <v>3842</v>
      </c>
      <c r="D39">
        <v>23</v>
      </c>
    </row>
    <row r="40" spans="1:4" x14ac:dyDescent="0.25">
      <c r="A40" t="s">
        <v>40</v>
      </c>
      <c r="B40" t="s">
        <v>894</v>
      </c>
      <c r="C40" t="s">
        <v>3398</v>
      </c>
      <c r="D40">
        <v>21</v>
      </c>
    </row>
    <row r="41" spans="1:4" x14ac:dyDescent="0.25">
      <c r="A41" t="s">
        <v>40</v>
      </c>
      <c r="B41" t="s">
        <v>1940</v>
      </c>
      <c r="C41" t="s">
        <v>3740</v>
      </c>
      <c r="D41">
        <v>20</v>
      </c>
    </row>
    <row r="42" spans="1:4" x14ac:dyDescent="0.25">
      <c r="A42" t="s">
        <v>40</v>
      </c>
      <c r="B42" t="s">
        <v>1940</v>
      </c>
      <c r="C42" t="s">
        <v>3375</v>
      </c>
      <c r="D42">
        <v>19</v>
      </c>
    </row>
    <row r="43" spans="1:4" x14ac:dyDescent="0.25">
      <c r="A43" t="s">
        <v>40</v>
      </c>
      <c r="B43" t="s">
        <v>38</v>
      </c>
      <c r="C43" t="s">
        <v>3239</v>
      </c>
      <c r="D43">
        <v>22</v>
      </c>
    </row>
    <row r="44" spans="1:4" x14ac:dyDescent="0.25">
      <c r="A44" t="s">
        <v>80</v>
      </c>
      <c r="B44" t="s">
        <v>237</v>
      </c>
      <c r="C44" t="s">
        <v>3843</v>
      </c>
      <c r="D44">
        <v>21</v>
      </c>
    </row>
    <row r="45" spans="1:4" x14ac:dyDescent="0.25">
      <c r="A45" t="s">
        <v>80</v>
      </c>
      <c r="B45" t="s">
        <v>237</v>
      </c>
      <c r="C45" t="s">
        <v>2066</v>
      </c>
      <c r="D45">
        <v>20</v>
      </c>
    </row>
    <row r="46" spans="1:4" x14ac:dyDescent="0.25">
      <c r="A46" t="s">
        <v>80</v>
      </c>
      <c r="B46" t="s">
        <v>1922</v>
      </c>
      <c r="C46" t="s">
        <v>3844</v>
      </c>
      <c r="D46">
        <v>23</v>
      </c>
    </row>
    <row r="47" spans="1:4" x14ac:dyDescent="0.25">
      <c r="A47" t="s">
        <v>80</v>
      </c>
      <c r="B47" t="s">
        <v>511</v>
      </c>
      <c r="C47" t="s">
        <v>2010</v>
      </c>
      <c r="D47">
        <v>26</v>
      </c>
    </row>
    <row r="48" spans="1:4" x14ac:dyDescent="0.25">
      <c r="A48" t="s">
        <v>80</v>
      </c>
      <c r="B48" t="s">
        <v>1190</v>
      </c>
      <c r="C48" t="s">
        <v>3845</v>
      </c>
      <c r="D48">
        <v>28</v>
      </c>
    </row>
    <row r="49" spans="1:4" x14ac:dyDescent="0.25">
      <c r="A49" t="s">
        <v>80</v>
      </c>
      <c r="B49" t="s">
        <v>1613</v>
      </c>
      <c r="C49" t="s">
        <v>3846</v>
      </c>
      <c r="D49">
        <v>26</v>
      </c>
    </row>
    <row r="50" spans="1:4" x14ac:dyDescent="0.25">
      <c r="A50" t="s">
        <v>80</v>
      </c>
      <c r="B50" t="s">
        <v>862</v>
      </c>
      <c r="C50" t="s">
        <v>3847</v>
      </c>
      <c r="D50">
        <v>28</v>
      </c>
    </row>
    <row r="51" spans="1:4" x14ac:dyDescent="0.25">
      <c r="A51" t="s">
        <v>80</v>
      </c>
      <c r="B51" t="s">
        <v>1143</v>
      </c>
      <c r="C51" t="s">
        <v>1395</v>
      </c>
      <c r="D51">
        <v>26</v>
      </c>
    </row>
    <row r="52" spans="1:4" x14ac:dyDescent="0.25">
      <c r="A52" t="s">
        <v>80</v>
      </c>
      <c r="B52" t="s">
        <v>759</v>
      </c>
      <c r="C52" t="s">
        <v>1397</v>
      </c>
      <c r="D52">
        <v>29</v>
      </c>
    </row>
    <row r="53" spans="1:4" x14ac:dyDescent="0.25">
      <c r="A53" t="s">
        <v>80</v>
      </c>
      <c r="B53" t="s">
        <v>2510</v>
      </c>
      <c r="C53" t="s">
        <v>1316</v>
      </c>
      <c r="D53">
        <v>31</v>
      </c>
    </row>
    <row r="54" spans="1:4" x14ac:dyDescent="0.25">
      <c r="A54" t="s">
        <v>80</v>
      </c>
      <c r="B54" t="s">
        <v>217</v>
      </c>
      <c r="C54" t="s">
        <v>1399</v>
      </c>
      <c r="D54">
        <v>29</v>
      </c>
    </row>
    <row r="55" spans="1:4" x14ac:dyDescent="0.25">
      <c r="A55" t="s">
        <v>80</v>
      </c>
      <c r="B55" t="s">
        <v>437</v>
      </c>
      <c r="C55" t="s">
        <v>3178</v>
      </c>
      <c r="D55">
        <v>26</v>
      </c>
    </row>
    <row r="56" spans="1:4" x14ac:dyDescent="0.25">
      <c r="A56" t="s">
        <v>80</v>
      </c>
      <c r="B56" t="s">
        <v>1795</v>
      </c>
      <c r="C56" t="s">
        <v>2081</v>
      </c>
      <c r="D56">
        <v>27</v>
      </c>
    </row>
    <row r="57" spans="1:4" x14ac:dyDescent="0.25">
      <c r="A57" t="s">
        <v>80</v>
      </c>
      <c r="B57" t="s">
        <v>1795</v>
      </c>
      <c r="C57" t="s">
        <v>3215</v>
      </c>
      <c r="D57">
        <v>28</v>
      </c>
    </row>
    <row r="58" spans="1:4" x14ac:dyDescent="0.25">
      <c r="A58" t="s">
        <v>80</v>
      </c>
      <c r="B58" t="s">
        <v>887</v>
      </c>
      <c r="C58" t="s">
        <v>2830</v>
      </c>
      <c r="D58">
        <v>26</v>
      </c>
    </row>
    <row r="59" spans="1:4" x14ac:dyDescent="0.25">
      <c r="A59" t="s">
        <v>80</v>
      </c>
      <c r="B59" t="s">
        <v>1038</v>
      </c>
      <c r="C59" t="s">
        <v>3848</v>
      </c>
      <c r="D59">
        <v>24</v>
      </c>
    </row>
    <row r="60" spans="1:4" x14ac:dyDescent="0.25">
      <c r="A60" t="s">
        <v>80</v>
      </c>
      <c r="B60" t="s">
        <v>1038</v>
      </c>
      <c r="C60" t="s">
        <v>2373</v>
      </c>
      <c r="D60">
        <v>23</v>
      </c>
    </row>
    <row r="61" spans="1:4" x14ac:dyDescent="0.25">
      <c r="A61" t="s">
        <v>80</v>
      </c>
      <c r="B61" t="s">
        <v>1700</v>
      </c>
      <c r="C61" t="s">
        <v>2084</v>
      </c>
      <c r="D61">
        <v>24</v>
      </c>
    </row>
    <row r="62" spans="1:4" x14ac:dyDescent="0.25">
      <c r="A62" t="s">
        <v>80</v>
      </c>
      <c r="B62" t="s">
        <v>1700</v>
      </c>
      <c r="C62" t="s">
        <v>3849</v>
      </c>
      <c r="D62">
        <v>25</v>
      </c>
    </row>
    <row r="63" spans="1:4" x14ac:dyDescent="0.25">
      <c r="A63" t="s">
        <v>80</v>
      </c>
      <c r="B63" t="s">
        <v>524</v>
      </c>
      <c r="C63" t="s">
        <v>3751</v>
      </c>
      <c r="D63">
        <v>23</v>
      </c>
    </row>
    <row r="64" spans="1:4" x14ac:dyDescent="0.25">
      <c r="A64" t="s">
        <v>80</v>
      </c>
      <c r="B64" t="s">
        <v>114</v>
      </c>
      <c r="C64" t="s">
        <v>3850</v>
      </c>
      <c r="D64">
        <v>21</v>
      </c>
    </row>
    <row r="65" spans="1:4" x14ac:dyDescent="0.25">
      <c r="A65" t="s">
        <v>80</v>
      </c>
      <c r="B65" t="s">
        <v>1043</v>
      </c>
      <c r="C65" t="s">
        <v>3851</v>
      </c>
      <c r="D65">
        <v>22</v>
      </c>
    </row>
    <row r="66" spans="1:4" x14ac:dyDescent="0.25">
      <c r="A66" t="s">
        <v>80</v>
      </c>
      <c r="B66" t="s">
        <v>475</v>
      </c>
      <c r="C66" t="s">
        <v>3852</v>
      </c>
      <c r="D66">
        <v>20</v>
      </c>
    </row>
    <row r="67" spans="1:4" x14ac:dyDescent="0.25">
      <c r="A67" t="s">
        <v>80</v>
      </c>
      <c r="B67" t="s">
        <v>2147</v>
      </c>
      <c r="C67" t="s">
        <v>978</v>
      </c>
      <c r="D67">
        <v>18</v>
      </c>
    </row>
    <row r="68" spans="1:4" x14ac:dyDescent="0.25">
      <c r="A68" t="s">
        <v>80</v>
      </c>
      <c r="B68" t="s">
        <v>1113</v>
      </c>
      <c r="C68" t="s">
        <v>3383</v>
      </c>
      <c r="D68">
        <v>19</v>
      </c>
    </row>
    <row r="69" spans="1:4" x14ac:dyDescent="0.25">
      <c r="A69" t="s">
        <v>123</v>
      </c>
      <c r="B69" t="s">
        <v>1007</v>
      </c>
      <c r="C69" t="s">
        <v>3853</v>
      </c>
      <c r="D69">
        <v>18</v>
      </c>
    </row>
    <row r="70" spans="1:4" x14ac:dyDescent="0.25">
      <c r="A70" t="s">
        <v>123</v>
      </c>
      <c r="B70" t="s">
        <v>1007</v>
      </c>
      <c r="C70" t="s">
        <v>3186</v>
      </c>
      <c r="D70">
        <v>17</v>
      </c>
    </row>
    <row r="71" spans="1:4" x14ac:dyDescent="0.25">
      <c r="A71" t="s">
        <v>123</v>
      </c>
      <c r="B71" t="s">
        <v>1849</v>
      </c>
      <c r="C71" t="s">
        <v>3385</v>
      </c>
      <c r="D71">
        <v>20</v>
      </c>
    </row>
    <row r="72" spans="1:4" x14ac:dyDescent="0.25">
      <c r="A72" t="s">
        <v>123</v>
      </c>
      <c r="B72" t="s">
        <v>1192</v>
      </c>
      <c r="C72" t="s">
        <v>3187</v>
      </c>
      <c r="D72">
        <v>18</v>
      </c>
    </row>
    <row r="73" spans="1:4" x14ac:dyDescent="0.25">
      <c r="A73" t="s">
        <v>123</v>
      </c>
      <c r="B73" t="s">
        <v>1573</v>
      </c>
      <c r="C73" t="s">
        <v>2095</v>
      </c>
      <c r="D73">
        <v>20</v>
      </c>
    </row>
    <row r="74" spans="1:4" x14ac:dyDescent="0.25">
      <c r="A74" t="s">
        <v>123</v>
      </c>
      <c r="B74" t="s">
        <v>1246</v>
      </c>
      <c r="C74" t="s">
        <v>1479</v>
      </c>
      <c r="D74">
        <v>18</v>
      </c>
    </row>
    <row r="75" spans="1:4" x14ac:dyDescent="0.25">
      <c r="A75" t="s">
        <v>123</v>
      </c>
      <c r="B75" t="s">
        <v>1246</v>
      </c>
      <c r="C75" t="s">
        <v>2947</v>
      </c>
      <c r="D75">
        <v>17</v>
      </c>
    </row>
    <row r="76" spans="1:4" x14ac:dyDescent="0.25">
      <c r="A76" t="s">
        <v>123</v>
      </c>
      <c r="B76" t="s">
        <v>1119</v>
      </c>
      <c r="C76" t="s">
        <v>986</v>
      </c>
      <c r="D76">
        <v>19</v>
      </c>
    </row>
    <row r="77" spans="1:4" x14ac:dyDescent="0.25">
      <c r="A77" t="s">
        <v>123</v>
      </c>
      <c r="B77" t="s">
        <v>275</v>
      </c>
      <c r="C77" t="s">
        <v>2948</v>
      </c>
      <c r="D77">
        <v>20</v>
      </c>
    </row>
    <row r="78" spans="1:4" x14ac:dyDescent="0.25">
      <c r="A78" t="s">
        <v>123</v>
      </c>
      <c r="B78" t="s">
        <v>462</v>
      </c>
      <c r="C78" t="s">
        <v>3854</v>
      </c>
      <c r="D78">
        <v>17</v>
      </c>
    </row>
    <row r="79" spans="1:4" x14ac:dyDescent="0.25">
      <c r="A79" t="s">
        <v>123</v>
      </c>
      <c r="B79" t="s">
        <v>868</v>
      </c>
      <c r="C79" t="s">
        <v>2950</v>
      </c>
      <c r="D79">
        <v>20</v>
      </c>
    </row>
    <row r="80" spans="1:4" x14ac:dyDescent="0.25">
      <c r="A80" t="s">
        <v>123</v>
      </c>
      <c r="B80" t="s">
        <v>517</v>
      </c>
      <c r="C80" t="s">
        <v>3191</v>
      </c>
      <c r="D80">
        <v>18</v>
      </c>
    </row>
    <row r="81" spans="1:4" x14ac:dyDescent="0.25">
      <c r="A81" t="s">
        <v>123</v>
      </c>
      <c r="B81" t="s">
        <v>517</v>
      </c>
      <c r="C81" t="s">
        <v>3855</v>
      </c>
      <c r="D81">
        <v>17</v>
      </c>
    </row>
    <row r="82" spans="1:4" x14ac:dyDescent="0.25">
      <c r="A82" t="s">
        <v>123</v>
      </c>
      <c r="B82" t="s">
        <v>596</v>
      </c>
      <c r="C82" t="s">
        <v>3192</v>
      </c>
      <c r="D82">
        <v>20</v>
      </c>
    </row>
    <row r="83" spans="1:4" x14ac:dyDescent="0.25">
      <c r="A83" t="s">
        <v>123</v>
      </c>
      <c r="B83" t="s">
        <v>374</v>
      </c>
      <c r="C83" t="s">
        <v>3856</v>
      </c>
      <c r="D83">
        <v>23</v>
      </c>
    </row>
    <row r="84" spans="1:4" x14ac:dyDescent="0.25">
      <c r="A84" t="s">
        <v>123</v>
      </c>
      <c r="B84" t="s">
        <v>1092</v>
      </c>
      <c r="C84" t="s">
        <v>3857</v>
      </c>
      <c r="D84">
        <v>21</v>
      </c>
    </row>
    <row r="85" spans="1:4" x14ac:dyDescent="0.25">
      <c r="A85" t="s">
        <v>123</v>
      </c>
      <c r="B85" t="s">
        <v>142</v>
      </c>
      <c r="C85" t="s">
        <v>3267</v>
      </c>
      <c r="D85">
        <v>24</v>
      </c>
    </row>
    <row r="86" spans="1:4" x14ac:dyDescent="0.25">
      <c r="A86" t="s">
        <v>123</v>
      </c>
      <c r="B86" t="s">
        <v>704</v>
      </c>
      <c r="C86" t="s">
        <v>3858</v>
      </c>
      <c r="D86">
        <v>22</v>
      </c>
    </row>
    <row r="87" spans="1:4" x14ac:dyDescent="0.25">
      <c r="A87" t="s">
        <v>123</v>
      </c>
      <c r="B87" t="s">
        <v>144</v>
      </c>
      <c r="C87" t="s">
        <v>2107</v>
      </c>
      <c r="D87">
        <v>24</v>
      </c>
    </row>
    <row r="88" spans="1:4" x14ac:dyDescent="0.25">
      <c r="A88" t="s">
        <v>123</v>
      </c>
      <c r="B88" t="s">
        <v>990</v>
      </c>
      <c r="C88" t="s">
        <v>2108</v>
      </c>
      <c r="D88">
        <v>21</v>
      </c>
    </row>
    <row r="89" spans="1:4" x14ac:dyDescent="0.25">
      <c r="A89" t="s">
        <v>123</v>
      </c>
      <c r="B89" t="s">
        <v>1045</v>
      </c>
      <c r="C89" t="s">
        <v>3859</v>
      </c>
      <c r="D89">
        <v>23</v>
      </c>
    </row>
    <row r="90" spans="1:4" x14ac:dyDescent="0.25">
      <c r="A90" t="s">
        <v>123</v>
      </c>
      <c r="B90" t="s">
        <v>320</v>
      </c>
      <c r="C90" t="s">
        <v>2110</v>
      </c>
      <c r="D90">
        <v>26</v>
      </c>
    </row>
    <row r="91" spans="1:4" x14ac:dyDescent="0.25">
      <c r="A91" t="s">
        <v>123</v>
      </c>
      <c r="B91" t="s">
        <v>1222</v>
      </c>
      <c r="C91" t="s">
        <v>3860</v>
      </c>
      <c r="D91">
        <v>25</v>
      </c>
    </row>
    <row r="92" spans="1:4" x14ac:dyDescent="0.25">
      <c r="A92" t="s">
        <v>123</v>
      </c>
      <c r="B92" t="s">
        <v>1222</v>
      </c>
      <c r="C92" t="s">
        <v>3861</v>
      </c>
      <c r="D92">
        <v>24</v>
      </c>
    </row>
    <row r="93" spans="1:4" x14ac:dyDescent="0.25">
      <c r="A93" t="s">
        <v>123</v>
      </c>
      <c r="B93" t="s">
        <v>634</v>
      </c>
      <c r="C93" t="s">
        <v>3862</v>
      </c>
      <c r="D93">
        <v>23</v>
      </c>
    </row>
    <row r="94" spans="1:4" x14ac:dyDescent="0.25">
      <c r="A94" t="s">
        <v>123</v>
      </c>
      <c r="B94" t="s">
        <v>394</v>
      </c>
      <c r="C94" t="s">
        <v>3863</v>
      </c>
      <c r="D94">
        <v>24</v>
      </c>
    </row>
    <row r="95" spans="1:4" x14ac:dyDescent="0.25">
      <c r="A95" t="s">
        <v>123</v>
      </c>
      <c r="B95" t="s">
        <v>394</v>
      </c>
      <c r="C95" t="s">
        <v>3864</v>
      </c>
      <c r="D95">
        <v>25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18.936170212765958</v>
      </c>
    </row>
    <row r="99" spans="1:4" x14ac:dyDescent="0.25">
      <c r="A99" t="s">
        <v>159</v>
      </c>
      <c r="D99">
        <f>MAX(D2:D95)</f>
        <v>31</v>
      </c>
    </row>
    <row r="100" spans="1:4" x14ac:dyDescent="0.25">
      <c r="A100" t="s">
        <v>160</v>
      </c>
      <c r="D100">
        <f>MIN(D2:D95)</f>
        <v>-3</v>
      </c>
    </row>
    <row r="101" spans="1:4" x14ac:dyDescent="0.25">
      <c r="A101" t="s">
        <v>161</v>
      </c>
      <c r="D101">
        <f>COUNTIF(D2:D95,"&gt;0")</f>
        <v>90</v>
      </c>
    </row>
    <row r="102" spans="1:4" x14ac:dyDescent="0.25">
      <c r="A102" t="s">
        <v>162</v>
      </c>
      <c r="D102">
        <f>COUNTIF(D2:D95,"=0")</f>
        <v>1</v>
      </c>
    </row>
    <row r="103" spans="1:4" x14ac:dyDescent="0.25">
      <c r="A103" t="s">
        <v>1570</v>
      </c>
      <c r="D103">
        <f>COUNTIF(D2:D95,"&lt;0")</f>
        <v>3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AVERAGE(D2,D3,D4,D5,D6,D7,D8,D9,D10,D11,D12,D13,D14,D15,D16,D17,D18,D19,D20,D21,D22)</f>
        <v>7</v>
      </c>
    </row>
    <row r="107" spans="1:4" x14ac:dyDescent="0.25">
      <c r="A107" t="s">
        <v>166</v>
      </c>
      <c r="D107">
        <f>AVERAGE(D23,D24,D25,D26,D27,D28,D29,D30,D31,D32,D33,D34,D35,D36,D37,D38,D39,D40,D41,D42,D43)</f>
        <v>21.714285714285715</v>
      </c>
    </row>
    <row r="108" spans="1:4" x14ac:dyDescent="0.25">
      <c r="A108" t="s">
        <v>167</v>
      </c>
      <c r="D108">
        <f>AVERAGE(D44,D45,D46,D47,D48,D49,D50,D51,D52,D53,D54,D55,D56,D57,D58,D59,D60,D61,D62,D63,D64,D65,D66,D67,D68)</f>
        <v>24.52</v>
      </c>
    </row>
    <row r="109" spans="1:4" x14ac:dyDescent="0.25">
      <c r="A109" t="s">
        <v>168</v>
      </c>
      <c r="D109">
        <f>AVERAGE(D69,D70,D71,D72,D73,D74,D75,D76,D77,D78,D79,D80,D81,D82,D83,D84,D85,D86,D87,D88,D89,D90,D91,D92,D93,D94,D95)</f>
        <v>20.888888888888889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10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329</v>
      </c>
      <c r="C2" t="s">
        <v>171</v>
      </c>
      <c r="D2">
        <v>3</v>
      </c>
    </row>
    <row r="3" spans="1:4" x14ac:dyDescent="0.25">
      <c r="A3" t="s">
        <v>4</v>
      </c>
      <c r="B3" t="s">
        <v>87</v>
      </c>
      <c r="C3" t="s">
        <v>2353</v>
      </c>
      <c r="D3">
        <v>4</v>
      </c>
    </row>
    <row r="4" spans="1:4" x14ac:dyDescent="0.25">
      <c r="A4" t="s">
        <v>4</v>
      </c>
      <c r="B4" t="s">
        <v>87</v>
      </c>
      <c r="C4" t="s">
        <v>1572</v>
      </c>
      <c r="D4">
        <v>5</v>
      </c>
    </row>
    <row r="5" spans="1:4" x14ac:dyDescent="0.25">
      <c r="A5" t="s">
        <v>4</v>
      </c>
      <c r="B5" t="s">
        <v>359</v>
      </c>
      <c r="C5" t="s">
        <v>1347</v>
      </c>
      <c r="D5">
        <v>3</v>
      </c>
    </row>
    <row r="6" spans="1:4" x14ac:dyDescent="0.25">
      <c r="A6" t="s">
        <v>4</v>
      </c>
      <c r="B6" t="s">
        <v>1146</v>
      </c>
      <c r="C6" t="s">
        <v>1972</v>
      </c>
      <c r="D6">
        <v>6</v>
      </c>
    </row>
    <row r="7" spans="1:4" x14ac:dyDescent="0.25">
      <c r="A7" t="s">
        <v>4</v>
      </c>
      <c r="B7" t="s">
        <v>64</v>
      </c>
      <c r="C7" t="s">
        <v>3466</v>
      </c>
      <c r="D7">
        <v>8</v>
      </c>
    </row>
    <row r="8" spans="1:4" x14ac:dyDescent="0.25">
      <c r="A8" t="s">
        <v>4</v>
      </c>
      <c r="B8" t="s">
        <v>890</v>
      </c>
      <c r="C8" t="s">
        <v>781</v>
      </c>
      <c r="D8">
        <v>7</v>
      </c>
    </row>
    <row r="9" spans="1:4" x14ac:dyDescent="0.25">
      <c r="A9" t="s">
        <v>4</v>
      </c>
      <c r="B9" t="s">
        <v>706</v>
      </c>
      <c r="C9" t="s">
        <v>2999</v>
      </c>
      <c r="D9">
        <v>8</v>
      </c>
    </row>
    <row r="10" spans="1:4" x14ac:dyDescent="0.25">
      <c r="A10" t="s">
        <v>4</v>
      </c>
      <c r="B10" t="s">
        <v>444</v>
      </c>
      <c r="C10" t="s">
        <v>2645</v>
      </c>
      <c r="D10">
        <v>7</v>
      </c>
    </row>
    <row r="11" spans="1:4" x14ac:dyDescent="0.25">
      <c r="A11" t="s">
        <v>4</v>
      </c>
      <c r="B11" t="s">
        <v>444</v>
      </c>
      <c r="C11" t="s">
        <v>2594</v>
      </c>
      <c r="D11">
        <v>6</v>
      </c>
    </row>
    <row r="12" spans="1:4" x14ac:dyDescent="0.25">
      <c r="A12" t="s">
        <v>4</v>
      </c>
      <c r="B12" t="s">
        <v>1045</v>
      </c>
      <c r="C12" t="s">
        <v>1271</v>
      </c>
      <c r="D12">
        <v>8</v>
      </c>
    </row>
    <row r="13" spans="1:4" x14ac:dyDescent="0.25">
      <c r="A13" t="s">
        <v>4</v>
      </c>
      <c r="B13" t="s">
        <v>1045</v>
      </c>
      <c r="C13" t="s">
        <v>1195</v>
      </c>
      <c r="D13">
        <v>9</v>
      </c>
    </row>
    <row r="14" spans="1:4" x14ac:dyDescent="0.25">
      <c r="A14" t="s">
        <v>4</v>
      </c>
      <c r="B14" t="s">
        <v>2453</v>
      </c>
      <c r="C14" t="s">
        <v>1196</v>
      </c>
      <c r="D14">
        <v>7</v>
      </c>
    </row>
    <row r="15" spans="1:4" x14ac:dyDescent="0.25">
      <c r="A15" t="s">
        <v>4</v>
      </c>
      <c r="B15" t="s">
        <v>2453</v>
      </c>
      <c r="C15" t="s">
        <v>318</v>
      </c>
      <c r="D15">
        <v>6</v>
      </c>
    </row>
    <row r="16" spans="1:4" x14ac:dyDescent="0.25">
      <c r="A16" t="s">
        <v>4</v>
      </c>
      <c r="B16" t="s">
        <v>118</v>
      </c>
      <c r="C16" t="s">
        <v>1015</v>
      </c>
      <c r="D16">
        <v>9</v>
      </c>
    </row>
    <row r="17" spans="1:4" x14ac:dyDescent="0.25">
      <c r="A17" t="s">
        <v>4</v>
      </c>
      <c r="B17" t="s">
        <v>996</v>
      </c>
      <c r="C17" t="s">
        <v>2479</v>
      </c>
      <c r="D17">
        <v>6</v>
      </c>
    </row>
    <row r="18" spans="1:4" x14ac:dyDescent="0.25">
      <c r="A18" t="s">
        <v>4</v>
      </c>
      <c r="B18" t="s">
        <v>505</v>
      </c>
      <c r="C18" t="s">
        <v>2921</v>
      </c>
      <c r="D18">
        <v>8</v>
      </c>
    </row>
    <row r="19" spans="1:4" x14ac:dyDescent="0.25">
      <c r="A19" t="s">
        <v>4</v>
      </c>
      <c r="B19" t="s">
        <v>322</v>
      </c>
      <c r="C19" t="s">
        <v>1579</v>
      </c>
      <c r="D19">
        <v>6</v>
      </c>
    </row>
    <row r="20" spans="1:4" x14ac:dyDescent="0.25">
      <c r="A20" t="s">
        <v>4</v>
      </c>
      <c r="B20" t="s">
        <v>1646</v>
      </c>
      <c r="C20" t="s">
        <v>2047</v>
      </c>
      <c r="D20">
        <v>8</v>
      </c>
    </row>
    <row r="21" spans="1:4" x14ac:dyDescent="0.25">
      <c r="A21" t="s">
        <v>4</v>
      </c>
      <c r="B21" t="s">
        <v>1646</v>
      </c>
      <c r="C21" t="s">
        <v>2975</v>
      </c>
      <c r="D21">
        <v>9</v>
      </c>
    </row>
    <row r="22" spans="1:4" x14ac:dyDescent="0.25">
      <c r="A22" t="s">
        <v>40</v>
      </c>
      <c r="B22" t="s">
        <v>616</v>
      </c>
      <c r="C22" t="s">
        <v>201</v>
      </c>
      <c r="D22">
        <v>7</v>
      </c>
    </row>
    <row r="23" spans="1:4" x14ac:dyDescent="0.25">
      <c r="A23" t="s">
        <v>40</v>
      </c>
      <c r="B23" t="s">
        <v>1029</v>
      </c>
      <c r="C23" t="s">
        <v>1205</v>
      </c>
      <c r="D23">
        <v>8</v>
      </c>
    </row>
    <row r="24" spans="1:4" x14ac:dyDescent="0.25">
      <c r="A24" t="s">
        <v>40</v>
      </c>
      <c r="B24" t="s">
        <v>1836</v>
      </c>
      <c r="C24" t="s">
        <v>1927</v>
      </c>
      <c r="D24">
        <v>10</v>
      </c>
    </row>
    <row r="25" spans="1:4" x14ac:dyDescent="0.25">
      <c r="A25" t="s">
        <v>40</v>
      </c>
      <c r="B25" t="s">
        <v>460</v>
      </c>
      <c r="C25" t="s">
        <v>2899</v>
      </c>
      <c r="D25">
        <v>13</v>
      </c>
    </row>
    <row r="26" spans="1:4" x14ac:dyDescent="0.25">
      <c r="A26" t="s">
        <v>40</v>
      </c>
      <c r="B26" t="s">
        <v>623</v>
      </c>
      <c r="C26" t="s">
        <v>3534</v>
      </c>
      <c r="D26">
        <v>11</v>
      </c>
    </row>
    <row r="27" spans="1:4" x14ac:dyDescent="0.25">
      <c r="A27" t="s">
        <v>40</v>
      </c>
      <c r="B27" t="s">
        <v>213</v>
      </c>
      <c r="C27" t="s">
        <v>1930</v>
      </c>
      <c r="D27">
        <v>9</v>
      </c>
    </row>
    <row r="28" spans="1:4" x14ac:dyDescent="0.25">
      <c r="A28" t="s">
        <v>40</v>
      </c>
      <c r="B28" t="s">
        <v>1284</v>
      </c>
      <c r="C28" t="s">
        <v>1931</v>
      </c>
      <c r="D28">
        <v>11</v>
      </c>
    </row>
    <row r="29" spans="1:4" x14ac:dyDescent="0.25">
      <c r="A29" t="s">
        <v>40</v>
      </c>
      <c r="B29" t="s">
        <v>58</v>
      </c>
      <c r="C29" t="s">
        <v>2928</v>
      </c>
      <c r="D29">
        <v>12</v>
      </c>
    </row>
    <row r="30" spans="1:4" x14ac:dyDescent="0.25">
      <c r="A30" t="s">
        <v>40</v>
      </c>
      <c r="B30" t="s">
        <v>95</v>
      </c>
      <c r="C30" t="s">
        <v>3121</v>
      </c>
      <c r="D30">
        <v>10</v>
      </c>
    </row>
    <row r="31" spans="1:4" x14ac:dyDescent="0.25">
      <c r="A31" t="s">
        <v>40</v>
      </c>
      <c r="B31" t="s">
        <v>221</v>
      </c>
      <c r="C31" t="s">
        <v>3196</v>
      </c>
      <c r="D31">
        <v>13</v>
      </c>
    </row>
    <row r="32" spans="1:4" x14ac:dyDescent="0.25">
      <c r="A32" t="s">
        <v>40</v>
      </c>
      <c r="B32" t="s">
        <v>1829</v>
      </c>
      <c r="C32" t="s">
        <v>3865</v>
      </c>
      <c r="D32">
        <v>15</v>
      </c>
    </row>
    <row r="33" spans="1:4" x14ac:dyDescent="0.25">
      <c r="A33" t="s">
        <v>40</v>
      </c>
      <c r="B33" t="s">
        <v>376</v>
      </c>
      <c r="C33" t="s">
        <v>3392</v>
      </c>
      <c r="D33">
        <v>16</v>
      </c>
    </row>
    <row r="34" spans="1:4" x14ac:dyDescent="0.25">
      <c r="A34" t="s">
        <v>40</v>
      </c>
      <c r="B34" t="s">
        <v>747</v>
      </c>
      <c r="C34" t="s">
        <v>3393</v>
      </c>
      <c r="D34">
        <v>14</v>
      </c>
    </row>
    <row r="35" spans="1:4" x14ac:dyDescent="0.25">
      <c r="A35" t="s">
        <v>40</v>
      </c>
      <c r="B35" t="s">
        <v>1335</v>
      </c>
      <c r="C35" t="s">
        <v>2058</v>
      </c>
      <c r="D35">
        <v>17</v>
      </c>
    </row>
    <row r="36" spans="1:4" x14ac:dyDescent="0.25">
      <c r="A36" t="s">
        <v>40</v>
      </c>
      <c r="B36" t="s">
        <v>2453</v>
      </c>
      <c r="C36" t="s">
        <v>2654</v>
      </c>
      <c r="D36">
        <v>14</v>
      </c>
    </row>
    <row r="37" spans="1:4" x14ac:dyDescent="0.25">
      <c r="A37" t="s">
        <v>40</v>
      </c>
      <c r="B37" t="s">
        <v>1048</v>
      </c>
      <c r="C37" t="s">
        <v>3449</v>
      </c>
      <c r="D37">
        <v>15</v>
      </c>
    </row>
    <row r="38" spans="1:4" x14ac:dyDescent="0.25">
      <c r="A38" t="s">
        <v>40</v>
      </c>
      <c r="B38" t="s">
        <v>1048</v>
      </c>
      <c r="C38" t="s">
        <v>2655</v>
      </c>
      <c r="D38">
        <v>16</v>
      </c>
    </row>
    <row r="39" spans="1:4" x14ac:dyDescent="0.25">
      <c r="A39" t="s">
        <v>40</v>
      </c>
      <c r="B39" t="s">
        <v>1402</v>
      </c>
      <c r="C39" t="s">
        <v>2908</v>
      </c>
      <c r="D39">
        <v>14</v>
      </c>
    </row>
    <row r="40" spans="1:4" x14ac:dyDescent="0.25">
      <c r="A40" t="s">
        <v>40</v>
      </c>
      <c r="B40" t="s">
        <v>392</v>
      </c>
      <c r="C40" t="s">
        <v>3866</v>
      </c>
      <c r="D40">
        <v>16</v>
      </c>
    </row>
    <row r="41" spans="1:4" x14ac:dyDescent="0.25">
      <c r="A41" t="s">
        <v>40</v>
      </c>
      <c r="B41" t="s">
        <v>900</v>
      </c>
      <c r="C41" t="s">
        <v>1448</v>
      </c>
      <c r="D41">
        <v>14</v>
      </c>
    </row>
    <row r="42" spans="1:4" x14ac:dyDescent="0.25">
      <c r="A42" t="s">
        <v>40</v>
      </c>
      <c r="B42" t="s">
        <v>902</v>
      </c>
      <c r="C42" t="s">
        <v>3435</v>
      </c>
      <c r="D42">
        <v>13</v>
      </c>
    </row>
    <row r="43" spans="1:4" x14ac:dyDescent="0.25">
      <c r="A43" t="s">
        <v>80</v>
      </c>
      <c r="B43" t="s">
        <v>41</v>
      </c>
      <c r="C43" t="s">
        <v>3737</v>
      </c>
      <c r="D43">
        <v>15</v>
      </c>
    </row>
    <row r="44" spans="1:4" x14ac:dyDescent="0.25">
      <c r="A44" t="s">
        <v>80</v>
      </c>
      <c r="B44" t="s">
        <v>1138</v>
      </c>
      <c r="C44" t="s">
        <v>948</v>
      </c>
      <c r="D44">
        <v>13</v>
      </c>
    </row>
    <row r="45" spans="1:4" x14ac:dyDescent="0.25">
      <c r="A45" t="s">
        <v>80</v>
      </c>
      <c r="B45" t="s">
        <v>1057</v>
      </c>
      <c r="C45" t="s">
        <v>949</v>
      </c>
      <c r="D45">
        <v>11</v>
      </c>
    </row>
    <row r="46" spans="1:4" x14ac:dyDescent="0.25">
      <c r="A46" t="s">
        <v>80</v>
      </c>
      <c r="B46" t="s">
        <v>1057</v>
      </c>
      <c r="C46" t="s">
        <v>3683</v>
      </c>
      <c r="D46">
        <v>10</v>
      </c>
    </row>
    <row r="47" spans="1:4" x14ac:dyDescent="0.25">
      <c r="A47" t="s">
        <v>80</v>
      </c>
      <c r="B47" t="s">
        <v>1267</v>
      </c>
      <c r="C47" t="s">
        <v>1944</v>
      </c>
      <c r="D47">
        <v>11</v>
      </c>
    </row>
    <row r="48" spans="1:4" x14ac:dyDescent="0.25">
      <c r="A48" t="s">
        <v>80</v>
      </c>
      <c r="B48" t="s">
        <v>1010</v>
      </c>
      <c r="C48" t="s">
        <v>1145</v>
      </c>
      <c r="D48">
        <v>9</v>
      </c>
    </row>
    <row r="49" spans="1:4" x14ac:dyDescent="0.25">
      <c r="A49" t="s">
        <v>80</v>
      </c>
      <c r="B49" t="s">
        <v>1246</v>
      </c>
      <c r="C49" t="s">
        <v>2271</v>
      </c>
      <c r="D49">
        <v>11</v>
      </c>
    </row>
    <row r="50" spans="1:4" x14ac:dyDescent="0.25">
      <c r="A50" t="s">
        <v>80</v>
      </c>
      <c r="B50" t="s">
        <v>621</v>
      </c>
      <c r="C50" t="s">
        <v>1677</v>
      </c>
      <c r="D50">
        <v>13</v>
      </c>
    </row>
    <row r="51" spans="1:4" x14ac:dyDescent="0.25">
      <c r="A51" t="s">
        <v>80</v>
      </c>
      <c r="B51" t="s">
        <v>1086</v>
      </c>
      <c r="C51" t="s">
        <v>1678</v>
      </c>
      <c r="D51">
        <v>10</v>
      </c>
    </row>
    <row r="52" spans="1:4" x14ac:dyDescent="0.25">
      <c r="A52" t="s">
        <v>80</v>
      </c>
      <c r="B52" t="s">
        <v>2842</v>
      </c>
      <c r="C52" t="s">
        <v>2365</v>
      </c>
      <c r="D52">
        <v>13</v>
      </c>
    </row>
    <row r="53" spans="1:4" x14ac:dyDescent="0.25">
      <c r="A53" t="s">
        <v>80</v>
      </c>
      <c r="B53" t="s">
        <v>1230</v>
      </c>
      <c r="C53" t="s">
        <v>3867</v>
      </c>
      <c r="D53">
        <v>15</v>
      </c>
    </row>
    <row r="54" spans="1:4" x14ac:dyDescent="0.25">
      <c r="A54" t="s">
        <v>80</v>
      </c>
      <c r="B54" t="s">
        <v>1795</v>
      </c>
      <c r="C54" t="s">
        <v>3868</v>
      </c>
      <c r="D54">
        <v>17</v>
      </c>
    </row>
    <row r="55" spans="1:4" x14ac:dyDescent="0.25">
      <c r="A55" t="s">
        <v>80</v>
      </c>
      <c r="B55" t="s">
        <v>984</v>
      </c>
      <c r="C55" t="s">
        <v>3345</v>
      </c>
      <c r="D55">
        <v>19</v>
      </c>
    </row>
    <row r="56" spans="1:4" x14ac:dyDescent="0.25">
      <c r="A56" t="s">
        <v>80</v>
      </c>
      <c r="B56" t="s">
        <v>702</v>
      </c>
      <c r="C56" t="s">
        <v>962</v>
      </c>
      <c r="D56">
        <v>18</v>
      </c>
    </row>
    <row r="57" spans="1:4" x14ac:dyDescent="0.25">
      <c r="A57" t="s">
        <v>80</v>
      </c>
      <c r="B57" t="s">
        <v>702</v>
      </c>
      <c r="C57" t="s">
        <v>2788</v>
      </c>
      <c r="D57">
        <v>17</v>
      </c>
    </row>
    <row r="58" spans="1:4" x14ac:dyDescent="0.25">
      <c r="A58" t="s">
        <v>80</v>
      </c>
      <c r="B58" t="s">
        <v>544</v>
      </c>
      <c r="C58" t="s">
        <v>3869</v>
      </c>
      <c r="D58">
        <v>19</v>
      </c>
    </row>
    <row r="59" spans="1:4" x14ac:dyDescent="0.25">
      <c r="A59" t="s">
        <v>80</v>
      </c>
      <c r="B59" t="s">
        <v>1739</v>
      </c>
      <c r="C59" t="s">
        <v>2985</v>
      </c>
      <c r="D59">
        <v>16</v>
      </c>
    </row>
    <row r="60" spans="1:4" x14ac:dyDescent="0.25">
      <c r="A60" t="s">
        <v>80</v>
      </c>
      <c r="B60" t="s">
        <v>267</v>
      </c>
      <c r="C60" t="s">
        <v>967</v>
      </c>
      <c r="D60">
        <v>18</v>
      </c>
    </row>
    <row r="61" spans="1:4" x14ac:dyDescent="0.25">
      <c r="A61" t="s">
        <v>80</v>
      </c>
      <c r="B61" t="s">
        <v>2390</v>
      </c>
      <c r="C61" t="s">
        <v>2371</v>
      </c>
      <c r="D61">
        <v>21</v>
      </c>
    </row>
    <row r="62" spans="1:4" x14ac:dyDescent="0.25">
      <c r="A62" t="s">
        <v>80</v>
      </c>
      <c r="B62" t="s">
        <v>554</v>
      </c>
      <c r="C62" t="s">
        <v>3179</v>
      </c>
      <c r="D62">
        <v>23</v>
      </c>
    </row>
    <row r="63" spans="1:4" x14ac:dyDescent="0.25">
      <c r="A63" t="s">
        <v>80</v>
      </c>
      <c r="B63" t="s">
        <v>556</v>
      </c>
      <c r="C63" t="s">
        <v>3870</v>
      </c>
      <c r="D63">
        <v>21</v>
      </c>
    </row>
    <row r="64" spans="1:4" x14ac:dyDescent="0.25">
      <c r="A64" t="s">
        <v>80</v>
      </c>
      <c r="B64" t="s">
        <v>681</v>
      </c>
      <c r="C64" t="s">
        <v>2084</v>
      </c>
      <c r="D64">
        <v>24</v>
      </c>
    </row>
    <row r="65" spans="1:4" x14ac:dyDescent="0.25">
      <c r="A65" t="s">
        <v>123</v>
      </c>
      <c r="B65" t="s">
        <v>1789</v>
      </c>
      <c r="C65" t="s">
        <v>2835</v>
      </c>
      <c r="D65">
        <v>27</v>
      </c>
    </row>
    <row r="66" spans="1:4" x14ac:dyDescent="0.25">
      <c r="A66" t="s">
        <v>123</v>
      </c>
      <c r="B66" t="s">
        <v>1118</v>
      </c>
      <c r="C66" t="s">
        <v>2836</v>
      </c>
      <c r="D66">
        <v>26</v>
      </c>
    </row>
    <row r="67" spans="1:4" x14ac:dyDescent="0.25">
      <c r="A67" t="s">
        <v>123</v>
      </c>
      <c r="B67" t="s">
        <v>1118</v>
      </c>
      <c r="C67" t="s">
        <v>3752</v>
      </c>
      <c r="D67">
        <v>25</v>
      </c>
    </row>
    <row r="68" spans="1:4" x14ac:dyDescent="0.25">
      <c r="A68" t="s">
        <v>123</v>
      </c>
      <c r="B68" t="s">
        <v>590</v>
      </c>
      <c r="C68" t="s">
        <v>2088</v>
      </c>
      <c r="D68">
        <v>24</v>
      </c>
    </row>
    <row r="69" spans="1:4" x14ac:dyDescent="0.25">
      <c r="A69" t="s">
        <v>123</v>
      </c>
      <c r="B69" t="s">
        <v>572</v>
      </c>
      <c r="C69" t="s">
        <v>3871</v>
      </c>
      <c r="D69">
        <v>25</v>
      </c>
    </row>
    <row r="70" spans="1:4" x14ac:dyDescent="0.25">
      <c r="A70" t="s">
        <v>123</v>
      </c>
      <c r="B70" t="s">
        <v>572</v>
      </c>
      <c r="C70" t="s">
        <v>3872</v>
      </c>
      <c r="D70">
        <v>26</v>
      </c>
    </row>
    <row r="71" spans="1:4" x14ac:dyDescent="0.25">
      <c r="A71" t="s">
        <v>123</v>
      </c>
      <c r="B71" t="s">
        <v>335</v>
      </c>
      <c r="C71" t="s">
        <v>3141</v>
      </c>
      <c r="D71">
        <v>25</v>
      </c>
    </row>
    <row r="72" spans="1:4" x14ac:dyDescent="0.25">
      <c r="A72" t="s">
        <v>123</v>
      </c>
      <c r="B72" t="s">
        <v>335</v>
      </c>
      <c r="C72" t="s">
        <v>3873</v>
      </c>
      <c r="D72">
        <v>24</v>
      </c>
    </row>
    <row r="73" spans="1:4" x14ac:dyDescent="0.25">
      <c r="A73" t="s">
        <v>123</v>
      </c>
      <c r="B73" t="s">
        <v>15</v>
      </c>
      <c r="C73" t="s">
        <v>1415</v>
      </c>
      <c r="D73">
        <v>27</v>
      </c>
    </row>
    <row r="74" spans="1:4" x14ac:dyDescent="0.25">
      <c r="A74" t="s">
        <v>123</v>
      </c>
      <c r="B74" t="s">
        <v>1724</v>
      </c>
      <c r="C74" t="s">
        <v>3874</v>
      </c>
      <c r="D74">
        <v>25</v>
      </c>
    </row>
    <row r="75" spans="1:4" x14ac:dyDescent="0.25">
      <c r="A75" t="s">
        <v>123</v>
      </c>
      <c r="B75" t="s">
        <v>99</v>
      </c>
      <c r="C75" t="s">
        <v>2027</v>
      </c>
      <c r="D75">
        <v>28</v>
      </c>
    </row>
    <row r="76" spans="1:4" x14ac:dyDescent="0.25">
      <c r="A76" t="s">
        <v>123</v>
      </c>
      <c r="B76" t="s">
        <v>1695</v>
      </c>
      <c r="C76" t="s">
        <v>2028</v>
      </c>
      <c r="D76">
        <v>30</v>
      </c>
    </row>
    <row r="77" spans="1:4" x14ac:dyDescent="0.25">
      <c r="A77" t="s">
        <v>123</v>
      </c>
      <c r="B77" t="s">
        <v>337</v>
      </c>
      <c r="C77" t="s">
        <v>2029</v>
      </c>
      <c r="D77">
        <v>27</v>
      </c>
    </row>
    <row r="78" spans="1:4" x14ac:dyDescent="0.25">
      <c r="A78" t="s">
        <v>123</v>
      </c>
      <c r="B78" t="s">
        <v>1073</v>
      </c>
      <c r="C78" t="s">
        <v>3258</v>
      </c>
      <c r="D78">
        <v>29</v>
      </c>
    </row>
    <row r="79" spans="1:4" x14ac:dyDescent="0.25">
      <c r="A79" t="s">
        <v>123</v>
      </c>
      <c r="B79" t="s">
        <v>1073</v>
      </c>
      <c r="C79" t="s">
        <v>3875</v>
      </c>
      <c r="D79">
        <v>30</v>
      </c>
    </row>
    <row r="80" spans="1:4" x14ac:dyDescent="0.25">
      <c r="A80" t="s">
        <v>123</v>
      </c>
      <c r="B80" t="s">
        <v>706</v>
      </c>
      <c r="C80" t="s">
        <v>3417</v>
      </c>
      <c r="D80">
        <v>28</v>
      </c>
    </row>
    <row r="81" spans="1:4" x14ac:dyDescent="0.25">
      <c r="A81" t="s">
        <v>123</v>
      </c>
      <c r="B81" t="s">
        <v>290</v>
      </c>
      <c r="C81" t="s">
        <v>3418</v>
      </c>
      <c r="D81">
        <v>30</v>
      </c>
    </row>
    <row r="82" spans="1:4" x14ac:dyDescent="0.25">
      <c r="A82" t="s">
        <v>123</v>
      </c>
      <c r="B82" t="s">
        <v>671</v>
      </c>
      <c r="C82" t="s">
        <v>3876</v>
      </c>
      <c r="D82">
        <v>27</v>
      </c>
    </row>
    <row r="83" spans="1:4" x14ac:dyDescent="0.25">
      <c r="A83" t="s">
        <v>123</v>
      </c>
      <c r="B83" t="s">
        <v>1076</v>
      </c>
      <c r="C83" t="s">
        <v>2036</v>
      </c>
      <c r="D83">
        <v>28</v>
      </c>
    </row>
    <row r="84" spans="1:4" x14ac:dyDescent="0.25">
      <c r="A84" t="s">
        <v>123</v>
      </c>
      <c r="B84" t="s">
        <v>815</v>
      </c>
      <c r="C84" t="s">
        <v>3877</v>
      </c>
      <c r="D84">
        <v>27</v>
      </c>
    </row>
    <row r="85" spans="1:4" x14ac:dyDescent="0.25">
      <c r="A85" t="s">
        <v>123</v>
      </c>
      <c r="B85" t="s">
        <v>815</v>
      </c>
      <c r="C85" t="s">
        <v>3262</v>
      </c>
      <c r="D85">
        <v>26</v>
      </c>
    </row>
    <row r="86" spans="1:4" x14ac:dyDescent="0.25">
      <c r="A86" t="s">
        <v>123</v>
      </c>
      <c r="B86" t="s">
        <v>612</v>
      </c>
      <c r="C86" t="s">
        <v>1427</v>
      </c>
      <c r="D86">
        <v>29</v>
      </c>
    </row>
    <row r="87" spans="1:4" x14ac:dyDescent="0.25">
      <c r="A87" t="s">
        <v>123</v>
      </c>
      <c r="B87" t="s">
        <v>505</v>
      </c>
      <c r="C87" t="s">
        <v>3878</v>
      </c>
      <c r="D87">
        <v>27</v>
      </c>
    </row>
    <row r="88" spans="1:4" x14ac:dyDescent="0.25">
      <c r="A88" t="s">
        <v>123</v>
      </c>
      <c r="B88" t="s">
        <v>296</v>
      </c>
      <c r="C88" t="s">
        <v>2040</v>
      </c>
      <c r="D88">
        <v>29</v>
      </c>
    </row>
    <row r="89" spans="1:4" x14ac:dyDescent="0.25">
      <c r="A89" t="s">
        <v>123</v>
      </c>
      <c r="B89" t="s">
        <v>1845</v>
      </c>
      <c r="C89" t="s">
        <v>3879</v>
      </c>
      <c r="D89">
        <v>31</v>
      </c>
    </row>
    <row r="91" spans="1:4" x14ac:dyDescent="0.25">
      <c r="A91" s="2" t="s">
        <v>157</v>
      </c>
    </row>
    <row r="92" spans="1:4" x14ac:dyDescent="0.25">
      <c r="A92" t="s">
        <v>158</v>
      </c>
      <c r="D92">
        <f>AVERAGE(D2:D89)</f>
        <v>16.193181818181817</v>
      </c>
    </row>
    <row r="93" spans="1:4" x14ac:dyDescent="0.25">
      <c r="A93" t="s">
        <v>159</v>
      </c>
      <c r="D93">
        <f>MAX(D2:D89)</f>
        <v>31</v>
      </c>
    </row>
    <row r="94" spans="1:4" x14ac:dyDescent="0.25">
      <c r="A94" t="s">
        <v>160</v>
      </c>
      <c r="D94">
        <f>MIN(D2:D89)</f>
        <v>3</v>
      </c>
    </row>
    <row r="95" spans="1:4" x14ac:dyDescent="0.25">
      <c r="A95" t="s">
        <v>161</v>
      </c>
      <c r="D95">
        <f>COUNTIF(D2:D89,"&gt;0")</f>
        <v>88</v>
      </c>
    </row>
    <row r="96" spans="1:4" x14ac:dyDescent="0.25">
      <c r="A96" t="s">
        <v>162</v>
      </c>
      <c r="D96">
        <f>COUNTIF(D2:D89,"=0")</f>
        <v>0</v>
      </c>
    </row>
    <row r="97" spans="1:4" x14ac:dyDescent="0.25">
      <c r="A97" t="s">
        <v>1570</v>
      </c>
      <c r="D97">
        <f>COUNTIF(D2:D89,"&lt;0")</f>
        <v>0</v>
      </c>
    </row>
    <row r="99" spans="1:4" x14ac:dyDescent="0.25">
      <c r="A99" s="2" t="s">
        <v>164</v>
      </c>
    </row>
    <row r="100" spans="1:4" x14ac:dyDescent="0.25">
      <c r="A100" t="s">
        <v>165</v>
      </c>
      <c r="D100">
        <f>AVERAGE(D2,D3,D4,D5,D6,D7,D8,D9,D10,D11,D12,D13,D14,D15,D16,D17,D18,D19,D20,D21)</f>
        <v>6.65</v>
      </c>
    </row>
    <row r="101" spans="1:4" x14ac:dyDescent="0.25">
      <c r="A101" t="s">
        <v>166</v>
      </c>
      <c r="D101">
        <f>AVERAGE(D22,D23,D24,D25,D26,D27,D28,D29,D30,D31,D32,D33,D34,D35,D36,D37,D38,D39,D40,D41,D42)</f>
        <v>12.761904761904763</v>
      </c>
    </row>
    <row r="102" spans="1:4" x14ac:dyDescent="0.25">
      <c r="A102" t="s">
        <v>167</v>
      </c>
      <c r="D102">
        <f>AVERAGE(D43,D44,D45,D46,D47,D48,D49,D50,D51,D52,D53,D54,D55,D56,D57,D58,D59,D60,D61,D62,D63,D64)</f>
        <v>15.636363636363637</v>
      </c>
    </row>
    <row r="103" spans="1:4" x14ac:dyDescent="0.25">
      <c r="A103" t="s">
        <v>168</v>
      </c>
      <c r="D103">
        <f>AVERAGE(D65,D66,D67,D68,D69,D70,D71,D72,D73,D74,D75,D76,D77,D78,D79,D80,D81,D82,D83,D84,D85,D86,D87,D88,D89)</f>
        <v>27.2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0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273</v>
      </c>
      <c r="C2" t="s">
        <v>908</v>
      </c>
      <c r="D2">
        <v>-2</v>
      </c>
    </row>
    <row r="3" spans="1:4" x14ac:dyDescent="0.25">
      <c r="A3" t="s">
        <v>4</v>
      </c>
      <c r="B3" t="s">
        <v>1824</v>
      </c>
      <c r="C3" t="s">
        <v>174</v>
      </c>
      <c r="D3">
        <v>1</v>
      </c>
    </row>
    <row r="4" spans="1:4" x14ac:dyDescent="0.25">
      <c r="A4" t="s">
        <v>4</v>
      </c>
      <c r="B4" t="s">
        <v>1683</v>
      </c>
      <c r="C4" t="s">
        <v>1347</v>
      </c>
      <c r="D4">
        <v>3</v>
      </c>
    </row>
    <row r="5" spans="1:4" x14ac:dyDescent="0.25">
      <c r="A5" t="s">
        <v>4</v>
      </c>
      <c r="B5" t="s">
        <v>2431</v>
      </c>
      <c r="C5" t="s">
        <v>429</v>
      </c>
      <c r="D5">
        <v>2</v>
      </c>
    </row>
    <row r="6" spans="1:4" x14ac:dyDescent="0.25">
      <c r="A6" t="s">
        <v>4</v>
      </c>
      <c r="B6" t="s">
        <v>2431</v>
      </c>
      <c r="C6" t="s">
        <v>1106</v>
      </c>
      <c r="D6">
        <v>1</v>
      </c>
    </row>
    <row r="7" spans="1:4" x14ac:dyDescent="0.25">
      <c r="A7" t="s">
        <v>4</v>
      </c>
      <c r="B7" t="s">
        <v>1776</v>
      </c>
      <c r="C7" t="s">
        <v>1107</v>
      </c>
      <c r="D7">
        <v>-1</v>
      </c>
    </row>
    <row r="8" spans="1:4" x14ac:dyDescent="0.25">
      <c r="A8" t="s">
        <v>4</v>
      </c>
      <c r="B8" t="s">
        <v>1228</v>
      </c>
      <c r="C8" t="s">
        <v>1574</v>
      </c>
      <c r="D8">
        <v>2</v>
      </c>
    </row>
    <row r="9" spans="1:4" x14ac:dyDescent="0.25">
      <c r="A9" t="s">
        <v>4</v>
      </c>
      <c r="B9" t="s">
        <v>1795</v>
      </c>
      <c r="C9" t="s">
        <v>185</v>
      </c>
      <c r="D9">
        <v>4</v>
      </c>
    </row>
    <row r="10" spans="1:4" x14ac:dyDescent="0.25">
      <c r="A10" t="s">
        <v>4</v>
      </c>
      <c r="B10" t="s">
        <v>1503</v>
      </c>
      <c r="C10" t="s">
        <v>1351</v>
      </c>
      <c r="D10">
        <v>3</v>
      </c>
    </row>
    <row r="11" spans="1:4" x14ac:dyDescent="0.25">
      <c r="A11" t="s">
        <v>4</v>
      </c>
      <c r="B11" t="s">
        <v>1503</v>
      </c>
      <c r="C11" t="s">
        <v>22</v>
      </c>
      <c r="D11">
        <v>2</v>
      </c>
    </row>
    <row r="12" spans="1:4" x14ac:dyDescent="0.25">
      <c r="A12" t="s">
        <v>4</v>
      </c>
      <c r="B12" t="s">
        <v>1073</v>
      </c>
      <c r="C12" t="s">
        <v>2202</v>
      </c>
      <c r="D12">
        <v>-1</v>
      </c>
    </row>
    <row r="13" spans="1:4" x14ac:dyDescent="0.25">
      <c r="A13" t="s">
        <v>4</v>
      </c>
      <c r="B13" t="s">
        <v>1376</v>
      </c>
      <c r="C13" t="s">
        <v>574</v>
      </c>
      <c r="D13">
        <v>0</v>
      </c>
    </row>
    <row r="14" spans="1:4" x14ac:dyDescent="0.25">
      <c r="A14" t="s">
        <v>4</v>
      </c>
      <c r="B14" t="s">
        <v>529</v>
      </c>
      <c r="C14" t="s">
        <v>1818</v>
      </c>
      <c r="D14">
        <v>2</v>
      </c>
    </row>
    <row r="15" spans="1:4" x14ac:dyDescent="0.25">
      <c r="A15" t="s">
        <v>4</v>
      </c>
      <c r="B15" t="s">
        <v>529</v>
      </c>
      <c r="C15" t="s">
        <v>3025</v>
      </c>
      <c r="D15">
        <v>3</v>
      </c>
    </row>
    <row r="16" spans="1:4" x14ac:dyDescent="0.25">
      <c r="A16" t="s">
        <v>4</v>
      </c>
      <c r="B16" t="s">
        <v>1988</v>
      </c>
      <c r="C16" t="s">
        <v>32</v>
      </c>
      <c r="D16">
        <v>1</v>
      </c>
    </row>
    <row r="17" spans="1:4" x14ac:dyDescent="0.25">
      <c r="A17" t="s">
        <v>4</v>
      </c>
      <c r="B17" t="s">
        <v>556</v>
      </c>
      <c r="C17" t="s">
        <v>2298</v>
      </c>
      <c r="D17">
        <v>-2</v>
      </c>
    </row>
    <row r="18" spans="1:4" x14ac:dyDescent="0.25">
      <c r="A18" t="s">
        <v>40</v>
      </c>
      <c r="B18" t="s">
        <v>1022</v>
      </c>
      <c r="C18" t="s">
        <v>1706</v>
      </c>
      <c r="D18">
        <v>-5</v>
      </c>
    </row>
    <row r="19" spans="1:4" x14ac:dyDescent="0.25">
      <c r="A19" t="s">
        <v>40</v>
      </c>
      <c r="B19" t="s">
        <v>205</v>
      </c>
      <c r="C19" t="s">
        <v>2157</v>
      </c>
      <c r="D19">
        <v>-3</v>
      </c>
    </row>
    <row r="20" spans="1:4" x14ac:dyDescent="0.25">
      <c r="A20" t="s">
        <v>40</v>
      </c>
      <c r="B20" t="s">
        <v>47</v>
      </c>
      <c r="C20" t="s">
        <v>1708</v>
      </c>
      <c r="D20">
        <v>-6</v>
      </c>
    </row>
    <row r="21" spans="1:4" x14ac:dyDescent="0.25">
      <c r="A21" t="s">
        <v>40</v>
      </c>
      <c r="B21" t="s">
        <v>1190</v>
      </c>
      <c r="C21" t="s">
        <v>2327</v>
      </c>
      <c r="D21">
        <v>-4</v>
      </c>
    </row>
    <row r="22" spans="1:4" x14ac:dyDescent="0.25">
      <c r="A22" t="s">
        <v>40</v>
      </c>
      <c r="B22" t="s">
        <v>1851</v>
      </c>
      <c r="C22" t="s">
        <v>2404</v>
      </c>
      <c r="D22">
        <v>-6</v>
      </c>
    </row>
    <row r="23" spans="1:4" x14ac:dyDescent="0.25">
      <c r="A23" t="s">
        <v>40</v>
      </c>
      <c r="B23" t="s">
        <v>332</v>
      </c>
      <c r="C23" t="s">
        <v>3880</v>
      </c>
      <c r="D23">
        <v>-7</v>
      </c>
    </row>
    <row r="24" spans="1:4" x14ac:dyDescent="0.25">
      <c r="A24" t="s">
        <v>40</v>
      </c>
      <c r="B24" t="s">
        <v>460</v>
      </c>
      <c r="C24" t="s">
        <v>2406</v>
      </c>
      <c r="D24">
        <v>-9</v>
      </c>
    </row>
    <row r="25" spans="1:4" x14ac:dyDescent="0.25">
      <c r="A25" t="s">
        <v>40</v>
      </c>
      <c r="B25" t="s">
        <v>408</v>
      </c>
      <c r="C25" t="s">
        <v>3881</v>
      </c>
      <c r="D25">
        <v>-11</v>
      </c>
    </row>
    <row r="26" spans="1:4" x14ac:dyDescent="0.25">
      <c r="A26" t="s">
        <v>40</v>
      </c>
      <c r="B26" t="s">
        <v>408</v>
      </c>
      <c r="C26" t="s">
        <v>2407</v>
      </c>
      <c r="D26">
        <v>-12</v>
      </c>
    </row>
    <row r="27" spans="1:4" x14ac:dyDescent="0.25">
      <c r="A27" t="s">
        <v>40</v>
      </c>
      <c r="B27" t="s">
        <v>1170</v>
      </c>
      <c r="C27" t="s">
        <v>3882</v>
      </c>
      <c r="D27">
        <v>-15</v>
      </c>
    </row>
    <row r="28" spans="1:4" x14ac:dyDescent="0.25">
      <c r="A28" t="s">
        <v>40</v>
      </c>
      <c r="B28" t="s">
        <v>374</v>
      </c>
      <c r="C28" t="s">
        <v>3883</v>
      </c>
      <c r="D28">
        <v>-13</v>
      </c>
    </row>
    <row r="29" spans="1:4" x14ac:dyDescent="0.25">
      <c r="A29" t="s">
        <v>40</v>
      </c>
      <c r="B29" t="s">
        <v>67</v>
      </c>
      <c r="C29" t="s">
        <v>3884</v>
      </c>
      <c r="D29">
        <v>-11</v>
      </c>
    </row>
    <row r="30" spans="1:4" x14ac:dyDescent="0.25">
      <c r="A30" t="s">
        <v>40</v>
      </c>
      <c r="B30" t="s">
        <v>704</v>
      </c>
      <c r="C30" t="s">
        <v>3885</v>
      </c>
      <c r="D30">
        <v>-10</v>
      </c>
    </row>
    <row r="31" spans="1:4" x14ac:dyDescent="0.25">
      <c r="A31" t="s">
        <v>40</v>
      </c>
      <c r="B31" t="s">
        <v>704</v>
      </c>
      <c r="C31" t="s">
        <v>3886</v>
      </c>
      <c r="D31">
        <v>-9</v>
      </c>
    </row>
    <row r="32" spans="1:4" x14ac:dyDescent="0.25">
      <c r="A32" t="s">
        <v>40</v>
      </c>
      <c r="B32" t="s">
        <v>475</v>
      </c>
      <c r="C32" t="s">
        <v>3887</v>
      </c>
      <c r="D32">
        <v>-11</v>
      </c>
    </row>
    <row r="33" spans="1:4" x14ac:dyDescent="0.25">
      <c r="A33" t="s">
        <v>40</v>
      </c>
      <c r="B33" t="s">
        <v>1132</v>
      </c>
      <c r="C33" t="s">
        <v>3888</v>
      </c>
      <c r="D33">
        <v>-10</v>
      </c>
    </row>
    <row r="34" spans="1:4" x14ac:dyDescent="0.25">
      <c r="A34" t="s">
        <v>40</v>
      </c>
      <c r="B34" t="s">
        <v>152</v>
      </c>
      <c r="C34" t="s">
        <v>3889</v>
      </c>
      <c r="D34">
        <v>-12</v>
      </c>
    </row>
    <row r="35" spans="1:4" x14ac:dyDescent="0.25">
      <c r="A35" t="s">
        <v>40</v>
      </c>
      <c r="B35" t="s">
        <v>394</v>
      </c>
      <c r="C35" t="s">
        <v>3890</v>
      </c>
      <c r="D35">
        <v>-11</v>
      </c>
    </row>
    <row r="36" spans="1:4" x14ac:dyDescent="0.25">
      <c r="A36" t="s">
        <v>40</v>
      </c>
      <c r="B36" t="s">
        <v>394</v>
      </c>
      <c r="C36" t="s">
        <v>3625</v>
      </c>
      <c r="D36">
        <v>-10</v>
      </c>
    </row>
    <row r="37" spans="1:4" x14ac:dyDescent="0.25">
      <c r="A37" t="s">
        <v>40</v>
      </c>
      <c r="B37" t="s">
        <v>1627</v>
      </c>
      <c r="C37" t="s">
        <v>3891</v>
      </c>
      <c r="D37">
        <v>-12</v>
      </c>
    </row>
    <row r="38" spans="1:4" x14ac:dyDescent="0.25">
      <c r="A38" t="s">
        <v>80</v>
      </c>
      <c r="B38" t="s">
        <v>819</v>
      </c>
      <c r="C38" t="s">
        <v>3892</v>
      </c>
      <c r="D38">
        <v>-15</v>
      </c>
    </row>
    <row r="39" spans="1:4" x14ac:dyDescent="0.25">
      <c r="A39" t="s">
        <v>80</v>
      </c>
      <c r="B39" t="s">
        <v>1543</v>
      </c>
      <c r="C39" t="s">
        <v>3893</v>
      </c>
      <c r="D39">
        <v>-17</v>
      </c>
    </row>
    <row r="40" spans="1:4" x14ac:dyDescent="0.25">
      <c r="A40" t="s">
        <v>80</v>
      </c>
      <c r="B40" t="s">
        <v>1543</v>
      </c>
      <c r="C40" t="s">
        <v>3894</v>
      </c>
      <c r="D40">
        <v>-18</v>
      </c>
    </row>
    <row r="41" spans="1:4" x14ac:dyDescent="0.25">
      <c r="A41" t="s">
        <v>80</v>
      </c>
      <c r="B41" t="s">
        <v>778</v>
      </c>
      <c r="C41" t="s">
        <v>3895</v>
      </c>
      <c r="D41">
        <v>-20</v>
      </c>
    </row>
    <row r="42" spans="1:4" x14ac:dyDescent="0.25">
      <c r="A42" t="s">
        <v>80</v>
      </c>
      <c r="B42" t="s">
        <v>1824</v>
      </c>
      <c r="C42" t="s">
        <v>3896</v>
      </c>
      <c r="D42">
        <v>-21</v>
      </c>
    </row>
    <row r="43" spans="1:4" x14ac:dyDescent="0.25">
      <c r="A43" t="s">
        <v>80</v>
      </c>
      <c r="B43" t="s">
        <v>1824</v>
      </c>
      <c r="C43" t="s">
        <v>3897</v>
      </c>
      <c r="D43">
        <v>-22</v>
      </c>
    </row>
    <row r="44" spans="1:4" x14ac:dyDescent="0.25">
      <c r="A44" t="s">
        <v>80</v>
      </c>
      <c r="B44" t="s">
        <v>514</v>
      </c>
      <c r="C44" t="s">
        <v>3898</v>
      </c>
      <c r="D44">
        <v>-23</v>
      </c>
    </row>
    <row r="45" spans="1:4" x14ac:dyDescent="0.25">
      <c r="A45" t="s">
        <v>80</v>
      </c>
      <c r="B45" t="s">
        <v>1011</v>
      </c>
      <c r="C45" t="s">
        <v>3899</v>
      </c>
      <c r="D45">
        <v>-21</v>
      </c>
    </row>
    <row r="46" spans="1:4" x14ac:dyDescent="0.25">
      <c r="A46" t="s">
        <v>80</v>
      </c>
      <c r="B46" t="s">
        <v>1011</v>
      </c>
      <c r="C46" t="s">
        <v>3900</v>
      </c>
      <c r="D46">
        <v>-20</v>
      </c>
    </row>
    <row r="47" spans="1:4" x14ac:dyDescent="0.25">
      <c r="A47" t="s">
        <v>80</v>
      </c>
      <c r="B47" t="s">
        <v>364</v>
      </c>
      <c r="C47" t="s">
        <v>3901</v>
      </c>
      <c r="D47">
        <v>-18</v>
      </c>
    </row>
    <row r="48" spans="1:4" x14ac:dyDescent="0.25">
      <c r="A48" t="s">
        <v>80</v>
      </c>
      <c r="B48" t="s">
        <v>1795</v>
      </c>
      <c r="C48" t="s">
        <v>3902</v>
      </c>
      <c r="D48">
        <v>-16</v>
      </c>
    </row>
    <row r="49" spans="1:4" x14ac:dyDescent="0.25">
      <c r="A49" t="s">
        <v>80</v>
      </c>
      <c r="B49" t="s">
        <v>2629</v>
      </c>
      <c r="C49" t="s">
        <v>3903</v>
      </c>
      <c r="D49">
        <v>-18</v>
      </c>
    </row>
    <row r="50" spans="1:4" x14ac:dyDescent="0.25">
      <c r="A50" t="s">
        <v>80</v>
      </c>
      <c r="B50" t="s">
        <v>2629</v>
      </c>
      <c r="C50" t="s">
        <v>3904</v>
      </c>
      <c r="D50">
        <v>-19</v>
      </c>
    </row>
    <row r="51" spans="1:4" x14ac:dyDescent="0.25">
      <c r="A51" t="s">
        <v>80</v>
      </c>
      <c r="B51" t="s">
        <v>701</v>
      </c>
      <c r="C51" t="s">
        <v>3905</v>
      </c>
      <c r="D51">
        <v>-18</v>
      </c>
    </row>
    <row r="52" spans="1:4" x14ac:dyDescent="0.25">
      <c r="A52" t="s">
        <v>80</v>
      </c>
      <c r="B52" t="s">
        <v>701</v>
      </c>
      <c r="C52" t="s">
        <v>3906</v>
      </c>
      <c r="D52">
        <v>-17</v>
      </c>
    </row>
    <row r="53" spans="1:4" x14ac:dyDescent="0.25">
      <c r="A53" t="s">
        <v>80</v>
      </c>
      <c r="B53" t="s">
        <v>142</v>
      </c>
      <c r="C53" t="s">
        <v>3907</v>
      </c>
      <c r="D53">
        <v>-19</v>
      </c>
    </row>
    <row r="54" spans="1:4" x14ac:dyDescent="0.25">
      <c r="A54" t="s">
        <v>80</v>
      </c>
      <c r="B54" t="s">
        <v>440</v>
      </c>
      <c r="C54" t="s">
        <v>3908</v>
      </c>
      <c r="D54">
        <v>-16</v>
      </c>
    </row>
    <row r="55" spans="1:4" x14ac:dyDescent="0.25">
      <c r="A55" t="s">
        <v>80</v>
      </c>
      <c r="B55" t="s">
        <v>472</v>
      </c>
      <c r="C55" t="s">
        <v>3909</v>
      </c>
      <c r="D55">
        <v>-17</v>
      </c>
    </row>
    <row r="56" spans="1:4" x14ac:dyDescent="0.25">
      <c r="A56" t="s">
        <v>80</v>
      </c>
      <c r="B56" t="s">
        <v>472</v>
      </c>
      <c r="C56" t="s">
        <v>3910</v>
      </c>
      <c r="D56">
        <v>-18</v>
      </c>
    </row>
    <row r="57" spans="1:4" x14ac:dyDescent="0.25">
      <c r="A57" t="s">
        <v>80</v>
      </c>
      <c r="B57" t="s">
        <v>813</v>
      </c>
      <c r="C57" t="s">
        <v>3911</v>
      </c>
      <c r="D57">
        <v>-17</v>
      </c>
    </row>
    <row r="58" spans="1:4" x14ac:dyDescent="0.25">
      <c r="A58" t="s">
        <v>80</v>
      </c>
      <c r="B58" t="s">
        <v>813</v>
      </c>
      <c r="C58" t="s">
        <v>3912</v>
      </c>
      <c r="D58">
        <v>-16</v>
      </c>
    </row>
    <row r="59" spans="1:4" x14ac:dyDescent="0.25">
      <c r="A59" t="s">
        <v>80</v>
      </c>
      <c r="B59" t="s">
        <v>1180</v>
      </c>
      <c r="C59" t="s">
        <v>3913</v>
      </c>
      <c r="D59">
        <v>-18</v>
      </c>
    </row>
    <row r="60" spans="1:4" x14ac:dyDescent="0.25">
      <c r="A60" t="s">
        <v>80</v>
      </c>
      <c r="B60" t="s">
        <v>1990</v>
      </c>
      <c r="C60" t="s">
        <v>3914</v>
      </c>
      <c r="D60">
        <v>-17</v>
      </c>
    </row>
    <row r="61" spans="1:4" x14ac:dyDescent="0.25">
      <c r="A61" t="s">
        <v>80</v>
      </c>
      <c r="B61" t="s">
        <v>1990</v>
      </c>
      <c r="C61" t="s">
        <v>3915</v>
      </c>
      <c r="D61">
        <v>-16</v>
      </c>
    </row>
    <row r="62" spans="1:4" x14ac:dyDescent="0.25">
      <c r="A62" t="s">
        <v>80</v>
      </c>
      <c r="B62" t="s">
        <v>559</v>
      </c>
      <c r="C62" t="s">
        <v>3916</v>
      </c>
      <c r="D62">
        <v>-18</v>
      </c>
    </row>
    <row r="63" spans="1:4" x14ac:dyDescent="0.25">
      <c r="A63" t="s">
        <v>123</v>
      </c>
      <c r="B63" t="s">
        <v>1787</v>
      </c>
      <c r="C63" t="s">
        <v>3917</v>
      </c>
      <c r="D63">
        <v>-16</v>
      </c>
    </row>
    <row r="64" spans="1:4" x14ac:dyDescent="0.25">
      <c r="A64" t="s">
        <v>123</v>
      </c>
      <c r="B64" t="s">
        <v>1787</v>
      </c>
      <c r="C64" t="s">
        <v>3918</v>
      </c>
      <c r="D64">
        <v>-15</v>
      </c>
    </row>
    <row r="65" spans="1:4" x14ac:dyDescent="0.25">
      <c r="A65" t="s">
        <v>123</v>
      </c>
      <c r="B65" t="s">
        <v>5</v>
      </c>
      <c r="C65" t="s">
        <v>3919</v>
      </c>
      <c r="D65">
        <v>-17</v>
      </c>
    </row>
    <row r="66" spans="1:4" x14ac:dyDescent="0.25">
      <c r="A66" t="s">
        <v>123</v>
      </c>
      <c r="B66" t="s">
        <v>1680</v>
      </c>
      <c r="C66" t="s">
        <v>3920</v>
      </c>
      <c r="D66">
        <v>-15</v>
      </c>
    </row>
    <row r="67" spans="1:4" x14ac:dyDescent="0.25">
      <c r="A67" t="s">
        <v>123</v>
      </c>
      <c r="B67" t="s">
        <v>427</v>
      </c>
      <c r="C67" t="s">
        <v>1904</v>
      </c>
      <c r="D67">
        <v>-18</v>
      </c>
    </row>
    <row r="68" spans="1:4" x14ac:dyDescent="0.25">
      <c r="A68" t="s">
        <v>123</v>
      </c>
      <c r="B68" t="s">
        <v>1321</v>
      </c>
      <c r="C68" t="s">
        <v>3921</v>
      </c>
      <c r="D68">
        <v>-15</v>
      </c>
    </row>
    <row r="69" spans="1:4" x14ac:dyDescent="0.25">
      <c r="A69" t="s">
        <v>123</v>
      </c>
      <c r="B69" t="s">
        <v>400</v>
      </c>
      <c r="C69" t="s">
        <v>3922</v>
      </c>
      <c r="D69">
        <v>-16</v>
      </c>
    </row>
    <row r="70" spans="1:4" x14ac:dyDescent="0.25">
      <c r="A70" t="s">
        <v>123</v>
      </c>
      <c r="B70" t="s">
        <v>400</v>
      </c>
      <c r="C70" t="s">
        <v>3923</v>
      </c>
      <c r="D70">
        <v>-17</v>
      </c>
    </row>
    <row r="71" spans="1:4" x14ac:dyDescent="0.25">
      <c r="A71" t="s">
        <v>123</v>
      </c>
      <c r="B71" t="s">
        <v>1118</v>
      </c>
      <c r="C71" t="s">
        <v>3924</v>
      </c>
      <c r="D71">
        <v>-19</v>
      </c>
    </row>
    <row r="72" spans="1:4" x14ac:dyDescent="0.25">
      <c r="A72" t="s">
        <v>123</v>
      </c>
      <c r="B72" t="s">
        <v>1118</v>
      </c>
      <c r="C72" t="s">
        <v>3925</v>
      </c>
      <c r="D72">
        <v>-20</v>
      </c>
    </row>
    <row r="73" spans="1:4" x14ac:dyDescent="0.25">
      <c r="A73" t="s">
        <v>123</v>
      </c>
      <c r="B73" t="s">
        <v>1118</v>
      </c>
      <c r="C73" t="s">
        <v>3926</v>
      </c>
      <c r="D73">
        <v>-21</v>
      </c>
    </row>
    <row r="74" spans="1:4" x14ac:dyDescent="0.25">
      <c r="A74" t="s">
        <v>123</v>
      </c>
      <c r="B74" t="s">
        <v>1248</v>
      </c>
      <c r="C74" t="s">
        <v>3927</v>
      </c>
      <c r="D74">
        <v>-19</v>
      </c>
    </row>
    <row r="75" spans="1:4" x14ac:dyDescent="0.25">
      <c r="A75" t="s">
        <v>123</v>
      </c>
      <c r="B75" t="s">
        <v>1146</v>
      </c>
      <c r="C75" t="s">
        <v>3800</v>
      </c>
      <c r="D75">
        <v>-20</v>
      </c>
    </row>
    <row r="76" spans="1:4" x14ac:dyDescent="0.25">
      <c r="A76" t="s">
        <v>123</v>
      </c>
      <c r="B76" t="s">
        <v>217</v>
      </c>
      <c r="C76" t="s">
        <v>3928</v>
      </c>
      <c r="D76">
        <v>-22</v>
      </c>
    </row>
    <row r="77" spans="1:4" x14ac:dyDescent="0.25">
      <c r="A77" t="s">
        <v>123</v>
      </c>
      <c r="B77" t="s">
        <v>435</v>
      </c>
      <c r="C77" t="s">
        <v>3929</v>
      </c>
      <c r="D77">
        <v>-21</v>
      </c>
    </row>
    <row r="78" spans="1:4" x14ac:dyDescent="0.25">
      <c r="A78" t="s">
        <v>123</v>
      </c>
      <c r="B78" t="s">
        <v>762</v>
      </c>
      <c r="C78" t="s">
        <v>3803</v>
      </c>
      <c r="D78">
        <v>-23</v>
      </c>
    </row>
    <row r="79" spans="1:4" x14ac:dyDescent="0.25">
      <c r="A79" t="s">
        <v>123</v>
      </c>
      <c r="B79" t="s">
        <v>1795</v>
      </c>
      <c r="C79" t="s">
        <v>3930</v>
      </c>
      <c r="D79">
        <v>-25</v>
      </c>
    </row>
    <row r="80" spans="1:4" x14ac:dyDescent="0.25">
      <c r="A80" t="s">
        <v>123</v>
      </c>
      <c r="B80" t="s">
        <v>764</v>
      </c>
      <c r="C80" t="s">
        <v>3931</v>
      </c>
      <c r="D80">
        <v>-22</v>
      </c>
    </row>
    <row r="81" spans="1:4" x14ac:dyDescent="0.25">
      <c r="A81" t="s">
        <v>123</v>
      </c>
      <c r="B81" t="s">
        <v>225</v>
      </c>
      <c r="C81" t="s">
        <v>3932</v>
      </c>
      <c r="D81">
        <v>-24</v>
      </c>
    </row>
    <row r="82" spans="1:4" x14ac:dyDescent="0.25">
      <c r="A82" t="s">
        <v>123</v>
      </c>
      <c r="B82" t="s">
        <v>288</v>
      </c>
      <c r="C82" t="s">
        <v>3933</v>
      </c>
      <c r="D82">
        <v>-22</v>
      </c>
    </row>
    <row r="83" spans="1:4" x14ac:dyDescent="0.25">
      <c r="A83" t="s">
        <v>123</v>
      </c>
      <c r="B83" t="s">
        <v>1376</v>
      </c>
      <c r="C83" t="s">
        <v>3934</v>
      </c>
      <c r="D83">
        <v>-25</v>
      </c>
    </row>
    <row r="84" spans="1:4" x14ac:dyDescent="0.25">
      <c r="A84" t="s">
        <v>123</v>
      </c>
      <c r="B84" t="s">
        <v>788</v>
      </c>
      <c r="C84" t="s">
        <v>3935</v>
      </c>
      <c r="D84">
        <v>-23</v>
      </c>
    </row>
    <row r="85" spans="1:4" x14ac:dyDescent="0.25">
      <c r="A85" t="s">
        <v>123</v>
      </c>
      <c r="B85" t="s">
        <v>534</v>
      </c>
      <c r="C85" t="s">
        <v>3936</v>
      </c>
      <c r="D85">
        <v>-24</v>
      </c>
    </row>
    <row r="86" spans="1:4" x14ac:dyDescent="0.25">
      <c r="A86" t="s">
        <v>123</v>
      </c>
      <c r="B86" t="s">
        <v>481</v>
      </c>
      <c r="C86" t="s">
        <v>3937</v>
      </c>
      <c r="D86">
        <v>-22</v>
      </c>
    </row>
    <row r="87" spans="1:4" x14ac:dyDescent="0.25">
      <c r="A87" t="s">
        <v>123</v>
      </c>
      <c r="B87" t="s">
        <v>1162</v>
      </c>
      <c r="C87" t="s">
        <v>3938</v>
      </c>
      <c r="D87">
        <v>-24</v>
      </c>
    </row>
    <row r="89" spans="1:4" x14ac:dyDescent="0.25">
      <c r="A89" s="2" t="s">
        <v>157</v>
      </c>
    </row>
    <row r="90" spans="1:4" x14ac:dyDescent="0.25">
      <c r="A90" t="s">
        <v>158</v>
      </c>
      <c r="D90">
        <f>AVERAGE(D2:D87)</f>
        <v>-13.127906976744185</v>
      </c>
    </row>
    <row r="91" spans="1:4" x14ac:dyDescent="0.25">
      <c r="A91" t="s">
        <v>159</v>
      </c>
      <c r="D91">
        <f>MAX(D2:D87)</f>
        <v>4</v>
      </c>
    </row>
    <row r="92" spans="1:4" x14ac:dyDescent="0.25">
      <c r="A92" t="s">
        <v>160</v>
      </c>
      <c r="D92">
        <f>MIN(D2:D87)</f>
        <v>-25</v>
      </c>
    </row>
    <row r="93" spans="1:4" x14ac:dyDescent="0.25">
      <c r="A93" t="s">
        <v>161</v>
      </c>
      <c r="D93">
        <f>COUNTIF(D2:D87,"&gt;0")</f>
        <v>11</v>
      </c>
    </row>
    <row r="94" spans="1:4" x14ac:dyDescent="0.25">
      <c r="A94" t="s">
        <v>162</v>
      </c>
      <c r="D94">
        <f>COUNTIF(D2:D87,"=0")</f>
        <v>1</v>
      </c>
    </row>
    <row r="95" spans="1:4" x14ac:dyDescent="0.25">
      <c r="A95" t="s">
        <v>561</v>
      </c>
      <c r="D95">
        <f>COUNTIF(D2:D87,"&lt;0")</f>
        <v>74</v>
      </c>
    </row>
    <row r="97" spans="1:4" x14ac:dyDescent="0.25">
      <c r="A97" s="2" t="s">
        <v>164</v>
      </c>
    </row>
    <row r="98" spans="1:4" x14ac:dyDescent="0.25">
      <c r="A98" t="s">
        <v>165</v>
      </c>
      <c r="D98">
        <f>AVERAGE(D2,D3,D4,D5,D6,D7,D8,D9,D10,D11,D12,D13,D14,D15,D16,D17)</f>
        <v>1.125</v>
      </c>
    </row>
    <row r="99" spans="1:4" x14ac:dyDescent="0.25">
      <c r="A99" t="s">
        <v>166</v>
      </c>
      <c r="D99">
        <f>AVERAGE(D18,D19,D20,D21,D22,D23,D24,D25,D26,D27,D28,D29,D30,D31,D32,D33,D34,D35,D36,D37)</f>
        <v>-9.35</v>
      </c>
    </row>
    <row r="100" spans="1:4" x14ac:dyDescent="0.25">
      <c r="A100" t="s">
        <v>167</v>
      </c>
      <c r="D100">
        <f>AVERAGE(D38,D39,D40,D41,D42,D43,D44,D45,D46,D47,D48,D49,D50,D51,D52,D53,D54,D55,D56,D57,D58,D59,D60,D61,D62)</f>
        <v>-18.2</v>
      </c>
    </row>
    <row r="101" spans="1:4" x14ac:dyDescent="0.25">
      <c r="A101" t="s">
        <v>168</v>
      </c>
      <c r="D101">
        <f>AVERAGE(D63,D64,D65,D66,D67,D68,D69,D70,D71,D72,D73,D74,D75,D76,D77,D78,D79,D80,D81,D82,D83,D84,D85,D86,D87)</f>
        <v>-20.2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1704</v>
      </c>
      <c r="C2" t="s">
        <v>6</v>
      </c>
      <c r="D2">
        <v>2</v>
      </c>
    </row>
    <row r="3" spans="1:4" x14ac:dyDescent="0.25">
      <c r="A3" t="s">
        <v>4</v>
      </c>
      <c r="B3" t="s">
        <v>273</v>
      </c>
      <c r="C3" t="s">
        <v>8</v>
      </c>
      <c r="D3">
        <v>0</v>
      </c>
    </row>
    <row r="4" spans="1:4" x14ac:dyDescent="0.25">
      <c r="A4" t="s">
        <v>4</v>
      </c>
      <c r="B4" t="s">
        <v>1210</v>
      </c>
      <c r="C4" t="s">
        <v>1347</v>
      </c>
      <c r="D4">
        <v>3</v>
      </c>
    </row>
    <row r="5" spans="1:4" x14ac:dyDescent="0.25">
      <c r="A5" t="s">
        <v>4</v>
      </c>
      <c r="B5" t="s">
        <v>11</v>
      </c>
      <c r="C5" t="s">
        <v>1106</v>
      </c>
      <c r="D5">
        <v>1</v>
      </c>
    </row>
    <row r="6" spans="1:4" x14ac:dyDescent="0.25">
      <c r="A6" t="s">
        <v>4</v>
      </c>
      <c r="B6" t="s">
        <v>89</v>
      </c>
      <c r="C6" t="s">
        <v>913</v>
      </c>
      <c r="D6">
        <v>-2</v>
      </c>
    </row>
    <row r="7" spans="1:4" x14ac:dyDescent="0.25">
      <c r="A7" t="s">
        <v>4</v>
      </c>
      <c r="B7" t="s">
        <v>514</v>
      </c>
      <c r="C7" t="s">
        <v>567</v>
      </c>
      <c r="D7">
        <v>0</v>
      </c>
    </row>
    <row r="8" spans="1:4" x14ac:dyDescent="0.25">
      <c r="A8" t="s">
        <v>4</v>
      </c>
      <c r="B8" t="s">
        <v>1683</v>
      </c>
      <c r="C8" t="s">
        <v>1351</v>
      </c>
      <c r="D8">
        <v>3</v>
      </c>
    </row>
    <row r="9" spans="1:4" x14ac:dyDescent="0.25">
      <c r="A9" t="s">
        <v>4</v>
      </c>
      <c r="B9" t="s">
        <v>1105</v>
      </c>
      <c r="C9" t="s">
        <v>2647</v>
      </c>
      <c r="D9">
        <v>6</v>
      </c>
    </row>
    <row r="10" spans="1:4" x14ac:dyDescent="0.25">
      <c r="A10" t="s">
        <v>4</v>
      </c>
      <c r="B10" t="s">
        <v>726</v>
      </c>
      <c r="C10" t="s">
        <v>1197</v>
      </c>
      <c r="D10">
        <v>9</v>
      </c>
    </row>
    <row r="11" spans="1:4" x14ac:dyDescent="0.25">
      <c r="A11" t="s">
        <v>4</v>
      </c>
      <c r="B11" t="s">
        <v>1288</v>
      </c>
      <c r="C11" t="s">
        <v>3195</v>
      </c>
      <c r="D11">
        <v>7</v>
      </c>
    </row>
    <row r="12" spans="1:4" x14ac:dyDescent="0.25">
      <c r="A12" t="s">
        <v>4</v>
      </c>
      <c r="B12" t="s">
        <v>223</v>
      </c>
      <c r="C12" t="s">
        <v>1873</v>
      </c>
      <c r="D12">
        <v>4</v>
      </c>
    </row>
    <row r="13" spans="1:4" x14ac:dyDescent="0.25">
      <c r="A13" t="s">
        <v>4</v>
      </c>
      <c r="B13" t="s">
        <v>288</v>
      </c>
      <c r="C13" t="s">
        <v>1577</v>
      </c>
      <c r="D13">
        <v>5</v>
      </c>
    </row>
    <row r="14" spans="1:4" x14ac:dyDescent="0.25">
      <c r="A14" t="s">
        <v>4</v>
      </c>
      <c r="B14" t="s">
        <v>288</v>
      </c>
      <c r="C14" t="s">
        <v>1199</v>
      </c>
      <c r="D14">
        <v>6</v>
      </c>
    </row>
    <row r="15" spans="1:4" x14ac:dyDescent="0.25">
      <c r="A15" t="s">
        <v>4</v>
      </c>
      <c r="B15" t="s">
        <v>1422</v>
      </c>
      <c r="C15" t="s">
        <v>2874</v>
      </c>
      <c r="D15">
        <v>4</v>
      </c>
    </row>
    <row r="16" spans="1:4" x14ac:dyDescent="0.25">
      <c r="A16" t="s">
        <v>4</v>
      </c>
      <c r="B16" t="s">
        <v>296</v>
      </c>
      <c r="C16" t="s">
        <v>328</v>
      </c>
      <c r="D16">
        <v>7</v>
      </c>
    </row>
    <row r="17" spans="1:4" x14ac:dyDescent="0.25">
      <c r="A17" t="s">
        <v>4</v>
      </c>
      <c r="B17" t="s">
        <v>584</v>
      </c>
      <c r="C17" t="s">
        <v>1360</v>
      </c>
      <c r="D17">
        <v>9</v>
      </c>
    </row>
    <row r="18" spans="1:4" x14ac:dyDescent="0.25">
      <c r="A18" t="s">
        <v>40</v>
      </c>
      <c r="B18" t="s">
        <v>453</v>
      </c>
      <c r="C18" t="s">
        <v>1361</v>
      </c>
      <c r="D18">
        <v>11</v>
      </c>
    </row>
    <row r="19" spans="1:4" x14ac:dyDescent="0.25">
      <c r="A19" t="s">
        <v>40</v>
      </c>
      <c r="B19" t="s">
        <v>128</v>
      </c>
      <c r="C19" t="s">
        <v>1928</v>
      </c>
      <c r="D19">
        <v>8</v>
      </c>
    </row>
    <row r="20" spans="1:4" x14ac:dyDescent="0.25">
      <c r="A20" t="s">
        <v>40</v>
      </c>
      <c r="B20" t="s">
        <v>912</v>
      </c>
      <c r="C20" t="s">
        <v>3534</v>
      </c>
      <c r="D20">
        <v>11</v>
      </c>
    </row>
    <row r="21" spans="1:4" x14ac:dyDescent="0.25">
      <c r="A21" t="s">
        <v>40</v>
      </c>
      <c r="B21" t="s">
        <v>1146</v>
      </c>
      <c r="C21" t="s">
        <v>1930</v>
      </c>
      <c r="D21">
        <v>9</v>
      </c>
    </row>
    <row r="22" spans="1:4" x14ac:dyDescent="0.25">
      <c r="A22" t="s">
        <v>40</v>
      </c>
      <c r="B22" t="s">
        <v>1146</v>
      </c>
      <c r="C22" t="s">
        <v>2523</v>
      </c>
      <c r="D22">
        <v>8</v>
      </c>
    </row>
    <row r="23" spans="1:4" x14ac:dyDescent="0.25">
      <c r="A23" t="s">
        <v>40</v>
      </c>
      <c r="B23" t="s">
        <v>1816</v>
      </c>
      <c r="C23" t="s">
        <v>3088</v>
      </c>
      <c r="D23">
        <v>10</v>
      </c>
    </row>
    <row r="24" spans="1:4" x14ac:dyDescent="0.25">
      <c r="A24" t="s">
        <v>40</v>
      </c>
      <c r="B24" t="s">
        <v>836</v>
      </c>
      <c r="C24" t="s">
        <v>3089</v>
      </c>
      <c r="D24">
        <v>12</v>
      </c>
    </row>
    <row r="25" spans="1:4" x14ac:dyDescent="0.25">
      <c r="A25" t="s">
        <v>40</v>
      </c>
      <c r="B25" t="s">
        <v>19</v>
      </c>
      <c r="C25" t="s">
        <v>2931</v>
      </c>
      <c r="D25">
        <v>10</v>
      </c>
    </row>
    <row r="26" spans="1:4" x14ac:dyDescent="0.25">
      <c r="A26" t="s">
        <v>40</v>
      </c>
      <c r="B26" t="s">
        <v>539</v>
      </c>
      <c r="C26" t="s">
        <v>2976</v>
      </c>
      <c r="D26">
        <v>8</v>
      </c>
    </row>
    <row r="27" spans="1:4" x14ac:dyDescent="0.25">
      <c r="A27" t="s">
        <v>40</v>
      </c>
      <c r="B27" t="s">
        <v>766</v>
      </c>
      <c r="C27" t="s">
        <v>1934</v>
      </c>
      <c r="D27">
        <v>9</v>
      </c>
    </row>
    <row r="28" spans="1:4" x14ac:dyDescent="0.25">
      <c r="A28" t="s">
        <v>40</v>
      </c>
      <c r="B28" t="s">
        <v>766</v>
      </c>
      <c r="C28" t="s">
        <v>2932</v>
      </c>
      <c r="D28">
        <v>10</v>
      </c>
    </row>
    <row r="29" spans="1:4" x14ac:dyDescent="0.25">
      <c r="A29" t="s">
        <v>40</v>
      </c>
      <c r="B29" t="s">
        <v>442</v>
      </c>
      <c r="C29" t="s">
        <v>2782</v>
      </c>
      <c r="D29">
        <v>7</v>
      </c>
    </row>
    <row r="30" spans="1:4" x14ac:dyDescent="0.25">
      <c r="A30" t="s">
        <v>40</v>
      </c>
      <c r="B30" t="s">
        <v>1127</v>
      </c>
      <c r="C30" t="s">
        <v>224</v>
      </c>
      <c r="D30">
        <v>6</v>
      </c>
    </row>
    <row r="31" spans="1:4" x14ac:dyDescent="0.25">
      <c r="A31" t="s">
        <v>40</v>
      </c>
      <c r="B31" t="s">
        <v>1127</v>
      </c>
      <c r="C31" t="s">
        <v>1214</v>
      </c>
      <c r="D31">
        <v>5</v>
      </c>
    </row>
    <row r="32" spans="1:4" x14ac:dyDescent="0.25">
      <c r="A32" t="s">
        <v>40</v>
      </c>
      <c r="B32" t="s">
        <v>1422</v>
      </c>
      <c r="C32" t="s">
        <v>2161</v>
      </c>
      <c r="D32">
        <v>7</v>
      </c>
    </row>
    <row r="33" spans="1:4" x14ac:dyDescent="0.25">
      <c r="A33" t="s">
        <v>40</v>
      </c>
      <c r="B33" t="s">
        <v>896</v>
      </c>
      <c r="C33" t="s">
        <v>229</v>
      </c>
      <c r="D33">
        <v>4</v>
      </c>
    </row>
    <row r="34" spans="1:4" x14ac:dyDescent="0.25">
      <c r="A34" t="s">
        <v>40</v>
      </c>
      <c r="B34" t="s">
        <v>1237</v>
      </c>
      <c r="C34" t="s">
        <v>230</v>
      </c>
      <c r="D34">
        <v>2</v>
      </c>
    </row>
    <row r="35" spans="1:4" x14ac:dyDescent="0.25">
      <c r="A35" t="s">
        <v>40</v>
      </c>
      <c r="B35" t="s">
        <v>33</v>
      </c>
      <c r="C35" t="s">
        <v>1667</v>
      </c>
      <c r="D35">
        <v>3</v>
      </c>
    </row>
    <row r="36" spans="1:4" x14ac:dyDescent="0.25">
      <c r="A36" t="s">
        <v>40</v>
      </c>
      <c r="B36" t="s">
        <v>33</v>
      </c>
      <c r="C36" t="s">
        <v>1668</v>
      </c>
      <c r="D36">
        <v>4</v>
      </c>
    </row>
    <row r="37" spans="1:4" x14ac:dyDescent="0.25">
      <c r="A37" t="s">
        <v>40</v>
      </c>
      <c r="B37" t="s">
        <v>537</v>
      </c>
      <c r="C37" t="s">
        <v>1757</v>
      </c>
      <c r="D37">
        <v>3</v>
      </c>
    </row>
    <row r="38" spans="1:4" x14ac:dyDescent="0.25">
      <c r="A38" t="s">
        <v>40</v>
      </c>
      <c r="B38" t="s">
        <v>537</v>
      </c>
      <c r="C38" t="s">
        <v>474</v>
      </c>
      <c r="D38">
        <v>2</v>
      </c>
    </row>
    <row r="39" spans="1:4" x14ac:dyDescent="0.25">
      <c r="A39" t="s">
        <v>40</v>
      </c>
      <c r="B39" t="s">
        <v>1276</v>
      </c>
      <c r="C39" t="s">
        <v>2270</v>
      </c>
      <c r="D39">
        <v>5</v>
      </c>
    </row>
    <row r="40" spans="1:4" x14ac:dyDescent="0.25">
      <c r="A40" t="s">
        <v>40</v>
      </c>
      <c r="B40" t="s">
        <v>38</v>
      </c>
      <c r="C40" t="s">
        <v>360</v>
      </c>
      <c r="D40">
        <v>3</v>
      </c>
    </row>
    <row r="41" spans="1:4" x14ac:dyDescent="0.25">
      <c r="A41" t="s">
        <v>80</v>
      </c>
      <c r="B41" t="s">
        <v>126</v>
      </c>
      <c r="C41" t="s">
        <v>2305</v>
      </c>
      <c r="D41">
        <v>5</v>
      </c>
    </row>
    <row r="42" spans="1:4" x14ac:dyDescent="0.25">
      <c r="A42" t="s">
        <v>80</v>
      </c>
      <c r="B42" t="s">
        <v>932</v>
      </c>
      <c r="C42" t="s">
        <v>2307</v>
      </c>
      <c r="D42">
        <v>2</v>
      </c>
    </row>
    <row r="43" spans="1:4" x14ac:dyDescent="0.25">
      <c r="A43" t="s">
        <v>80</v>
      </c>
      <c r="B43" t="s">
        <v>1665</v>
      </c>
      <c r="C43" t="s">
        <v>2308</v>
      </c>
      <c r="D43">
        <v>-1</v>
      </c>
    </row>
    <row r="44" spans="1:4" x14ac:dyDescent="0.25">
      <c r="A44" t="s">
        <v>80</v>
      </c>
      <c r="B44" t="s">
        <v>458</v>
      </c>
      <c r="C44" t="s">
        <v>736</v>
      </c>
      <c r="D44">
        <v>1</v>
      </c>
    </row>
    <row r="45" spans="1:4" x14ac:dyDescent="0.25">
      <c r="A45" t="s">
        <v>80</v>
      </c>
      <c r="B45" t="s">
        <v>458</v>
      </c>
      <c r="C45" t="s">
        <v>2309</v>
      </c>
      <c r="D45">
        <v>2</v>
      </c>
    </row>
    <row r="46" spans="1:4" x14ac:dyDescent="0.25">
      <c r="A46" t="s">
        <v>80</v>
      </c>
      <c r="B46" t="s">
        <v>1248</v>
      </c>
      <c r="C46" t="s">
        <v>486</v>
      </c>
      <c r="D46">
        <v>4</v>
      </c>
    </row>
    <row r="47" spans="1:4" x14ac:dyDescent="0.25">
      <c r="A47" t="s">
        <v>80</v>
      </c>
      <c r="B47" t="s">
        <v>1086</v>
      </c>
      <c r="C47" t="s">
        <v>2611</v>
      </c>
      <c r="D47">
        <v>2</v>
      </c>
    </row>
    <row r="48" spans="1:4" x14ac:dyDescent="0.25">
      <c r="A48" t="s">
        <v>80</v>
      </c>
      <c r="B48" t="s">
        <v>259</v>
      </c>
      <c r="C48" t="s">
        <v>2172</v>
      </c>
      <c r="D48">
        <v>5</v>
      </c>
    </row>
    <row r="49" spans="1:4" x14ac:dyDescent="0.25">
      <c r="A49" t="s">
        <v>80</v>
      </c>
      <c r="B49" t="s">
        <v>184</v>
      </c>
      <c r="C49" t="s">
        <v>1525</v>
      </c>
      <c r="D49">
        <v>3</v>
      </c>
    </row>
    <row r="50" spans="1:4" x14ac:dyDescent="0.25">
      <c r="A50" t="s">
        <v>80</v>
      </c>
      <c r="B50" t="s">
        <v>1434</v>
      </c>
      <c r="C50" t="s">
        <v>2173</v>
      </c>
      <c r="D50">
        <v>2</v>
      </c>
    </row>
    <row r="51" spans="1:4" x14ac:dyDescent="0.25">
      <c r="A51" t="s">
        <v>80</v>
      </c>
      <c r="B51" t="s">
        <v>1795</v>
      </c>
      <c r="C51" t="s">
        <v>1527</v>
      </c>
      <c r="D51">
        <v>4</v>
      </c>
    </row>
    <row r="52" spans="1:4" x14ac:dyDescent="0.25">
      <c r="A52" t="s">
        <v>80</v>
      </c>
      <c r="B52" t="s">
        <v>64</v>
      </c>
      <c r="C52" t="s">
        <v>2447</v>
      </c>
      <c r="D52">
        <v>2</v>
      </c>
    </row>
    <row r="53" spans="1:4" x14ac:dyDescent="0.25">
      <c r="A53" t="s">
        <v>80</v>
      </c>
      <c r="B53" t="s">
        <v>890</v>
      </c>
      <c r="C53" t="s">
        <v>496</v>
      </c>
      <c r="D53">
        <v>4</v>
      </c>
    </row>
    <row r="54" spans="1:4" x14ac:dyDescent="0.25">
      <c r="A54" t="s">
        <v>80</v>
      </c>
      <c r="B54" t="s">
        <v>987</v>
      </c>
      <c r="C54" t="s">
        <v>2276</v>
      </c>
      <c r="D54">
        <v>7</v>
      </c>
    </row>
    <row r="55" spans="1:4" x14ac:dyDescent="0.25">
      <c r="A55" t="s">
        <v>80</v>
      </c>
      <c r="B55" t="s">
        <v>444</v>
      </c>
      <c r="C55" t="s">
        <v>1838</v>
      </c>
      <c r="D55">
        <v>6</v>
      </c>
    </row>
    <row r="56" spans="1:4" x14ac:dyDescent="0.25">
      <c r="A56" t="s">
        <v>80</v>
      </c>
      <c r="B56" t="s">
        <v>444</v>
      </c>
      <c r="C56" t="s">
        <v>2450</v>
      </c>
      <c r="D56">
        <v>5</v>
      </c>
    </row>
    <row r="57" spans="1:4" x14ac:dyDescent="0.25">
      <c r="A57" t="s">
        <v>80</v>
      </c>
      <c r="B57" t="s">
        <v>267</v>
      </c>
      <c r="C57" t="s">
        <v>3723</v>
      </c>
      <c r="D57">
        <v>7</v>
      </c>
    </row>
    <row r="58" spans="1:4" x14ac:dyDescent="0.25">
      <c r="A58" t="s">
        <v>80</v>
      </c>
      <c r="B58" t="s">
        <v>1112</v>
      </c>
      <c r="C58" t="s">
        <v>1688</v>
      </c>
      <c r="D58">
        <v>8</v>
      </c>
    </row>
    <row r="59" spans="1:4" x14ac:dyDescent="0.25">
      <c r="A59" t="s">
        <v>80</v>
      </c>
      <c r="B59" t="s">
        <v>505</v>
      </c>
      <c r="C59" t="s">
        <v>2883</v>
      </c>
      <c r="D59">
        <v>9</v>
      </c>
    </row>
    <row r="60" spans="1:4" x14ac:dyDescent="0.25">
      <c r="A60" t="s">
        <v>80</v>
      </c>
      <c r="B60" t="s">
        <v>505</v>
      </c>
      <c r="C60" t="s">
        <v>3724</v>
      </c>
      <c r="D60">
        <v>10</v>
      </c>
    </row>
    <row r="61" spans="1:4" x14ac:dyDescent="0.25">
      <c r="A61" t="s">
        <v>80</v>
      </c>
      <c r="B61" t="s">
        <v>1206</v>
      </c>
      <c r="C61" t="s">
        <v>2451</v>
      </c>
      <c r="D61">
        <v>8</v>
      </c>
    </row>
    <row r="62" spans="1:4" x14ac:dyDescent="0.25">
      <c r="A62" t="s">
        <v>80</v>
      </c>
      <c r="B62" t="s">
        <v>1733</v>
      </c>
      <c r="C62" t="s">
        <v>3939</v>
      </c>
      <c r="D62">
        <v>10</v>
      </c>
    </row>
    <row r="63" spans="1:4" x14ac:dyDescent="0.25">
      <c r="A63" t="s">
        <v>80</v>
      </c>
      <c r="B63" t="s">
        <v>817</v>
      </c>
      <c r="C63" t="s">
        <v>3940</v>
      </c>
      <c r="D63">
        <v>13</v>
      </c>
    </row>
    <row r="64" spans="1:4" x14ac:dyDescent="0.25">
      <c r="A64" t="s">
        <v>123</v>
      </c>
      <c r="B64" t="s">
        <v>819</v>
      </c>
      <c r="C64" t="s">
        <v>3941</v>
      </c>
      <c r="D64">
        <v>14</v>
      </c>
    </row>
    <row r="65" spans="1:4" x14ac:dyDescent="0.25">
      <c r="A65" t="s">
        <v>123</v>
      </c>
      <c r="B65" t="s">
        <v>49</v>
      </c>
      <c r="C65" t="s">
        <v>2944</v>
      </c>
      <c r="D65">
        <v>17</v>
      </c>
    </row>
    <row r="66" spans="1:4" x14ac:dyDescent="0.25">
      <c r="A66" t="s">
        <v>123</v>
      </c>
      <c r="B66" t="s">
        <v>2152</v>
      </c>
      <c r="C66" t="s">
        <v>2377</v>
      </c>
      <c r="D66">
        <v>16</v>
      </c>
    </row>
    <row r="67" spans="1:4" x14ac:dyDescent="0.25">
      <c r="A67" t="s">
        <v>123</v>
      </c>
      <c r="B67" t="s">
        <v>250</v>
      </c>
      <c r="C67" t="s">
        <v>2379</v>
      </c>
      <c r="D67">
        <v>14</v>
      </c>
    </row>
    <row r="68" spans="1:4" x14ac:dyDescent="0.25">
      <c r="A68" t="s">
        <v>123</v>
      </c>
      <c r="B68" t="s">
        <v>333</v>
      </c>
      <c r="C68" t="s">
        <v>3942</v>
      </c>
      <c r="D68">
        <v>11</v>
      </c>
    </row>
    <row r="69" spans="1:4" x14ac:dyDescent="0.25">
      <c r="A69" t="s">
        <v>123</v>
      </c>
      <c r="B69" t="s">
        <v>179</v>
      </c>
      <c r="C69" t="s">
        <v>2888</v>
      </c>
      <c r="D69">
        <v>14</v>
      </c>
    </row>
    <row r="70" spans="1:4" x14ac:dyDescent="0.25">
      <c r="A70" t="s">
        <v>123</v>
      </c>
      <c r="B70" t="s">
        <v>1598</v>
      </c>
      <c r="C70" t="s">
        <v>2994</v>
      </c>
      <c r="D70">
        <v>12</v>
      </c>
    </row>
    <row r="71" spans="1:4" x14ac:dyDescent="0.25">
      <c r="A71" t="s">
        <v>123</v>
      </c>
      <c r="B71" t="s">
        <v>374</v>
      </c>
      <c r="C71" t="s">
        <v>2946</v>
      </c>
      <c r="D71">
        <v>14</v>
      </c>
    </row>
    <row r="72" spans="1:4" x14ac:dyDescent="0.25">
      <c r="A72" t="s">
        <v>123</v>
      </c>
      <c r="B72" t="s">
        <v>23</v>
      </c>
      <c r="C72" t="s">
        <v>3021</v>
      </c>
      <c r="D72">
        <v>12</v>
      </c>
    </row>
    <row r="73" spans="1:4" x14ac:dyDescent="0.25">
      <c r="A73" t="s">
        <v>123</v>
      </c>
      <c r="B73" t="s">
        <v>198</v>
      </c>
      <c r="C73" t="s">
        <v>3943</v>
      </c>
      <c r="D73">
        <v>14</v>
      </c>
    </row>
    <row r="74" spans="1:4" x14ac:dyDescent="0.25">
      <c r="A74" t="s">
        <v>123</v>
      </c>
      <c r="B74" t="s">
        <v>72</v>
      </c>
      <c r="C74" t="s">
        <v>1480</v>
      </c>
      <c r="D74">
        <v>15</v>
      </c>
    </row>
    <row r="75" spans="1:4" x14ac:dyDescent="0.25">
      <c r="A75" t="s">
        <v>123</v>
      </c>
      <c r="B75" t="s">
        <v>1115</v>
      </c>
      <c r="C75" t="s">
        <v>1482</v>
      </c>
      <c r="D75">
        <v>13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6.8243243243243246</v>
      </c>
    </row>
    <row r="79" spans="1:4" x14ac:dyDescent="0.25">
      <c r="A79" t="s">
        <v>159</v>
      </c>
      <c r="D79">
        <f>MAX(D2:D75)</f>
        <v>17</v>
      </c>
    </row>
    <row r="80" spans="1:4" x14ac:dyDescent="0.25">
      <c r="A80" t="s">
        <v>160</v>
      </c>
      <c r="D80">
        <f>MIN(D2:D75)</f>
        <v>-2</v>
      </c>
    </row>
    <row r="81" spans="1:4" x14ac:dyDescent="0.25">
      <c r="A81" t="s">
        <v>161</v>
      </c>
      <c r="D81">
        <f>COUNTIF(D2:D75,"&gt;0")</f>
        <v>70</v>
      </c>
    </row>
    <row r="82" spans="1:4" x14ac:dyDescent="0.25">
      <c r="A82" t="s">
        <v>162</v>
      </c>
      <c r="D82">
        <f>COUNTIF(D2:D75,"=0")</f>
        <v>2</v>
      </c>
    </row>
    <row r="83" spans="1:4" x14ac:dyDescent="0.25">
      <c r="A83" t="s">
        <v>561</v>
      </c>
      <c r="D83">
        <f>COUNTIF(D2:D75,"&lt;0")</f>
        <v>2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AVERAGE(D2,D3,D4,D5,D6,D7,D8,D9,D10,D11,D12,D13,D14,D15,D16,D17)</f>
        <v>4</v>
      </c>
    </row>
    <row r="87" spans="1:4" x14ac:dyDescent="0.25">
      <c r="A87" t="s">
        <v>166</v>
      </c>
      <c r="D87">
        <f>AVERAGE(D18,D19,D20,D21,D22,D23,D24,D25,D26,D27,D28,D29,D30,D31,D32,D33,D34,D35,D36,D37,D38,D39,D40)</f>
        <v>6.8260869565217392</v>
      </c>
    </row>
    <row r="88" spans="1:4" x14ac:dyDescent="0.25">
      <c r="A88" t="s">
        <v>167</v>
      </c>
      <c r="D88">
        <f>AVERAGE(D41,D42,D43,D44,D45,D46,D47,D48,D49,D50,D51,D52,D53,D54,D55,D56,D57,D58,D59,D60,D61,D62,D63)</f>
        <v>5.1304347826086953</v>
      </c>
    </row>
    <row r="89" spans="1:4" x14ac:dyDescent="0.25">
      <c r="A89" t="s">
        <v>168</v>
      </c>
      <c r="D89">
        <f>AVERAGE(D64,D65,D66,D67,D68,D69,D70,D71,D72,D73,D74,D75)</f>
        <v>13.833333333333334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1608</v>
      </c>
      <c r="C2" t="s">
        <v>6</v>
      </c>
      <c r="D2">
        <v>2</v>
      </c>
    </row>
    <row r="3" spans="1:4" x14ac:dyDescent="0.25">
      <c r="A3" t="s">
        <v>4</v>
      </c>
      <c r="B3" t="s">
        <v>325</v>
      </c>
      <c r="C3" t="s">
        <v>3268</v>
      </c>
      <c r="D3">
        <v>1</v>
      </c>
    </row>
    <row r="4" spans="1:4" x14ac:dyDescent="0.25">
      <c r="A4" t="s">
        <v>4</v>
      </c>
      <c r="B4" t="s">
        <v>325</v>
      </c>
      <c r="C4" t="s">
        <v>8</v>
      </c>
      <c r="D4">
        <v>0</v>
      </c>
    </row>
    <row r="5" spans="1:4" x14ac:dyDescent="0.25">
      <c r="A5" t="s">
        <v>4</v>
      </c>
      <c r="B5" t="s">
        <v>325</v>
      </c>
      <c r="C5" t="s">
        <v>306</v>
      </c>
      <c r="D5">
        <v>-1</v>
      </c>
    </row>
    <row r="6" spans="1:4" x14ac:dyDescent="0.25">
      <c r="A6" t="s">
        <v>4</v>
      </c>
      <c r="B6" t="s">
        <v>1116</v>
      </c>
      <c r="C6" t="s">
        <v>1191</v>
      </c>
      <c r="D6">
        <v>0</v>
      </c>
    </row>
    <row r="7" spans="1:4" x14ac:dyDescent="0.25">
      <c r="A7" t="s">
        <v>4</v>
      </c>
      <c r="B7" t="s">
        <v>1116</v>
      </c>
      <c r="C7" t="s">
        <v>308</v>
      </c>
      <c r="D7">
        <v>1</v>
      </c>
    </row>
    <row r="8" spans="1:4" x14ac:dyDescent="0.25">
      <c r="A8" t="s">
        <v>4</v>
      </c>
      <c r="B8" t="s">
        <v>1849</v>
      </c>
      <c r="C8" t="s">
        <v>310</v>
      </c>
      <c r="D8">
        <v>-2</v>
      </c>
    </row>
    <row r="9" spans="1:4" x14ac:dyDescent="0.25">
      <c r="A9" t="s">
        <v>4</v>
      </c>
      <c r="B9" t="s">
        <v>621</v>
      </c>
      <c r="C9" t="s">
        <v>1694</v>
      </c>
      <c r="D9">
        <v>-4</v>
      </c>
    </row>
    <row r="10" spans="1:4" x14ac:dyDescent="0.25">
      <c r="A10" t="s">
        <v>4</v>
      </c>
      <c r="B10" t="s">
        <v>56</v>
      </c>
      <c r="C10" t="s">
        <v>18</v>
      </c>
      <c r="D10">
        <v>-2</v>
      </c>
    </row>
    <row r="11" spans="1:4" x14ac:dyDescent="0.25">
      <c r="A11" t="s">
        <v>4</v>
      </c>
      <c r="B11" t="s">
        <v>184</v>
      </c>
      <c r="C11" t="s">
        <v>1636</v>
      </c>
      <c r="D11">
        <v>-4</v>
      </c>
    </row>
    <row r="12" spans="1:4" x14ac:dyDescent="0.25">
      <c r="A12" t="s">
        <v>4</v>
      </c>
      <c r="B12" t="s">
        <v>219</v>
      </c>
      <c r="C12" t="s">
        <v>1696</v>
      </c>
      <c r="D12">
        <v>-5</v>
      </c>
    </row>
    <row r="13" spans="1:4" x14ac:dyDescent="0.25">
      <c r="A13" t="s">
        <v>4</v>
      </c>
      <c r="B13" t="s">
        <v>941</v>
      </c>
      <c r="C13" t="s">
        <v>3611</v>
      </c>
      <c r="D13">
        <v>-4</v>
      </c>
    </row>
    <row r="14" spans="1:4" x14ac:dyDescent="0.25">
      <c r="A14" t="s">
        <v>4</v>
      </c>
      <c r="B14" t="s">
        <v>941</v>
      </c>
      <c r="C14" t="s">
        <v>1743</v>
      </c>
      <c r="D14">
        <v>-3</v>
      </c>
    </row>
    <row r="15" spans="1:4" x14ac:dyDescent="0.25">
      <c r="A15" t="s">
        <v>4</v>
      </c>
      <c r="B15" t="s">
        <v>807</v>
      </c>
      <c r="C15" t="s">
        <v>3697</v>
      </c>
      <c r="D15">
        <v>-5</v>
      </c>
    </row>
    <row r="16" spans="1:4" x14ac:dyDescent="0.25">
      <c r="A16" t="s">
        <v>4</v>
      </c>
      <c r="B16" t="s">
        <v>1436</v>
      </c>
      <c r="C16" t="s">
        <v>1925</v>
      </c>
      <c r="D16">
        <v>-3</v>
      </c>
    </row>
    <row r="17" spans="1:4" x14ac:dyDescent="0.25">
      <c r="A17" t="s">
        <v>4</v>
      </c>
      <c r="B17" t="s">
        <v>1698</v>
      </c>
      <c r="C17" t="s">
        <v>1701</v>
      </c>
      <c r="D17">
        <v>-5</v>
      </c>
    </row>
    <row r="18" spans="1:4" x14ac:dyDescent="0.25">
      <c r="A18" t="s">
        <v>4</v>
      </c>
      <c r="B18" t="s">
        <v>2048</v>
      </c>
      <c r="C18" t="s">
        <v>1502</v>
      </c>
      <c r="D18">
        <v>-7</v>
      </c>
    </row>
    <row r="19" spans="1:4" x14ac:dyDescent="0.25">
      <c r="A19" t="s">
        <v>4</v>
      </c>
      <c r="B19" t="s">
        <v>2363</v>
      </c>
      <c r="C19" t="s">
        <v>1645</v>
      </c>
      <c r="D19">
        <v>-9</v>
      </c>
    </row>
    <row r="20" spans="1:4" x14ac:dyDescent="0.25">
      <c r="A20" t="s">
        <v>4</v>
      </c>
      <c r="B20" t="s">
        <v>612</v>
      </c>
      <c r="C20" t="s">
        <v>1705</v>
      </c>
      <c r="D20">
        <v>-6</v>
      </c>
    </row>
    <row r="21" spans="1:4" x14ac:dyDescent="0.25">
      <c r="A21" t="s">
        <v>4</v>
      </c>
      <c r="B21" t="s">
        <v>322</v>
      </c>
      <c r="C21" t="s">
        <v>2157</v>
      </c>
      <c r="D21">
        <v>-3</v>
      </c>
    </row>
    <row r="22" spans="1:4" x14ac:dyDescent="0.25">
      <c r="A22" t="s">
        <v>40</v>
      </c>
      <c r="B22" t="s">
        <v>352</v>
      </c>
      <c r="C22" t="s">
        <v>2701</v>
      </c>
      <c r="D22">
        <v>-5</v>
      </c>
    </row>
    <row r="23" spans="1:4" x14ac:dyDescent="0.25">
      <c r="A23" t="s">
        <v>40</v>
      </c>
      <c r="B23" t="s">
        <v>1789</v>
      </c>
      <c r="C23" t="s">
        <v>2403</v>
      </c>
      <c r="D23">
        <v>-8</v>
      </c>
    </row>
    <row r="24" spans="1:4" x14ac:dyDescent="0.25">
      <c r="A24" t="s">
        <v>40</v>
      </c>
      <c r="B24" t="s">
        <v>49</v>
      </c>
      <c r="C24" t="s">
        <v>2404</v>
      </c>
      <c r="D24">
        <v>-6</v>
      </c>
    </row>
    <row r="25" spans="1:4" x14ac:dyDescent="0.25">
      <c r="A25" t="s">
        <v>40</v>
      </c>
      <c r="B25" t="s">
        <v>1143</v>
      </c>
      <c r="C25" t="s">
        <v>3619</v>
      </c>
      <c r="D25">
        <v>-8</v>
      </c>
    </row>
    <row r="26" spans="1:4" x14ac:dyDescent="0.25">
      <c r="A26" t="s">
        <v>40</v>
      </c>
      <c r="B26" t="s">
        <v>568</v>
      </c>
      <c r="C26" t="s">
        <v>3620</v>
      </c>
      <c r="D26">
        <v>-10</v>
      </c>
    </row>
    <row r="27" spans="1:4" x14ac:dyDescent="0.25">
      <c r="A27" t="s">
        <v>40</v>
      </c>
      <c r="B27" t="s">
        <v>1011</v>
      </c>
      <c r="C27" t="s">
        <v>3832</v>
      </c>
      <c r="D27">
        <v>-7</v>
      </c>
    </row>
    <row r="28" spans="1:4" x14ac:dyDescent="0.25">
      <c r="A28" t="s">
        <v>40</v>
      </c>
      <c r="B28" t="s">
        <v>2170</v>
      </c>
      <c r="C28" t="s">
        <v>1658</v>
      </c>
      <c r="D28">
        <v>-9</v>
      </c>
    </row>
    <row r="29" spans="1:4" x14ac:dyDescent="0.25">
      <c r="A29" t="s">
        <v>40</v>
      </c>
      <c r="B29" t="s">
        <v>337</v>
      </c>
      <c r="C29" t="s">
        <v>1659</v>
      </c>
      <c r="D29">
        <v>-11</v>
      </c>
    </row>
    <row r="30" spans="1:4" x14ac:dyDescent="0.25">
      <c r="A30" t="s">
        <v>40</v>
      </c>
      <c r="B30" t="s">
        <v>1536</v>
      </c>
      <c r="C30" t="s">
        <v>3944</v>
      </c>
      <c r="D30">
        <v>-13</v>
      </c>
    </row>
    <row r="31" spans="1:4" x14ac:dyDescent="0.25">
      <c r="A31" t="s">
        <v>40</v>
      </c>
      <c r="B31" t="s">
        <v>524</v>
      </c>
      <c r="C31" t="s">
        <v>2861</v>
      </c>
      <c r="D31">
        <v>-10</v>
      </c>
    </row>
    <row r="32" spans="1:4" x14ac:dyDescent="0.25">
      <c r="A32" t="s">
        <v>40</v>
      </c>
      <c r="B32" t="s">
        <v>1619</v>
      </c>
      <c r="C32" t="s">
        <v>2211</v>
      </c>
      <c r="D32">
        <v>-7</v>
      </c>
    </row>
    <row r="33" spans="1:4" x14ac:dyDescent="0.25">
      <c r="A33" t="s">
        <v>40</v>
      </c>
      <c r="B33" t="s">
        <v>552</v>
      </c>
      <c r="C33" t="s">
        <v>3945</v>
      </c>
      <c r="D33">
        <v>-9</v>
      </c>
    </row>
    <row r="34" spans="1:4" x14ac:dyDescent="0.25">
      <c r="A34" t="s">
        <v>40</v>
      </c>
      <c r="B34" t="s">
        <v>1809</v>
      </c>
      <c r="C34" t="s">
        <v>3891</v>
      </c>
      <c r="D34">
        <v>-12</v>
      </c>
    </row>
    <row r="35" spans="1:4" x14ac:dyDescent="0.25">
      <c r="A35" t="s">
        <v>40</v>
      </c>
      <c r="B35" t="s">
        <v>348</v>
      </c>
      <c r="C35" t="s">
        <v>808</v>
      </c>
      <c r="D35">
        <v>-11</v>
      </c>
    </row>
    <row r="36" spans="1:4" x14ac:dyDescent="0.25">
      <c r="A36" t="s">
        <v>40</v>
      </c>
      <c r="B36" t="s">
        <v>348</v>
      </c>
      <c r="C36" t="s">
        <v>3626</v>
      </c>
      <c r="D36">
        <v>-10</v>
      </c>
    </row>
    <row r="37" spans="1:4" x14ac:dyDescent="0.25">
      <c r="A37" t="s">
        <v>40</v>
      </c>
      <c r="B37" t="s">
        <v>78</v>
      </c>
      <c r="C37" t="s">
        <v>3559</v>
      </c>
      <c r="D37">
        <v>-7</v>
      </c>
    </row>
    <row r="38" spans="1:4" x14ac:dyDescent="0.25">
      <c r="A38" t="s">
        <v>80</v>
      </c>
      <c r="B38" t="s">
        <v>124</v>
      </c>
      <c r="C38" t="s">
        <v>3560</v>
      </c>
      <c r="D38">
        <v>-5</v>
      </c>
    </row>
    <row r="39" spans="1:4" x14ac:dyDescent="0.25">
      <c r="A39" t="s">
        <v>80</v>
      </c>
      <c r="B39" t="s">
        <v>1765</v>
      </c>
      <c r="C39" t="s">
        <v>234</v>
      </c>
      <c r="D39">
        <v>-3</v>
      </c>
    </row>
    <row r="40" spans="1:4" x14ac:dyDescent="0.25">
      <c r="A40" t="s">
        <v>80</v>
      </c>
      <c r="B40" t="s">
        <v>565</v>
      </c>
      <c r="C40" t="s">
        <v>2412</v>
      </c>
      <c r="D40">
        <v>-5</v>
      </c>
    </row>
    <row r="41" spans="1:4" x14ac:dyDescent="0.25">
      <c r="A41" t="s">
        <v>80</v>
      </c>
      <c r="B41" t="s">
        <v>565</v>
      </c>
      <c r="C41" t="s">
        <v>2132</v>
      </c>
      <c r="D41">
        <v>-6</v>
      </c>
    </row>
    <row r="42" spans="1:4" x14ac:dyDescent="0.25">
      <c r="A42" t="s">
        <v>80</v>
      </c>
      <c r="B42" t="s">
        <v>1010</v>
      </c>
      <c r="C42" t="s">
        <v>84</v>
      </c>
      <c r="D42">
        <v>-8</v>
      </c>
    </row>
    <row r="43" spans="1:4" x14ac:dyDescent="0.25">
      <c r="A43" t="s">
        <v>80</v>
      </c>
      <c r="B43" t="s">
        <v>132</v>
      </c>
      <c r="C43" t="s">
        <v>86</v>
      </c>
      <c r="D43">
        <v>-9</v>
      </c>
    </row>
    <row r="44" spans="1:4" x14ac:dyDescent="0.25">
      <c r="A44" t="s">
        <v>80</v>
      </c>
      <c r="B44" t="s">
        <v>177</v>
      </c>
      <c r="C44" t="s">
        <v>3946</v>
      </c>
      <c r="D44">
        <v>-12</v>
      </c>
    </row>
    <row r="45" spans="1:4" x14ac:dyDescent="0.25">
      <c r="A45" t="s">
        <v>80</v>
      </c>
      <c r="B45" t="s">
        <v>1723</v>
      </c>
      <c r="C45" t="s">
        <v>3947</v>
      </c>
      <c r="D45">
        <v>-14</v>
      </c>
    </row>
    <row r="46" spans="1:4" x14ac:dyDescent="0.25">
      <c r="A46" t="s">
        <v>80</v>
      </c>
      <c r="B46" t="s">
        <v>135</v>
      </c>
      <c r="C46" t="s">
        <v>3948</v>
      </c>
      <c r="D46">
        <v>-12</v>
      </c>
    </row>
    <row r="47" spans="1:4" x14ac:dyDescent="0.25">
      <c r="A47" t="s">
        <v>80</v>
      </c>
      <c r="B47" t="s">
        <v>101</v>
      </c>
      <c r="C47" t="s">
        <v>3949</v>
      </c>
      <c r="D47">
        <v>-15</v>
      </c>
    </row>
    <row r="48" spans="1:4" x14ac:dyDescent="0.25">
      <c r="A48" t="s">
        <v>80</v>
      </c>
      <c r="B48" t="s">
        <v>663</v>
      </c>
      <c r="C48" t="s">
        <v>3950</v>
      </c>
      <c r="D48">
        <v>-13</v>
      </c>
    </row>
    <row r="49" spans="1:4" x14ac:dyDescent="0.25">
      <c r="A49" t="s">
        <v>80</v>
      </c>
      <c r="B49" t="s">
        <v>339</v>
      </c>
      <c r="C49" t="s">
        <v>3784</v>
      </c>
      <c r="D49">
        <v>-15</v>
      </c>
    </row>
    <row r="50" spans="1:4" x14ac:dyDescent="0.25">
      <c r="A50" t="s">
        <v>80</v>
      </c>
      <c r="B50" t="s">
        <v>987</v>
      </c>
      <c r="C50" t="s">
        <v>3911</v>
      </c>
      <c r="D50">
        <v>-17</v>
      </c>
    </row>
    <row r="51" spans="1:4" x14ac:dyDescent="0.25">
      <c r="A51" t="s">
        <v>80</v>
      </c>
      <c r="B51" t="s">
        <v>990</v>
      </c>
      <c r="C51" t="s">
        <v>1897</v>
      </c>
      <c r="D51">
        <v>-18</v>
      </c>
    </row>
    <row r="52" spans="1:4" x14ac:dyDescent="0.25">
      <c r="A52" t="s">
        <v>80</v>
      </c>
      <c r="B52" t="s">
        <v>990</v>
      </c>
      <c r="C52" t="s">
        <v>3951</v>
      </c>
      <c r="D52">
        <v>-19</v>
      </c>
    </row>
    <row r="53" spans="1:4" x14ac:dyDescent="0.25">
      <c r="A53" t="s">
        <v>80</v>
      </c>
      <c r="B53" t="s">
        <v>2112</v>
      </c>
      <c r="C53" t="s">
        <v>3952</v>
      </c>
      <c r="D53">
        <v>-21</v>
      </c>
    </row>
    <row r="54" spans="1:4" x14ac:dyDescent="0.25">
      <c r="A54" t="s">
        <v>80</v>
      </c>
      <c r="B54" t="s">
        <v>477</v>
      </c>
      <c r="C54" t="s">
        <v>3953</v>
      </c>
      <c r="D54">
        <v>-19</v>
      </c>
    </row>
    <row r="55" spans="1:4" x14ac:dyDescent="0.25">
      <c r="A55" t="s">
        <v>80</v>
      </c>
      <c r="B55" t="s">
        <v>294</v>
      </c>
      <c r="C55" t="s">
        <v>3917</v>
      </c>
      <c r="D55">
        <v>-16</v>
      </c>
    </row>
    <row r="56" spans="1:4" x14ac:dyDescent="0.25">
      <c r="A56" t="s">
        <v>80</v>
      </c>
      <c r="B56" t="s">
        <v>394</v>
      </c>
      <c r="C56" t="s">
        <v>3954</v>
      </c>
      <c r="D56">
        <v>-17</v>
      </c>
    </row>
    <row r="57" spans="1:4" x14ac:dyDescent="0.25">
      <c r="A57" t="s">
        <v>80</v>
      </c>
      <c r="B57" t="s">
        <v>394</v>
      </c>
      <c r="C57" t="s">
        <v>3792</v>
      </c>
      <c r="D57">
        <v>-18</v>
      </c>
    </row>
    <row r="58" spans="1:4" x14ac:dyDescent="0.25">
      <c r="A58" t="s">
        <v>80</v>
      </c>
      <c r="B58" t="s">
        <v>76</v>
      </c>
      <c r="C58" t="s">
        <v>3955</v>
      </c>
      <c r="D58">
        <v>-16</v>
      </c>
    </row>
    <row r="59" spans="1:4" x14ac:dyDescent="0.25">
      <c r="A59" t="s">
        <v>123</v>
      </c>
      <c r="B59" t="s">
        <v>714</v>
      </c>
      <c r="C59" t="s">
        <v>3794</v>
      </c>
      <c r="D59">
        <v>-19</v>
      </c>
    </row>
    <row r="60" spans="1:4" x14ac:dyDescent="0.25">
      <c r="A60" t="s">
        <v>123</v>
      </c>
      <c r="B60" t="s">
        <v>427</v>
      </c>
      <c r="C60" t="s">
        <v>3956</v>
      </c>
      <c r="D60">
        <v>-22</v>
      </c>
    </row>
    <row r="61" spans="1:4" x14ac:dyDescent="0.25">
      <c r="A61" t="s">
        <v>123</v>
      </c>
      <c r="B61" t="s">
        <v>2151</v>
      </c>
      <c r="C61" t="s">
        <v>3957</v>
      </c>
      <c r="D61">
        <v>-20</v>
      </c>
    </row>
    <row r="62" spans="1:4" x14ac:dyDescent="0.25">
      <c r="A62" t="s">
        <v>123</v>
      </c>
      <c r="B62" t="s">
        <v>329</v>
      </c>
      <c r="C62" t="s">
        <v>3798</v>
      </c>
      <c r="D62">
        <v>-22</v>
      </c>
    </row>
    <row r="63" spans="1:4" x14ac:dyDescent="0.25">
      <c r="A63" t="s">
        <v>123</v>
      </c>
      <c r="B63" t="s">
        <v>359</v>
      </c>
      <c r="C63" t="s">
        <v>3925</v>
      </c>
      <c r="D63">
        <v>-20</v>
      </c>
    </row>
    <row r="64" spans="1:4" x14ac:dyDescent="0.25">
      <c r="A64" t="s">
        <v>123</v>
      </c>
      <c r="B64" t="s">
        <v>1194</v>
      </c>
      <c r="C64" t="s">
        <v>3636</v>
      </c>
      <c r="D64">
        <v>-17</v>
      </c>
    </row>
    <row r="65" spans="1:4" x14ac:dyDescent="0.25">
      <c r="A65" t="s">
        <v>123</v>
      </c>
      <c r="B65" t="s">
        <v>804</v>
      </c>
      <c r="C65" t="s">
        <v>3958</v>
      </c>
      <c r="D65">
        <v>-15</v>
      </c>
    </row>
    <row r="66" spans="1:4" x14ac:dyDescent="0.25">
      <c r="A66" t="s">
        <v>123</v>
      </c>
      <c r="B66" t="s">
        <v>1776</v>
      </c>
      <c r="C66" t="s">
        <v>3638</v>
      </c>
      <c r="D66">
        <v>-17</v>
      </c>
    </row>
    <row r="67" spans="1:4" x14ac:dyDescent="0.25">
      <c r="A67" t="s">
        <v>123</v>
      </c>
      <c r="B67" t="s">
        <v>1776</v>
      </c>
      <c r="C67" t="s">
        <v>3959</v>
      </c>
      <c r="D67">
        <v>-18</v>
      </c>
    </row>
    <row r="68" spans="1:4" x14ac:dyDescent="0.25">
      <c r="A68" t="s">
        <v>123</v>
      </c>
      <c r="B68" t="s">
        <v>1228</v>
      </c>
      <c r="C68" t="s">
        <v>2582</v>
      </c>
      <c r="D68">
        <v>-16</v>
      </c>
    </row>
    <row r="69" spans="1:4" x14ac:dyDescent="0.25">
      <c r="A69" t="s">
        <v>123</v>
      </c>
      <c r="B69" t="s">
        <v>25</v>
      </c>
      <c r="C69" t="s">
        <v>2616</v>
      </c>
      <c r="D69">
        <v>-15</v>
      </c>
    </row>
    <row r="70" spans="1:4" x14ac:dyDescent="0.25">
      <c r="A70" t="s">
        <v>123</v>
      </c>
      <c r="B70" t="s">
        <v>25</v>
      </c>
      <c r="C70" t="s">
        <v>2583</v>
      </c>
      <c r="D70">
        <v>-14</v>
      </c>
    </row>
    <row r="71" spans="1:4" x14ac:dyDescent="0.25">
      <c r="A71" t="s">
        <v>123</v>
      </c>
      <c r="B71" t="s">
        <v>112</v>
      </c>
      <c r="C71" t="s">
        <v>1784</v>
      </c>
      <c r="D71">
        <v>-11</v>
      </c>
    </row>
    <row r="72" spans="1:4" x14ac:dyDescent="0.25">
      <c r="A72" t="s">
        <v>123</v>
      </c>
      <c r="B72" t="s">
        <v>813</v>
      </c>
      <c r="C72" t="s">
        <v>1785</v>
      </c>
      <c r="D72">
        <v>-12</v>
      </c>
    </row>
    <row r="73" spans="1:4" x14ac:dyDescent="0.25">
      <c r="A73" t="s">
        <v>123</v>
      </c>
      <c r="B73" t="s">
        <v>529</v>
      </c>
      <c r="C73" t="s">
        <v>3097</v>
      </c>
      <c r="D73">
        <v>-14</v>
      </c>
    </row>
    <row r="74" spans="1:4" x14ac:dyDescent="0.25">
      <c r="A74" t="s">
        <v>123</v>
      </c>
      <c r="B74" t="s">
        <v>118</v>
      </c>
      <c r="C74" t="s">
        <v>3098</v>
      </c>
      <c r="D74">
        <v>-13</v>
      </c>
    </row>
    <row r="75" spans="1:4" x14ac:dyDescent="0.25">
      <c r="A75" t="s">
        <v>123</v>
      </c>
      <c r="B75" t="s">
        <v>118</v>
      </c>
      <c r="C75" t="s">
        <v>3099</v>
      </c>
      <c r="D75">
        <v>-12</v>
      </c>
    </row>
    <row r="76" spans="1:4" x14ac:dyDescent="0.25">
      <c r="A76" t="s">
        <v>123</v>
      </c>
      <c r="B76" t="s">
        <v>31</v>
      </c>
      <c r="C76" t="s">
        <v>291</v>
      </c>
      <c r="D76">
        <v>-10</v>
      </c>
    </row>
    <row r="77" spans="1:4" x14ac:dyDescent="0.25">
      <c r="A77" t="s">
        <v>123</v>
      </c>
      <c r="B77" t="s">
        <v>72</v>
      </c>
      <c r="C77" t="s">
        <v>2620</v>
      </c>
      <c r="D77">
        <v>-11</v>
      </c>
    </row>
    <row r="78" spans="1:4" x14ac:dyDescent="0.25">
      <c r="A78" t="s">
        <v>123</v>
      </c>
      <c r="B78" t="s">
        <v>531</v>
      </c>
      <c r="C78" t="s">
        <v>145</v>
      </c>
      <c r="D78">
        <v>-10</v>
      </c>
    </row>
    <row r="79" spans="1:4" x14ac:dyDescent="0.25">
      <c r="A79" t="s">
        <v>123</v>
      </c>
      <c r="B79" t="s">
        <v>531</v>
      </c>
      <c r="C79" t="s">
        <v>2428</v>
      </c>
      <c r="D79">
        <v>-9</v>
      </c>
    </row>
    <row r="80" spans="1:4" x14ac:dyDescent="0.25">
      <c r="A80" t="s">
        <v>123</v>
      </c>
      <c r="B80" t="s">
        <v>531</v>
      </c>
      <c r="C80" t="s">
        <v>2621</v>
      </c>
      <c r="D80">
        <v>-8</v>
      </c>
    </row>
    <row r="81" spans="1:4" x14ac:dyDescent="0.25">
      <c r="A81" t="s">
        <v>123</v>
      </c>
      <c r="B81" t="s">
        <v>1115</v>
      </c>
      <c r="C81" t="s">
        <v>856</v>
      </c>
      <c r="D81">
        <v>-9</v>
      </c>
    </row>
    <row r="82" spans="1:4" x14ac:dyDescent="0.25">
      <c r="A82" t="s">
        <v>123</v>
      </c>
      <c r="B82" t="s">
        <v>1115</v>
      </c>
      <c r="C82" t="s">
        <v>3960</v>
      </c>
      <c r="D82">
        <v>-10</v>
      </c>
    </row>
    <row r="83" spans="1:4" x14ac:dyDescent="0.25">
      <c r="A83" t="s">
        <v>123</v>
      </c>
      <c r="B83" t="s">
        <v>634</v>
      </c>
      <c r="C83" t="s">
        <v>2974</v>
      </c>
      <c r="D83">
        <v>-9</v>
      </c>
    </row>
    <row r="84" spans="1:4" x14ac:dyDescent="0.25">
      <c r="A84" t="s">
        <v>123</v>
      </c>
      <c r="B84" t="s">
        <v>634</v>
      </c>
      <c r="C84" t="s">
        <v>300</v>
      </c>
      <c r="D84">
        <v>-8</v>
      </c>
    </row>
    <row r="85" spans="1:4" x14ac:dyDescent="0.25">
      <c r="A85" t="s">
        <v>123</v>
      </c>
      <c r="B85" t="s">
        <v>1180</v>
      </c>
      <c r="C85" t="s">
        <v>302</v>
      </c>
      <c r="D85">
        <v>-9</v>
      </c>
    </row>
    <row r="86" spans="1:4" x14ac:dyDescent="0.25">
      <c r="A86" t="s">
        <v>123</v>
      </c>
      <c r="B86" t="s">
        <v>1180</v>
      </c>
      <c r="C86" t="s">
        <v>3961</v>
      </c>
      <c r="D86">
        <v>-10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-10.117647058823529</v>
      </c>
    </row>
    <row r="90" spans="1:4" x14ac:dyDescent="0.25">
      <c r="A90" t="s">
        <v>159</v>
      </c>
      <c r="D90">
        <f>MAX(D2:D86)</f>
        <v>2</v>
      </c>
    </row>
    <row r="91" spans="1:4" x14ac:dyDescent="0.25">
      <c r="A91" t="s">
        <v>160</v>
      </c>
      <c r="D91">
        <f>MIN(D2:D86)</f>
        <v>-22</v>
      </c>
    </row>
    <row r="92" spans="1:4" x14ac:dyDescent="0.25">
      <c r="A92" t="s">
        <v>161</v>
      </c>
      <c r="D92">
        <f>COUNTIF(D2:D86,"&gt;0")</f>
        <v>3</v>
      </c>
    </row>
    <row r="93" spans="1:4" x14ac:dyDescent="0.25">
      <c r="A93" t="s">
        <v>162</v>
      </c>
      <c r="D93">
        <f>COUNTIF(D2:D86,"=0")</f>
        <v>2</v>
      </c>
    </row>
    <row r="94" spans="1:4" x14ac:dyDescent="0.25">
      <c r="A94" t="s">
        <v>561</v>
      </c>
      <c r="D94">
        <f>COUNTIF(D2:D86,"&lt;0")</f>
        <v>80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AVERAGE(D2,D3,D4,D5,D6,D7,D8,D9,D10,D11,D12,D13,D14,D15,D16,D17,D18,D19,D20,D21)</f>
        <v>-2.95</v>
      </c>
    </row>
    <row r="98" spans="1:4" x14ac:dyDescent="0.25">
      <c r="A98" t="s">
        <v>166</v>
      </c>
      <c r="D98">
        <f>AVERAGE(D22,D23,D24,D25,D26,D27,D28,D29,D30,D31,D32,D33,D34,D35,D36,D37)</f>
        <v>-8.9375</v>
      </c>
    </row>
    <row r="99" spans="1:4" x14ac:dyDescent="0.25">
      <c r="A99" t="s">
        <v>167</v>
      </c>
      <c r="D99">
        <f>AVERAGE(D38,D39,D40,D41,D42,D43,D44,D45,D46,D47,D48,D49,D50,D51,D52,D53,D54,D55,D56,D57,D58)</f>
        <v>-13.238095238095237</v>
      </c>
    </row>
    <row r="100" spans="1:4" x14ac:dyDescent="0.25">
      <c r="A100" t="s">
        <v>168</v>
      </c>
      <c r="D100">
        <f>AVERAGE(D59,D60,D61,D62,D63,D64,D65,D66,D67,D68,D69,D70,D71,D72,D73,D74,D75,D76,D77,D78,D79,D80,D81,D82,D83,D84,D85,D86)</f>
        <v>-13.571428571428571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11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7</v>
      </c>
      <c r="C2" t="s">
        <v>6</v>
      </c>
      <c r="D2">
        <v>2</v>
      </c>
    </row>
    <row r="3" spans="1:4" x14ac:dyDescent="0.25">
      <c r="A3" t="s">
        <v>4</v>
      </c>
      <c r="B3" t="s">
        <v>271</v>
      </c>
      <c r="C3" t="s">
        <v>8</v>
      </c>
      <c r="D3">
        <v>0</v>
      </c>
    </row>
    <row r="4" spans="1:4" x14ac:dyDescent="0.25">
      <c r="A4" t="s">
        <v>4</v>
      </c>
      <c r="B4" t="s">
        <v>9</v>
      </c>
      <c r="C4" t="s">
        <v>306</v>
      </c>
      <c r="D4">
        <v>-1</v>
      </c>
    </row>
    <row r="5" spans="1:4" x14ac:dyDescent="0.25">
      <c r="A5" t="s">
        <v>4</v>
      </c>
      <c r="B5" t="s">
        <v>9</v>
      </c>
      <c r="C5" t="s">
        <v>10</v>
      </c>
      <c r="D5">
        <v>-2</v>
      </c>
    </row>
    <row r="6" spans="1:4" x14ac:dyDescent="0.25">
      <c r="A6" t="s">
        <v>4</v>
      </c>
      <c r="B6" t="s">
        <v>87</v>
      </c>
      <c r="C6" t="s">
        <v>12</v>
      </c>
      <c r="D6">
        <v>0</v>
      </c>
    </row>
    <row r="7" spans="1:4" x14ac:dyDescent="0.25">
      <c r="A7" t="s">
        <v>4</v>
      </c>
      <c r="B7" t="s">
        <v>759</v>
      </c>
      <c r="C7" t="s">
        <v>14</v>
      </c>
      <c r="D7">
        <v>-3</v>
      </c>
    </row>
    <row r="8" spans="1:4" x14ac:dyDescent="0.25">
      <c r="A8" t="s">
        <v>4</v>
      </c>
      <c r="B8" t="s">
        <v>275</v>
      </c>
      <c r="C8" t="s">
        <v>567</v>
      </c>
      <c r="D8">
        <v>0</v>
      </c>
    </row>
    <row r="9" spans="1:4" x14ac:dyDescent="0.25">
      <c r="A9" t="s">
        <v>4</v>
      </c>
      <c r="B9" t="s">
        <v>335</v>
      </c>
      <c r="C9" t="s">
        <v>1351</v>
      </c>
      <c r="D9">
        <v>3</v>
      </c>
    </row>
    <row r="10" spans="1:4" x14ac:dyDescent="0.25">
      <c r="A10" t="s">
        <v>4</v>
      </c>
      <c r="B10" t="s">
        <v>465</v>
      </c>
      <c r="C10" t="s">
        <v>22</v>
      </c>
      <c r="D10">
        <v>2</v>
      </c>
    </row>
    <row r="11" spans="1:4" x14ac:dyDescent="0.25">
      <c r="A11" t="s">
        <v>4</v>
      </c>
      <c r="B11" t="s">
        <v>465</v>
      </c>
      <c r="C11" t="s">
        <v>699</v>
      </c>
      <c r="D11">
        <v>1</v>
      </c>
    </row>
    <row r="12" spans="1:4" x14ac:dyDescent="0.25">
      <c r="A12" t="s">
        <v>4</v>
      </c>
      <c r="B12" t="s">
        <v>97</v>
      </c>
      <c r="C12" t="s">
        <v>26</v>
      </c>
      <c r="D12">
        <v>3</v>
      </c>
    </row>
    <row r="13" spans="1:4" x14ac:dyDescent="0.25">
      <c r="A13" t="s">
        <v>4</v>
      </c>
      <c r="B13" t="s">
        <v>99</v>
      </c>
      <c r="C13" t="s">
        <v>28</v>
      </c>
      <c r="D13">
        <v>1</v>
      </c>
    </row>
    <row r="14" spans="1:4" x14ac:dyDescent="0.25">
      <c r="A14" t="s">
        <v>4</v>
      </c>
      <c r="B14" t="s">
        <v>1108</v>
      </c>
      <c r="C14" t="s">
        <v>3025</v>
      </c>
      <c r="D14">
        <v>3</v>
      </c>
    </row>
    <row r="15" spans="1:4" x14ac:dyDescent="0.25">
      <c r="A15" t="s">
        <v>4</v>
      </c>
      <c r="B15" t="s">
        <v>285</v>
      </c>
      <c r="C15" t="s">
        <v>32</v>
      </c>
      <c r="D15">
        <v>1</v>
      </c>
    </row>
    <row r="16" spans="1:4" x14ac:dyDescent="0.25">
      <c r="A16" t="s">
        <v>4</v>
      </c>
      <c r="B16" t="s">
        <v>1481</v>
      </c>
      <c r="C16" t="s">
        <v>35</v>
      </c>
      <c r="D16">
        <v>-1</v>
      </c>
    </row>
    <row r="17" spans="1:4" x14ac:dyDescent="0.25">
      <c r="A17" t="s">
        <v>4</v>
      </c>
      <c r="B17" t="s">
        <v>267</v>
      </c>
      <c r="C17" t="s">
        <v>446</v>
      </c>
      <c r="D17">
        <v>1</v>
      </c>
    </row>
    <row r="18" spans="1:4" x14ac:dyDescent="0.25">
      <c r="A18" t="s">
        <v>4</v>
      </c>
      <c r="B18" t="s">
        <v>1843</v>
      </c>
      <c r="C18" t="s">
        <v>2156</v>
      </c>
      <c r="D18">
        <v>-2</v>
      </c>
    </row>
    <row r="19" spans="1:4" x14ac:dyDescent="0.25">
      <c r="A19" t="s">
        <v>4</v>
      </c>
      <c r="B19" t="s">
        <v>1675</v>
      </c>
      <c r="C19" t="s">
        <v>583</v>
      </c>
      <c r="D19">
        <v>1</v>
      </c>
    </row>
    <row r="20" spans="1:4" x14ac:dyDescent="0.25">
      <c r="A20" t="s">
        <v>4</v>
      </c>
      <c r="B20" t="s">
        <v>294</v>
      </c>
      <c r="C20" t="s">
        <v>44</v>
      </c>
      <c r="D20">
        <v>-2</v>
      </c>
    </row>
    <row r="21" spans="1:4" x14ac:dyDescent="0.25">
      <c r="A21" t="s">
        <v>4</v>
      </c>
      <c r="B21" t="s">
        <v>78</v>
      </c>
      <c r="C21" t="s">
        <v>1438</v>
      </c>
      <c r="D21">
        <v>0</v>
      </c>
    </row>
    <row r="22" spans="1:4" x14ac:dyDescent="0.25">
      <c r="A22" t="s">
        <v>40</v>
      </c>
      <c r="B22" t="s">
        <v>954</v>
      </c>
      <c r="C22" t="s">
        <v>1823</v>
      </c>
      <c r="D22">
        <v>2</v>
      </c>
    </row>
    <row r="23" spans="1:4" x14ac:dyDescent="0.25">
      <c r="A23" t="s">
        <v>40</v>
      </c>
      <c r="B23" t="s">
        <v>779</v>
      </c>
      <c r="C23" t="s">
        <v>3721</v>
      </c>
      <c r="D23">
        <v>0</v>
      </c>
    </row>
    <row r="24" spans="1:4" x14ac:dyDescent="0.25">
      <c r="A24" t="s">
        <v>40</v>
      </c>
      <c r="B24" t="s">
        <v>213</v>
      </c>
      <c r="C24" t="s">
        <v>1440</v>
      </c>
      <c r="D24">
        <v>2</v>
      </c>
    </row>
    <row r="25" spans="1:4" x14ac:dyDescent="0.25">
      <c r="A25" t="s">
        <v>40</v>
      </c>
      <c r="B25" t="s">
        <v>1033</v>
      </c>
      <c r="C25" t="s">
        <v>457</v>
      </c>
      <c r="D25">
        <v>0</v>
      </c>
    </row>
    <row r="26" spans="1:4" x14ac:dyDescent="0.25">
      <c r="A26" t="s">
        <v>40</v>
      </c>
      <c r="B26" t="s">
        <v>221</v>
      </c>
      <c r="C26" t="s">
        <v>459</v>
      </c>
      <c r="D26">
        <v>-3</v>
      </c>
    </row>
    <row r="27" spans="1:4" x14ac:dyDescent="0.25">
      <c r="A27" t="s">
        <v>40</v>
      </c>
      <c r="B27" t="s">
        <v>519</v>
      </c>
      <c r="C27" t="s">
        <v>3962</v>
      </c>
      <c r="D27">
        <v>-1</v>
      </c>
    </row>
    <row r="28" spans="1:4" x14ac:dyDescent="0.25">
      <c r="A28" t="s">
        <v>40</v>
      </c>
      <c r="B28" t="s">
        <v>887</v>
      </c>
      <c r="C28" t="s">
        <v>3081</v>
      </c>
      <c r="D28">
        <v>-3</v>
      </c>
    </row>
    <row r="29" spans="1:4" x14ac:dyDescent="0.25">
      <c r="A29" t="s">
        <v>40</v>
      </c>
      <c r="B29" t="s">
        <v>1217</v>
      </c>
      <c r="C29" t="s">
        <v>463</v>
      </c>
      <c r="D29">
        <v>-2</v>
      </c>
    </row>
    <row r="30" spans="1:4" x14ac:dyDescent="0.25">
      <c r="A30" t="s">
        <v>40</v>
      </c>
      <c r="B30" t="s">
        <v>1217</v>
      </c>
      <c r="C30" t="s">
        <v>2332</v>
      </c>
      <c r="D30">
        <v>-1</v>
      </c>
    </row>
    <row r="31" spans="1:4" x14ac:dyDescent="0.25">
      <c r="A31" t="s">
        <v>40</v>
      </c>
      <c r="B31" t="s">
        <v>72</v>
      </c>
      <c r="C31" t="s">
        <v>1130</v>
      </c>
      <c r="D31">
        <v>2</v>
      </c>
    </row>
    <row r="32" spans="1:4" x14ac:dyDescent="0.25">
      <c r="A32" t="s">
        <v>40</v>
      </c>
      <c r="B32" t="s">
        <v>1437</v>
      </c>
      <c r="C32" t="s">
        <v>1131</v>
      </c>
      <c r="D32">
        <v>3</v>
      </c>
    </row>
    <row r="33" spans="1:4" x14ac:dyDescent="0.25">
      <c r="A33" t="s">
        <v>40</v>
      </c>
      <c r="B33" t="s">
        <v>2042</v>
      </c>
      <c r="C33" t="s">
        <v>2361</v>
      </c>
      <c r="D33">
        <v>4</v>
      </c>
    </row>
    <row r="34" spans="1:4" x14ac:dyDescent="0.25">
      <c r="A34" t="s">
        <v>40</v>
      </c>
      <c r="B34" t="s">
        <v>2042</v>
      </c>
      <c r="C34" t="s">
        <v>1444</v>
      </c>
      <c r="D34">
        <v>5</v>
      </c>
    </row>
    <row r="35" spans="1:4" x14ac:dyDescent="0.25">
      <c r="A35" t="s">
        <v>40</v>
      </c>
      <c r="B35" t="s">
        <v>772</v>
      </c>
      <c r="C35" t="s">
        <v>727</v>
      </c>
      <c r="D35">
        <v>4</v>
      </c>
    </row>
    <row r="36" spans="1:4" x14ac:dyDescent="0.25">
      <c r="A36" t="s">
        <v>40</v>
      </c>
      <c r="B36" t="s">
        <v>772</v>
      </c>
      <c r="C36" t="s">
        <v>2267</v>
      </c>
      <c r="D36">
        <v>3</v>
      </c>
    </row>
    <row r="37" spans="1:4" x14ac:dyDescent="0.25">
      <c r="A37" t="s">
        <v>40</v>
      </c>
      <c r="B37" t="s">
        <v>38</v>
      </c>
      <c r="C37" t="s">
        <v>2268</v>
      </c>
      <c r="D37">
        <v>5</v>
      </c>
    </row>
    <row r="38" spans="1:4" x14ac:dyDescent="0.25">
      <c r="A38" t="s">
        <v>80</v>
      </c>
      <c r="B38" t="s">
        <v>857</v>
      </c>
      <c r="C38" t="s">
        <v>2565</v>
      </c>
      <c r="D38">
        <v>7</v>
      </c>
    </row>
    <row r="39" spans="1:4" x14ac:dyDescent="0.25">
      <c r="A39" t="s">
        <v>80</v>
      </c>
      <c r="B39" t="s">
        <v>1116</v>
      </c>
      <c r="C39" t="s">
        <v>2980</v>
      </c>
      <c r="D39">
        <v>9</v>
      </c>
    </row>
    <row r="40" spans="1:4" x14ac:dyDescent="0.25">
      <c r="A40" t="s">
        <v>80</v>
      </c>
      <c r="B40" t="s">
        <v>45</v>
      </c>
      <c r="C40" t="s">
        <v>3731</v>
      </c>
      <c r="D40">
        <v>6</v>
      </c>
    </row>
    <row r="41" spans="1:4" x14ac:dyDescent="0.25">
      <c r="A41" t="s">
        <v>80</v>
      </c>
      <c r="B41" t="s">
        <v>1849</v>
      </c>
      <c r="C41" t="s">
        <v>2165</v>
      </c>
      <c r="D41">
        <v>8</v>
      </c>
    </row>
    <row r="42" spans="1:4" x14ac:dyDescent="0.25">
      <c r="A42" t="s">
        <v>80</v>
      </c>
      <c r="B42" t="s">
        <v>2355</v>
      </c>
      <c r="C42" t="s">
        <v>2305</v>
      </c>
      <c r="D42">
        <v>5</v>
      </c>
    </row>
    <row r="43" spans="1:4" x14ac:dyDescent="0.25">
      <c r="A43" t="s">
        <v>80</v>
      </c>
      <c r="B43" t="s">
        <v>1169</v>
      </c>
      <c r="C43" t="s">
        <v>3208</v>
      </c>
      <c r="D43">
        <v>7</v>
      </c>
    </row>
    <row r="44" spans="1:4" x14ac:dyDescent="0.25">
      <c r="A44" t="s">
        <v>80</v>
      </c>
      <c r="B44" t="s">
        <v>914</v>
      </c>
      <c r="C44" t="s">
        <v>2596</v>
      </c>
      <c r="D44">
        <v>5</v>
      </c>
    </row>
    <row r="45" spans="1:4" x14ac:dyDescent="0.25">
      <c r="A45" t="s">
        <v>80</v>
      </c>
      <c r="B45" t="s">
        <v>1065</v>
      </c>
      <c r="C45" t="s">
        <v>1522</v>
      </c>
      <c r="D45">
        <v>2</v>
      </c>
    </row>
    <row r="46" spans="1:4" x14ac:dyDescent="0.25">
      <c r="A46" t="s">
        <v>80</v>
      </c>
      <c r="B46" t="s">
        <v>1725</v>
      </c>
      <c r="C46" t="s">
        <v>736</v>
      </c>
      <c r="D46">
        <v>1</v>
      </c>
    </row>
    <row r="47" spans="1:4" x14ac:dyDescent="0.25">
      <c r="A47" t="s">
        <v>80</v>
      </c>
      <c r="B47" t="s">
        <v>1725</v>
      </c>
      <c r="C47" t="s">
        <v>253</v>
      </c>
      <c r="D47">
        <v>0</v>
      </c>
    </row>
    <row r="48" spans="1:4" x14ac:dyDescent="0.25">
      <c r="A48" t="s">
        <v>80</v>
      </c>
      <c r="B48" t="s">
        <v>370</v>
      </c>
      <c r="C48" t="s">
        <v>2877</v>
      </c>
      <c r="D48">
        <v>-2</v>
      </c>
    </row>
    <row r="49" spans="1:4" x14ac:dyDescent="0.25">
      <c r="A49" t="s">
        <v>80</v>
      </c>
      <c r="B49" t="s">
        <v>370</v>
      </c>
      <c r="C49" t="s">
        <v>255</v>
      </c>
      <c r="D49">
        <v>-3</v>
      </c>
    </row>
    <row r="50" spans="1:4" x14ac:dyDescent="0.25">
      <c r="A50" t="s">
        <v>80</v>
      </c>
      <c r="B50" t="s">
        <v>1819</v>
      </c>
      <c r="C50" t="s">
        <v>258</v>
      </c>
      <c r="D50">
        <v>-1</v>
      </c>
    </row>
    <row r="51" spans="1:4" x14ac:dyDescent="0.25">
      <c r="A51" t="s">
        <v>80</v>
      </c>
      <c r="B51" t="s">
        <v>1855</v>
      </c>
      <c r="C51" t="s">
        <v>2490</v>
      </c>
      <c r="D51">
        <v>0</v>
      </c>
    </row>
    <row r="52" spans="1:4" x14ac:dyDescent="0.25">
      <c r="A52" t="s">
        <v>80</v>
      </c>
      <c r="B52" t="s">
        <v>519</v>
      </c>
      <c r="C52" t="s">
        <v>3963</v>
      </c>
      <c r="D52">
        <v>2</v>
      </c>
    </row>
    <row r="53" spans="1:4" x14ac:dyDescent="0.25">
      <c r="A53" t="s">
        <v>80</v>
      </c>
      <c r="B53" t="s">
        <v>663</v>
      </c>
      <c r="C53" t="s">
        <v>2880</v>
      </c>
      <c r="D53">
        <v>1</v>
      </c>
    </row>
    <row r="54" spans="1:4" x14ac:dyDescent="0.25">
      <c r="A54" t="s">
        <v>80</v>
      </c>
      <c r="B54" t="s">
        <v>663</v>
      </c>
      <c r="C54" t="s">
        <v>1728</v>
      </c>
      <c r="D54">
        <v>0</v>
      </c>
    </row>
    <row r="55" spans="1:4" x14ac:dyDescent="0.25">
      <c r="A55" t="s">
        <v>80</v>
      </c>
      <c r="B55" t="s">
        <v>663</v>
      </c>
      <c r="C55" t="s">
        <v>2491</v>
      </c>
      <c r="D55">
        <v>-1</v>
      </c>
    </row>
    <row r="56" spans="1:4" x14ac:dyDescent="0.25">
      <c r="A56" t="s">
        <v>80</v>
      </c>
      <c r="B56" t="s">
        <v>341</v>
      </c>
      <c r="C56" t="s">
        <v>2447</v>
      </c>
      <c r="D56">
        <v>2</v>
      </c>
    </row>
    <row r="57" spans="1:4" x14ac:dyDescent="0.25">
      <c r="A57" t="s">
        <v>80</v>
      </c>
      <c r="B57" t="s">
        <v>389</v>
      </c>
      <c r="C57" t="s">
        <v>3454</v>
      </c>
      <c r="D57">
        <v>-1</v>
      </c>
    </row>
    <row r="58" spans="1:4" x14ac:dyDescent="0.25">
      <c r="A58" t="s">
        <v>80</v>
      </c>
      <c r="B58" t="s">
        <v>1437</v>
      </c>
      <c r="C58" t="s">
        <v>3083</v>
      </c>
      <c r="D58">
        <v>-3</v>
      </c>
    </row>
    <row r="59" spans="1:4" x14ac:dyDescent="0.25">
      <c r="A59" t="s">
        <v>80</v>
      </c>
      <c r="B59" t="s">
        <v>1733</v>
      </c>
      <c r="C59" t="s">
        <v>117</v>
      </c>
      <c r="D59">
        <v>-6</v>
      </c>
    </row>
    <row r="60" spans="1:4" x14ac:dyDescent="0.25">
      <c r="A60" t="s">
        <v>123</v>
      </c>
      <c r="B60" t="s">
        <v>1541</v>
      </c>
      <c r="C60" t="s">
        <v>839</v>
      </c>
      <c r="D60">
        <v>-4</v>
      </c>
    </row>
    <row r="61" spans="1:4" x14ac:dyDescent="0.25">
      <c r="A61" t="s">
        <v>123</v>
      </c>
      <c r="B61" t="s">
        <v>1665</v>
      </c>
      <c r="C61" t="s">
        <v>1235</v>
      </c>
      <c r="D61">
        <v>-6</v>
      </c>
    </row>
    <row r="62" spans="1:4" x14ac:dyDescent="0.25">
      <c r="A62" t="s">
        <v>123</v>
      </c>
      <c r="B62" t="s">
        <v>1573</v>
      </c>
      <c r="C62" t="s">
        <v>2420</v>
      </c>
      <c r="D62">
        <v>-8</v>
      </c>
    </row>
    <row r="63" spans="1:4" x14ac:dyDescent="0.25">
      <c r="A63" t="s">
        <v>123</v>
      </c>
      <c r="B63" t="s">
        <v>1029</v>
      </c>
      <c r="C63" t="s">
        <v>1238</v>
      </c>
      <c r="D63">
        <v>-5</v>
      </c>
    </row>
    <row r="64" spans="1:4" x14ac:dyDescent="0.25">
      <c r="A64" t="s">
        <v>123</v>
      </c>
      <c r="B64" t="s">
        <v>937</v>
      </c>
      <c r="C64" t="s">
        <v>127</v>
      </c>
      <c r="D64">
        <v>-7</v>
      </c>
    </row>
    <row r="65" spans="1:4" x14ac:dyDescent="0.25">
      <c r="A65" t="s">
        <v>123</v>
      </c>
      <c r="B65" t="s">
        <v>941</v>
      </c>
      <c r="C65" t="s">
        <v>1537</v>
      </c>
      <c r="D65">
        <v>-4</v>
      </c>
    </row>
    <row r="66" spans="1:4" x14ac:dyDescent="0.25">
      <c r="A66" t="s">
        <v>123</v>
      </c>
      <c r="B66" t="s">
        <v>805</v>
      </c>
      <c r="C66" t="s">
        <v>3095</v>
      </c>
      <c r="D66">
        <v>-7</v>
      </c>
    </row>
    <row r="67" spans="1:4" x14ac:dyDescent="0.25">
      <c r="A67" t="s">
        <v>123</v>
      </c>
      <c r="B67" t="s">
        <v>1038</v>
      </c>
      <c r="C67" t="s">
        <v>3202</v>
      </c>
      <c r="D67">
        <v>-5</v>
      </c>
    </row>
    <row r="68" spans="1:4" x14ac:dyDescent="0.25">
      <c r="A68" t="s">
        <v>123</v>
      </c>
      <c r="B68" t="s">
        <v>286</v>
      </c>
      <c r="C68" t="s">
        <v>512</v>
      </c>
      <c r="D68">
        <v>-3</v>
      </c>
    </row>
    <row r="69" spans="1:4" x14ac:dyDescent="0.25">
      <c r="A69" t="s">
        <v>123</v>
      </c>
      <c r="B69" t="s">
        <v>813</v>
      </c>
      <c r="C69" t="s">
        <v>513</v>
      </c>
      <c r="D69">
        <v>-1</v>
      </c>
    </row>
    <row r="70" spans="1:4" x14ac:dyDescent="0.25">
      <c r="A70" t="s">
        <v>123</v>
      </c>
      <c r="B70" t="s">
        <v>1398</v>
      </c>
      <c r="C70" t="s">
        <v>515</v>
      </c>
      <c r="D70">
        <v>-3</v>
      </c>
    </row>
    <row r="71" spans="1:4" x14ac:dyDescent="0.25">
      <c r="A71" t="s">
        <v>123</v>
      </c>
      <c r="B71" t="s">
        <v>1276</v>
      </c>
      <c r="C71" t="s">
        <v>850</v>
      </c>
      <c r="D71">
        <v>-2</v>
      </c>
    </row>
    <row r="72" spans="1:4" x14ac:dyDescent="0.25">
      <c r="A72" t="s">
        <v>123</v>
      </c>
      <c r="B72" t="s">
        <v>1276</v>
      </c>
      <c r="C72" t="s">
        <v>516</v>
      </c>
      <c r="D72">
        <v>-1</v>
      </c>
    </row>
    <row r="73" spans="1:4" x14ac:dyDescent="0.25">
      <c r="A73" t="s">
        <v>123</v>
      </c>
      <c r="B73" t="s">
        <v>396</v>
      </c>
      <c r="C73" t="s">
        <v>3034</v>
      </c>
      <c r="D73">
        <v>-2</v>
      </c>
    </row>
    <row r="74" spans="1:4" x14ac:dyDescent="0.25">
      <c r="A74" t="s">
        <v>123</v>
      </c>
      <c r="B74" t="s">
        <v>817</v>
      </c>
      <c r="C74" t="s">
        <v>659</v>
      </c>
      <c r="D74">
        <v>0</v>
      </c>
    </row>
    <row r="75" spans="1:4" x14ac:dyDescent="0.25">
      <c r="A75" t="s">
        <v>4</v>
      </c>
      <c r="B75" t="s">
        <v>1151</v>
      </c>
      <c r="C75" t="s">
        <v>1963</v>
      </c>
      <c r="D75">
        <v>2</v>
      </c>
    </row>
    <row r="76" spans="1:4" x14ac:dyDescent="0.25">
      <c r="A76" t="s">
        <v>4</v>
      </c>
      <c r="B76" t="s">
        <v>1829</v>
      </c>
      <c r="C76" t="s">
        <v>664</v>
      </c>
      <c r="D76">
        <v>0</v>
      </c>
    </row>
    <row r="77" spans="1:4" x14ac:dyDescent="0.25">
      <c r="A77" t="s">
        <v>4</v>
      </c>
      <c r="B77" t="s">
        <v>339</v>
      </c>
      <c r="C77" t="s">
        <v>3964</v>
      </c>
      <c r="D77">
        <v>2</v>
      </c>
    </row>
    <row r="78" spans="1:4" x14ac:dyDescent="0.25">
      <c r="A78" t="s">
        <v>4</v>
      </c>
      <c r="B78" t="s">
        <v>890</v>
      </c>
      <c r="C78" t="s">
        <v>3458</v>
      </c>
      <c r="D78">
        <v>-1</v>
      </c>
    </row>
    <row r="79" spans="1:4" x14ac:dyDescent="0.25">
      <c r="A79" t="s">
        <v>4</v>
      </c>
      <c r="B79" t="s">
        <v>546</v>
      </c>
      <c r="C79" t="s">
        <v>672</v>
      </c>
      <c r="D79">
        <v>2</v>
      </c>
    </row>
    <row r="80" spans="1:4" x14ac:dyDescent="0.25">
      <c r="A80" t="s">
        <v>4</v>
      </c>
      <c r="B80" t="s">
        <v>414</v>
      </c>
      <c r="C80" t="s">
        <v>1966</v>
      </c>
      <c r="D80">
        <v>1</v>
      </c>
    </row>
    <row r="81" spans="1:4" x14ac:dyDescent="0.25">
      <c r="A81" t="s">
        <v>4</v>
      </c>
      <c r="B81" t="s">
        <v>414</v>
      </c>
      <c r="C81" t="s">
        <v>533</v>
      </c>
      <c r="D81">
        <v>0</v>
      </c>
    </row>
    <row r="82" spans="1:4" x14ac:dyDescent="0.25">
      <c r="A82" t="s">
        <v>4</v>
      </c>
      <c r="B82" t="s">
        <v>2147</v>
      </c>
      <c r="C82" t="s">
        <v>2318</v>
      </c>
      <c r="D82">
        <v>2</v>
      </c>
    </row>
    <row r="83" spans="1:4" x14ac:dyDescent="0.25">
      <c r="A83" t="s">
        <v>4</v>
      </c>
      <c r="B83" t="s">
        <v>996</v>
      </c>
      <c r="C83" t="s">
        <v>3073</v>
      </c>
      <c r="D83">
        <v>1</v>
      </c>
    </row>
    <row r="84" spans="1:4" x14ac:dyDescent="0.25">
      <c r="A84" t="s">
        <v>4</v>
      </c>
      <c r="B84" t="s">
        <v>996</v>
      </c>
      <c r="C84" t="s">
        <v>2736</v>
      </c>
      <c r="D84">
        <v>0</v>
      </c>
    </row>
    <row r="85" spans="1:4" x14ac:dyDescent="0.25">
      <c r="A85" t="s">
        <v>4</v>
      </c>
      <c r="B85" t="s">
        <v>1809</v>
      </c>
      <c r="C85" t="s">
        <v>2737</v>
      </c>
      <c r="D85">
        <v>-2</v>
      </c>
    </row>
    <row r="86" spans="1:4" x14ac:dyDescent="0.25">
      <c r="A86" t="s">
        <v>4</v>
      </c>
      <c r="B86" t="s">
        <v>902</v>
      </c>
      <c r="C86" t="s">
        <v>3074</v>
      </c>
      <c r="D86">
        <v>0</v>
      </c>
    </row>
    <row r="87" spans="1:4" x14ac:dyDescent="0.25">
      <c r="A87" t="s">
        <v>40</v>
      </c>
      <c r="B87" t="s">
        <v>1819</v>
      </c>
      <c r="C87" t="s">
        <v>542</v>
      </c>
      <c r="D87">
        <v>-2</v>
      </c>
    </row>
    <row r="88" spans="1:4" x14ac:dyDescent="0.25">
      <c r="A88" t="s">
        <v>40</v>
      </c>
      <c r="B88" t="s">
        <v>1829</v>
      </c>
      <c r="C88" t="s">
        <v>3965</v>
      </c>
      <c r="D88">
        <v>-1</v>
      </c>
    </row>
    <row r="89" spans="1:4" x14ac:dyDescent="0.25">
      <c r="A89" t="s">
        <v>40</v>
      </c>
      <c r="B89" t="s">
        <v>1829</v>
      </c>
      <c r="C89" t="s">
        <v>2709</v>
      </c>
      <c r="D89">
        <v>0</v>
      </c>
    </row>
    <row r="90" spans="1:4" x14ac:dyDescent="0.25">
      <c r="A90" t="s">
        <v>40</v>
      </c>
      <c r="B90" t="s">
        <v>376</v>
      </c>
      <c r="C90" t="s">
        <v>2711</v>
      </c>
      <c r="D90">
        <v>-2</v>
      </c>
    </row>
    <row r="91" spans="1:4" x14ac:dyDescent="0.25">
      <c r="A91" t="s">
        <v>40</v>
      </c>
      <c r="B91" t="s">
        <v>23</v>
      </c>
      <c r="C91" t="s">
        <v>3966</v>
      </c>
      <c r="D91">
        <v>0</v>
      </c>
    </row>
    <row r="92" spans="1:4" x14ac:dyDescent="0.25">
      <c r="A92" t="s">
        <v>40</v>
      </c>
      <c r="B92" t="s">
        <v>544</v>
      </c>
      <c r="C92" t="s">
        <v>2743</v>
      </c>
      <c r="D92">
        <v>-1</v>
      </c>
    </row>
    <row r="93" spans="1:4" x14ac:dyDescent="0.25">
      <c r="A93" t="s">
        <v>40</v>
      </c>
      <c r="B93" t="s">
        <v>607</v>
      </c>
      <c r="C93" t="s">
        <v>1632</v>
      </c>
      <c r="D93">
        <v>1</v>
      </c>
    </row>
    <row r="94" spans="1:4" x14ac:dyDescent="0.25">
      <c r="A94" t="s">
        <v>40</v>
      </c>
      <c r="B94" t="s">
        <v>27</v>
      </c>
      <c r="C94" t="s">
        <v>3967</v>
      </c>
      <c r="D94">
        <v>2</v>
      </c>
    </row>
    <row r="95" spans="1:4" x14ac:dyDescent="0.25">
      <c r="A95" t="s">
        <v>40</v>
      </c>
      <c r="B95" t="s">
        <v>27</v>
      </c>
      <c r="C95" t="s">
        <v>3968</v>
      </c>
      <c r="D95">
        <v>3</v>
      </c>
    </row>
    <row r="96" spans="1:4" x14ac:dyDescent="0.25">
      <c r="A96" t="s">
        <v>40</v>
      </c>
      <c r="B96" t="s">
        <v>2147</v>
      </c>
      <c r="C96" t="s">
        <v>3969</v>
      </c>
      <c r="D96">
        <v>1</v>
      </c>
    </row>
    <row r="97" spans="1:4" x14ac:dyDescent="0.25">
      <c r="A97" t="s">
        <v>40</v>
      </c>
      <c r="B97" t="s">
        <v>344</v>
      </c>
      <c r="C97" t="s">
        <v>2744</v>
      </c>
      <c r="D97">
        <v>0</v>
      </c>
    </row>
    <row r="98" spans="1:4" x14ac:dyDescent="0.25">
      <c r="A98" t="s">
        <v>40</v>
      </c>
      <c r="B98" t="s">
        <v>1733</v>
      </c>
      <c r="C98" t="s">
        <v>3970</v>
      </c>
      <c r="D98">
        <v>2</v>
      </c>
    </row>
    <row r="99" spans="1:4" x14ac:dyDescent="0.25">
      <c r="A99" t="s">
        <v>40</v>
      </c>
      <c r="B99" t="s">
        <v>1135</v>
      </c>
      <c r="C99" t="s">
        <v>878</v>
      </c>
      <c r="D99">
        <v>1</v>
      </c>
    </row>
    <row r="100" spans="1:4" x14ac:dyDescent="0.25">
      <c r="A100" t="s">
        <v>40</v>
      </c>
      <c r="B100" t="s">
        <v>38</v>
      </c>
      <c r="C100" t="s">
        <v>3971</v>
      </c>
      <c r="D100">
        <v>2</v>
      </c>
    </row>
    <row r="102" spans="1:4" x14ac:dyDescent="0.25">
      <c r="A102" s="2" t="s">
        <v>157</v>
      </c>
    </row>
    <row r="103" spans="1:4" x14ac:dyDescent="0.25">
      <c r="A103" t="s">
        <v>158</v>
      </c>
      <c r="D103">
        <f>AVERAGE(D2:D100)</f>
        <v>0.20202020202020202</v>
      </c>
    </row>
    <row r="104" spans="1:4" x14ac:dyDescent="0.25">
      <c r="A104" t="s">
        <v>159</v>
      </c>
      <c r="D104">
        <f>MAX(D2:D100)</f>
        <v>9</v>
      </c>
    </row>
    <row r="105" spans="1:4" x14ac:dyDescent="0.25">
      <c r="A105" t="s">
        <v>160</v>
      </c>
      <c r="D105">
        <f>MIN(D2:D100)</f>
        <v>-8</v>
      </c>
    </row>
    <row r="106" spans="1:4" x14ac:dyDescent="0.25">
      <c r="A106" t="s">
        <v>161</v>
      </c>
      <c r="D106">
        <f>COUNTIF(D2:D100,"&gt;0")</f>
        <v>44</v>
      </c>
    </row>
    <row r="107" spans="1:4" x14ac:dyDescent="0.25">
      <c r="A107" t="s">
        <v>162</v>
      </c>
      <c r="D107">
        <f>COUNTIF(D2:D100,"=0")</f>
        <v>17</v>
      </c>
    </row>
    <row r="108" spans="1:4" x14ac:dyDescent="0.25">
      <c r="A108" t="s">
        <v>561</v>
      </c>
      <c r="D108">
        <f>COUNTIF(D2:D100,"&lt;0")</f>
        <v>38</v>
      </c>
    </row>
    <row r="110" spans="1:4" x14ac:dyDescent="0.25">
      <c r="A110" s="2" t="s">
        <v>164</v>
      </c>
    </row>
    <row r="111" spans="1:4" x14ac:dyDescent="0.25">
      <c r="A111" t="s">
        <v>165</v>
      </c>
      <c r="D111">
        <f>AVERAGE(D2,D3,D4,D5,D6,D7,D8,D9,D10,D11,D12,D13,D14,D15,D16,D17,D18,D19,D20,D21,D75,D76,D77,D78,D79,D80,D81,D82,D83,D84,D85,D86)</f>
        <v>0.4375</v>
      </c>
    </row>
    <row r="112" spans="1:4" x14ac:dyDescent="0.25">
      <c r="A112" t="s">
        <v>166</v>
      </c>
      <c r="D112">
        <f>AVERAGE(D22,D23,D24,D25,D26,D27,D28,D29,D30,D31,D32,D33,D34,D35,D36,D37,D87,D88,D89,D90,D91,D92,D93,D94,D95,D96,D97,D98,D99,D100)</f>
        <v>0.8666666666666667</v>
      </c>
    </row>
    <row r="113" spans="1:4" x14ac:dyDescent="0.25">
      <c r="A113" t="s">
        <v>167</v>
      </c>
      <c r="D113">
        <f>AVERAGE(D38,D39,D40,D41,D42,D43,D44,D45,D46,D47,D48,D49,D50,D51,D52,D53,D54,D55,D56,D57,D58,D59)</f>
        <v>1.7272727272727273</v>
      </c>
    </row>
    <row r="114" spans="1:4" x14ac:dyDescent="0.25">
      <c r="A114" t="s">
        <v>168</v>
      </c>
      <c r="D114">
        <f>AVERAGE(D60,D61,D62,D63,D64,D65,D66,D67,D68,D69,D70,D71,D72,D73,D74)</f>
        <v>-3.8666666666666667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1664</v>
      </c>
      <c r="C2" t="s">
        <v>908</v>
      </c>
      <c r="D2">
        <v>-2</v>
      </c>
    </row>
    <row r="3" spans="1:4" x14ac:dyDescent="0.25">
      <c r="A3" t="s">
        <v>4</v>
      </c>
      <c r="B3" t="s">
        <v>1138</v>
      </c>
      <c r="C3" t="s">
        <v>1692</v>
      </c>
      <c r="D3">
        <v>-4</v>
      </c>
    </row>
    <row r="4" spans="1:4" x14ac:dyDescent="0.25">
      <c r="A4" t="s">
        <v>4</v>
      </c>
      <c r="B4" t="s">
        <v>1691</v>
      </c>
      <c r="C4" t="s">
        <v>10</v>
      </c>
      <c r="D4">
        <v>-2</v>
      </c>
    </row>
    <row r="5" spans="1:4" x14ac:dyDescent="0.25">
      <c r="A5" t="s">
        <v>4</v>
      </c>
      <c r="B5" t="s">
        <v>693</v>
      </c>
      <c r="C5" t="s">
        <v>12</v>
      </c>
      <c r="D5">
        <v>0</v>
      </c>
    </row>
    <row r="6" spans="1:4" x14ac:dyDescent="0.25">
      <c r="A6" t="s">
        <v>4</v>
      </c>
      <c r="B6" t="s">
        <v>87</v>
      </c>
      <c r="C6" t="s">
        <v>310</v>
      </c>
      <c r="D6">
        <v>-2</v>
      </c>
    </row>
    <row r="7" spans="1:4" x14ac:dyDescent="0.25">
      <c r="A7" t="s">
        <v>4</v>
      </c>
      <c r="B7" t="s">
        <v>570</v>
      </c>
      <c r="C7" t="s">
        <v>311</v>
      </c>
      <c r="D7">
        <v>1</v>
      </c>
    </row>
    <row r="8" spans="1:4" x14ac:dyDescent="0.25">
      <c r="A8" t="s">
        <v>4</v>
      </c>
      <c r="B8" t="s">
        <v>1742</v>
      </c>
      <c r="C8" t="s">
        <v>434</v>
      </c>
      <c r="D8">
        <v>-1</v>
      </c>
    </row>
    <row r="9" spans="1:4" x14ac:dyDescent="0.25">
      <c r="A9" t="s">
        <v>4</v>
      </c>
      <c r="B9" t="s">
        <v>1742</v>
      </c>
      <c r="C9" t="s">
        <v>1497</v>
      </c>
      <c r="D9">
        <v>-2</v>
      </c>
    </row>
    <row r="10" spans="1:4" x14ac:dyDescent="0.25">
      <c r="A10" t="s">
        <v>4</v>
      </c>
      <c r="B10" t="s">
        <v>1013</v>
      </c>
      <c r="C10" t="s">
        <v>697</v>
      </c>
      <c r="D10">
        <v>-1</v>
      </c>
    </row>
    <row r="11" spans="1:4" x14ac:dyDescent="0.25">
      <c r="A11" t="s">
        <v>4</v>
      </c>
      <c r="B11" t="s">
        <v>1013</v>
      </c>
      <c r="C11" t="s">
        <v>571</v>
      </c>
      <c r="D11">
        <v>0</v>
      </c>
    </row>
    <row r="12" spans="1:4" x14ac:dyDescent="0.25">
      <c r="A12" t="s">
        <v>4</v>
      </c>
      <c r="B12" t="s">
        <v>539</v>
      </c>
      <c r="C12" t="s">
        <v>1433</v>
      </c>
      <c r="D12">
        <v>-3</v>
      </c>
    </row>
    <row r="13" spans="1:4" x14ac:dyDescent="0.25">
      <c r="A13" t="s">
        <v>4</v>
      </c>
      <c r="B13" t="s">
        <v>701</v>
      </c>
      <c r="C13" t="s">
        <v>2155</v>
      </c>
      <c r="D13">
        <v>0</v>
      </c>
    </row>
    <row r="14" spans="1:4" x14ac:dyDescent="0.25">
      <c r="A14" t="s">
        <v>4</v>
      </c>
      <c r="B14" t="s">
        <v>1127</v>
      </c>
      <c r="C14" t="s">
        <v>920</v>
      </c>
      <c r="D14">
        <v>3</v>
      </c>
    </row>
    <row r="15" spans="1:4" x14ac:dyDescent="0.25">
      <c r="A15" t="s">
        <v>4</v>
      </c>
      <c r="B15" t="s">
        <v>1045</v>
      </c>
      <c r="C15" t="s">
        <v>1577</v>
      </c>
      <c r="D15">
        <v>5</v>
      </c>
    </row>
    <row r="16" spans="1:4" x14ac:dyDescent="0.25">
      <c r="A16" t="s">
        <v>4</v>
      </c>
      <c r="B16" t="s">
        <v>1045</v>
      </c>
      <c r="C16" t="s">
        <v>1199</v>
      </c>
      <c r="D16">
        <v>6</v>
      </c>
    </row>
    <row r="17" spans="1:4" x14ac:dyDescent="0.25">
      <c r="A17" t="s">
        <v>4</v>
      </c>
      <c r="B17" t="s">
        <v>2317</v>
      </c>
      <c r="C17" t="s">
        <v>2874</v>
      </c>
      <c r="D17">
        <v>4</v>
      </c>
    </row>
    <row r="18" spans="1:4" x14ac:dyDescent="0.25">
      <c r="A18" t="s">
        <v>4</v>
      </c>
      <c r="B18" t="s">
        <v>1050</v>
      </c>
      <c r="C18" t="s">
        <v>328</v>
      </c>
      <c r="D18">
        <v>7</v>
      </c>
    </row>
    <row r="19" spans="1:4" x14ac:dyDescent="0.25">
      <c r="A19" t="s">
        <v>4</v>
      </c>
      <c r="B19" t="s">
        <v>301</v>
      </c>
      <c r="C19" t="s">
        <v>2480</v>
      </c>
      <c r="D19">
        <v>4</v>
      </c>
    </row>
    <row r="20" spans="1:4" x14ac:dyDescent="0.25">
      <c r="A20" t="s">
        <v>4</v>
      </c>
      <c r="B20" t="s">
        <v>1162</v>
      </c>
      <c r="C20" t="s">
        <v>2595</v>
      </c>
      <c r="D20">
        <v>6</v>
      </c>
    </row>
    <row r="21" spans="1:4" x14ac:dyDescent="0.25">
      <c r="A21" t="s">
        <v>4</v>
      </c>
      <c r="B21" t="s">
        <v>1162</v>
      </c>
      <c r="C21" t="s">
        <v>204</v>
      </c>
      <c r="D21">
        <v>7</v>
      </c>
    </row>
    <row r="22" spans="1:4" x14ac:dyDescent="0.25">
      <c r="A22" t="s">
        <v>4</v>
      </c>
      <c r="B22" t="s">
        <v>559</v>
      </c>
      <c r="C22" t="s">
        <v>1122</v>
      </c>
      <c r="D22">
        <v>4</v>
      </c>
    </row>
    <row r="23" spans="1:4" x14ac:dyDescent="0.25">
      <c r="A23" t="s">
        <v>40</v>
      </c>
      <c r="B23" t="s">
        <v>1007</v>
      </c>
      <c r="C23" t="s">
        <v>1123</v>
      </c>
      <c r="D23">
        <v>6</v>
      </c>
    </row>
    <row r="24" spans="1:4" x14ac:dyDescent="0.25">
      <c r="A24" t="s">
        <v>40</v>
      </c>
      <c r="B24" t="s">
        <v>45</v>
      </c>
      <c r="C24" t="s">
        <v>214</v>
      </c>
      <c r="D24">
        <v>3</v>
      </c>
    </row>
    <row r="25" spans="1:4" x14ac:dyDescent="0.25">
      <c r="A25" t="s">
        <v>40</v>
      </c>
      <c r="B25" t="s">
        <v>49</v>
      </c>
      <c r="C25" t="s">
        <v>2357</v>
      </c>
      <c r="D25">
        <v>1</v>
      </c>
    </row>
    <row r="26" spans="1:4" x14ac:dyDescent="0.25">
      <c r="A26" t="s">
        <v>40</v>
      </c>
      <c r="B26" t="s">
        <v>1824</v>
      </c>
      <c r="C26" t="s">
        <v>597</v>
      </c>
      <c r="D26">
        <v>-2</v>
      </c>
    </row>
    <row r="27" spans="1:4" x14ac:dyDescent="0.25">
      <c r="A27" t="s">
        <v>40</v>
      </c>
      <c r="B27" t="s">
        <v>570</v>
      </c>
      <c r="C27" t="s">
        <v>599</v>
      </c>
      <c r="D27">
        <v>-4</v>
      </c>
    </row>
    <row r="28" spans="1:4" x14ac:dyDescent="0.25">
      <c r="A28" t="s">
        <v>40</v>
      </c>
      <c r="B28" t="s">
        <v>91</v>
      </c>
      <c r="C28" t="s">
        <v>2332</v>
      </c>
      <c r="D28">
        <v>-1</v>
      </c>
    </row>
    <row r="29" spans="1:4" x14ac:dyDescent="0.25">
      <c r="A29" t="s">
        <v>40</v>
      </c>
      <c r="B29" t="s">
        <v>213</v>
      </c>
      <c r="C29" t="s">
        <v>1663</v>
      </c>
      <c r="D29">
        <v>-3</v>
      </c>
    </row>
    <row r="30" spans="1:4" x14ac:dyDescent="0.25">
      <c r="A30" t="s">
        <v>40</v>
      </c>
      <c r="B30" t="s">
        <v>2431</v>
      </c>
      <c r="C30" t="s">
        <v>1716</v>
      </c>
      <c r="D30">
        <v>-4</v>
      </c>
    </row>
    <row r="31" spans="1:4" x14ac:dyDescent="0.25">
      <c r="A31" t="s">
        <v>40</v>
      </c>
      <c r="B31" t="s">
        <v>2431</v>
      </c>
      <c r="C31" t="s">
        <v>2485</v>
      </c>
      <c r="D31">
        <v>-5</v>
      </c>
    </row>
    <row r="32" spans="1:4" x14ac:dyDescent="0.25">
      <c r="A32" t="s">
        <v>40</v>
      </c>
      <c r="B32" t="s">
        <v>661</v>
      </c>
      <c r="C32" t="s">
        <v>2761</v>
      </c>
      <c r="D32">
        <v>-7</v>
      </c>
    </row>
    <row r="33" spans="1:4" x14ac:dyDescent="0.25">
      <c r="A33" t="s">
        <v>40</v>
      </c>
      <c r="B33" t="s">
        <v>924</v>
      </c>
      <c r="C33" t="s">
        <v>3972</v>
      </c>
      <c r="D33">
        <v>-9</v>
      </c>
    </row>
    <row r="34" spans="1:4" x14ac:dyDescent="0.25">
      <c r="A34" t="s">
        <v>40</v>
      </c>
      <c r="B34" t="s">
        <v>70</v>
      </c>
      <c r="C34" t="s">
        <v>73</v>
      </c>
      <c r="D34">
        <v>-6</v>
      </c>
    </row>
    <row r="35" spans="1:4" x14ac:dyDescent="0.25">
      <c r="A35" t="s">
        <v>40</v>
      </c>
      <c r="B35" t="s">
        <v>320</v>
      </c>
      <c r="C35" t="s">
        <v>1720</v>
      </c>
      <c r="D35">
        <v>-4</v>
      </c>
    </row>
    <row r="36" spans="1:4" x14ac:dyDescent="0.25">
      <c r="A36" t="s">
        <v>40</v>
      </c>
      <c r="B36" t="s">
        <v>1988</v>
      </c>
      <c r="C36" t="s">
        <v>613</v>
      </c>
      <c r="D36">
        <v>-7</v>
      </c>
    </row>
    <row r="37" spans="1:4" x14ac:dyDescent="0.25">
      <c r="A37" t="s">
        <v>40</v>
      </c>
      <c r="B37" t="s">
        <v>1180</v>
      </c>
      <c r="C37" t="s">
        <v>1831</v>
      </c>
      <c r="D37">
        <v>-4</v>
      </c>
    </row>
    <row r="38" spans="1:4" x14ac:dyDescent="0.25">
      <c r="A38" t="s">
        <v>40</v>
      </c>
      <c r="B38" t="s">
        <v>78</v>
      </c>
      <c r="C38" t="s">
        <v>2133</v>
      </c>
      <c r="D38">
        <v>-5</v>
      </c>
    </row>
    <row r="39" spans="1:4" x14ac:dyDescent="0.25">
      <c r="A39" t="s">
        <v>80</v>
      </c>
      <c r="B39" t="s">
        <v>130</v>
      </c>
      <c r="C39" t="s">
        <v>3973</v>
      </c>
      <c r="D39">
        <v>-8</v>
      </c>
    </row>
    <row r="40" spans="1:4" x14ac:dyDescent="0.25">
      <c r="A40" t="s">
        <v>80</v>
      </c>
      <c r="B40" t="s">
        <v>1321</v>
      </c>
      <c r="C40" t="s">
        <v>2219</v>
      </c>
      <c r="D40">
        <v>-6</v>
      </c>
    </row>
    <row r="41" spans="1:4" x14ac:dyDescent="0.25">
      <c r="A41" t="s">
        <v>80</v>
      </c>
      <c r="B41" t="s">
        <v>1321</v>
      </c>
      <c r="C41" t="s">
        <v>1833</v>
      </c>
      <c r="D41">
        <v>-5</v>
      </c>
    </row>
    <row r="42" spans="1:4" x14ac:dyDescent="0.25">
      <c r="A42" t="s">
        <v>80</v>
      </c>
      <c r="B42" t="s">
        <v>250</v>
      </c>
      <c r="C42" t="s">
        <v>3974</v>
      </c>
      <c r="D42">
        <v>-7</v>
      </c>
    </row>
    <row r="43" spans="1:4" x14ac:dyDescent="0.25">
      <c r="A43" t="s">
        <v>80</v>
      </c>
      <c r="B43" t="s">
        <v>433</v>
      </c>
      <c r="C43" t="s">
        <v>96</v>
      </c>
      <c r="D43">
        <v>-5</v>
      </c>
    </row>
    <row r="44" spans="1:4" x14ac:dyDescent="0.25">
      <c r="A44" t="s">
        <v>80</v>
      </c>
      <c r="B44" t="s">
        <v>186</v>
      </c>
      <c r="C44" t="s">
        <v>2416</v>
      </c>
      <c r="D44">
        <v>-3</v>
      </c>
    </row>
    <row r="45" spans="1:4" x14ac:dyDescent="0.25">
      <c r="A45" t="s">
        <v>80</v>
      </c>
      <c r="B45" t="s">
        <v>1442</v>
      </c>
      <c r="C45" t="s">
        <v>3975</v>
      </c>
      <c r="D45">
        <v>0</v>
      </c>
    </row>
    <row r="46" spans="1:4" x14ac:dyDescent="0.25">
      <c r="A46" t="s">
        <v>80</v>
      </c>
      <c r="B46" t="s">
        <v>1153</v>
      </c>
      <c r="C46" t="s">
        <v>742</v>
      </c>
      <c r="D46">
        <v>-2</v>
      </c>
    </row>
    <row r="47" spans="1:4" x14ac:dyDescent="0.25">
      <c r="A47" t="s">
        <v>80</v>
      </c>
      <c r="B47" t="s">
        <v>471</v>
      </c>
      <c r="C47" t="s">
        <v>745</v>
      </c>
      <c r="D47">
        <v>0</v>
      </c>
    </row>
    <row r="48" spans="1:4" x14ac:dyDescent="0.25">
      <c r="A48" t="s">
        <v>80</v>
      </c>
      <c r="B48" t="s">
        <v>1043</v>
      </c>
      <c r="C48" t="s">
        <v>262</v>
      </c>
      <c r="D48">
        <v>-1</v>
      </c>
    </row>
    <row r="49" spans="1:4" x14ac:dyDescent="0.25">
      <c r="A49" t="s">
        <v>80</v>
      </c>
      <c r="B49" t="s">
        <v>386</v>
      </c>
      <c r="C49" t="s">
        <v>1728</v>
      </c>
      <c r="D49">
        <v>0</v>
      </c>
    </row>
    <row r="50" spans="1:4" x14ac:dyDescent="0.25">
      <c r="A50" t="s">
        <v>80</v>
      </c>
      <c r="B50" t="s">
        <v>386</v>
      </c>
      <c r="C50" t="s">
        <v>3029</v>
      </c>
      <c r="D50">
        <v>1</v>
      </c>
    </row>
    <row r="51" spans="1:4" x14ac:dyDescent="0.25">
      <c r="A51" t="s">
        <v>80</v>
      </c>
      <c r="B51" t="s">
        <v>116</v>
      </c>
      <c r="C51" t="s">
        <v>1730</v>
      </c>
      <c r="D51">
        <v>-1</v>
      </c>
    </row>
    <row r="52" spans="1:4" x14ac:dyDescent="0.25">
      <c r="A52" t="s">
        <v>80</v>
      </c>
      <c r="B52" t="s">
        <v>611</v>
      </c>
      <c r="C52" t="s">
        <v>1731</v>
      </c>
      <c r="D52">
        <v>2</v>
      </c>
    </row>
    <row r="53" spans="1:4" x14ac:dyDescent="0.25">
      <c r="A53" t="s">
        <v>80</v>
      </c>
      <c r="B53" t="s">
        <v>392</v>
      </c>
      <c r="C53" t="s">
        <v>1732</v>
      </c>
      <c r="D53">
        <v>0</v>
      </c>
    </row>
    <row r="54" spans="1:4" x14ac:dyDescent="0.25">
      <c r="A54" t="s">
        <v>80</v>
      </c>
      <c r="B54" t="s">
        <v>505</v>
      </c>
      <c r="C54" t="s">
        <v>2493</v>
      </c>
      <c r="D54">
        <v>1</v>
      </c>
    </row>
    <row r="55" spans="1:4" x14ac:dyDescent="0.25">
      <c r="A55" t="s">
        <v>80</v>
      </c>
      <c r="B55" t="s">
        <v>505</v>
      </c>
      <c r="C55" t="s">
        <v>1532</v>
      </c>
      <c r="D55">
        <v>2</v>
      </c>
    </row>
    <row r="56" spans="1:4" x14ac:dyDescent="0.25">
      <c r="A56" t="s">
        <v>80</v>
      </c>
      <c r="B56" t="s">
        <v>481</v>
      </c>
      <c r="C56" t="s">
        <v>3455</v>
      </c>
      <c r="D56">
        <v>0</v>
      </c>
    </row>
    <row r="57" spans="1:4" x14ac:dyDescent="0.25">
      <c r="A57" t="s">
        <v>80</v>
      </c>
      <c r="B57" t="s">
        <v>422</v>
      </c>
      <c r="C57" t="s">
        <v>754</v>
      </c>
      <c r="D57">
        <v>-2</v>
      </c>
    </row>
    <row r="58" spans="1:4" x14ac:dyDescent="0.25">
      <c r="A58" t="s">
        <v>123</v>
      </c>
      <c r="B58" t="s">
        <v>126</v>
      </c>
      <c r="C58" t="s">
        <v>119</v>
      </c>
      <c r="D58">
        <v>-3</v>
      </c>
    </row>
    <row r="59" spans="1:4" x14ac:dyDescent="0.25">
      <c r="A59" t="s">
        <v>123</v>
      </c>
      <c r="B59" t="s">
        <v>126</v>
      </c>
      <c r="C59" t="s">
        <v>121</v>
      </c>
      <c r="D59">
        <v>-4</v>
      </c>
    </row>
    <row r="60" spans="1:4" x14ac:dyDescent="0.25">
      <c r="A60" t="s">
        <v>123</v>
      </c>
      <c r="B60" t="s">
        <v>427</v>
      </c>
      <c r="C60" t="s">
        <v>1535</v>
      </c>
      <c r="D60">
        <v>-2</v>
      </c>
    </row>
    <row r="61" spans="1:4" x14ac:dyDescent="0.25">
      <c r="A61" t="s">
        <v>123</v>
      </c>
      <c r="B61" t="s">
        <v>1057</v>
      </c>
      <c r="C61" t="s">
        <v>3538</v>
      </c>
      <c r="D61">
        <v>-4</v>
      </c>
    </row>
    <row r="62" spans="1:4" x14ac:dyDescent="0.25">
      <c r="A62" t="s">
        <v>123</v>
      </c>
      <c r="B62" t="s">
        <v>1143</v>
      </c>
      <c r="C62" t="s">
        <v>2142</v>
      </c>
      <c r="D62">
        <v>-6</v>
      </c>
    </row>
    <row r="63" spans="1:4" x14ac:dyDescent="0.25">
      <c r="A63" t="s">
        <v>123</v>
      </c>
      <c r="B63" t="s">
        <v>1194</v>
      </c>
      <c r="C63" t="s">
        <v>2233</v>
      </c>
      <c r="D63">
        <v>-4</v>
      </c>
    </row>
    <row r="64" spans="1:4" x14ac:dyDescent="0.25">
      <c r="A64" t="s">
        <v>123</v>
      </c>
      <c r="B64" t="s">
        <v>497</v>
      </c>
      <c r="C64" t="s">
        <v>3976</v>
      </c>
      <c r="D64">
        <v>-7</v>
      </c>
    </row>
    <row r="65" spans="1:4" x14ac:dyDescent="0.25">
      <c r="A65" t="s">
        <v>123</v>
      </c>
      <c r="B65" t="s">
        <v>625</v>
      </c>
      <c r="C65" t="s">
        <v>3977</v>
      </c>
      <c r="D65">
        <v>-5</v>
      </c>
    </row>
    <row r="66" spans="1:4" x14ac:dyDescent="0.25">
      <c r="A66" t="s">
        <v>123</v>
      </c>
      <c r="B66" t="s">
        <v>259</v>
      </c>
      <c r="C66" t="s">
        <v>2237</v>
      </c>
      <c r="D66">
        <v>-7</v>
      </c>
    </row>
    <row r="67" spans="1:4" x14ac:dyDescent="0.25">
      <c r="A67" t="s">
        <v>123</v>
      </c>
      <c r="B67" t="s">
        <v>698</v>
      </c>
      <c r="C67" t="s">
        <v>2969</v>
      </c>
      <c r="D67">
        <v>-5</v>
      </c>
    </row>
    <row r="68" spans="1:4" x14ac:dyDescent="0.25">
      <c r="A68" t="s">
        <v>123</v>
      </c>
      <c r="B68" t="s">
        <v>1855</v>
      </c>
      <c r="C68" t="s">
        <v>2970</v>
      </c>
      <c r="D68">
        <v>-6</v>
      </c>
    </row>
    <row r="69" spans="1:4" x14ac:dyDescent="0.25">
      <c r="A69" t="s">
        <v>123</v>
      </c>
      <c r="B69" t="s">
        <v>64</v>
      </c>
      <c r="C69" t="s">
        <v>515</v>
      </c>
      <c r="D69">
        <v>-3</v>
      </c>
    </row>
    <row r="70" spans="1:4" x14ac:dyDescent="0.25">
      <c r="A70" t="s">
        <v>123</v>
      </c>
      <c r="B70" t="s">
        <v>577</v>
      </c>
      <c r="C70" t="s">
        <v>2145</v>
      </c>
      <c r="D70">
        <v>-5</v>
      </c>
    </row>
    <row r="71" spans="1:4" x14ac:dyDescent="0.25">
      <c r="A71" t="s">
        <v>123</v>
      </c>
      <c r="B71" t="s">
        <v>288</v>
      </c>
      <c r="C71" t="s">
        <v>2146</v>
      </c>
      <c r="D71">
        <v>-7</v>
      </c>
    </row>
    <row r="72" spans="1:4" x14ac:dyDescent="0.25">
      <c r="A72" t="s">
        <v>123</v>
      </c>
      <c r="B72" t="s">
        <v>996</v>
      </c>
      <c r="C72" t="s">
        <v>289</v>
      </c>
      <c r="D72">
        <v>-8</v>
      </c>
    </row>
    <row r="73" spans="1:4" x14ac:dyDescent="0.25">
      <c r="A73" t="s">
        <v>123</v>
      </c>
      <c r="B73" t="s">
        <v>996</v>
      </c>
      <c r="C73" t="s">
        <v>2426</v>
      </c>
      <c r="D73">
        <v>-9</v>
      </c>
    </row>
    <row r="74" spans="1:4" x14ac:dyDescent="0.25">
      <c r="A74" t="s">
        <v>123</v>
      </c>
      <c r="B74" t="s">
        <v>1113</v>
      </c>
      <c r="C74" t="s">
        <v>2972</v>
      </c>
      <c r="D74">
        <v>-7</v>
      </c>
    </row>
    <row r="75" spans="1:4" x14ac:dyDescent="0.25">
      <c r="A75" t="s">
        <v>123</v>
      </c>
      <c r="B75" t="s">
        <v>2042</v>
      </c>
      <c r="C75" t="s">
        <v>2427</v>
      </c>
      <c r="D75">
        <v>-8</v>
      </c>
    </row>
    <row r="76" spans="1:4" x14ac:dyDescent="0.25">
      <c r="A76" t="s">
        <v>123</v>
      </c>
      <c r="B76" t="s">
        <v>2042</v>
      </c>
      <c r="C76" t="s">
        <v>2428</v>
      </c>
      <c r="D76">
        <v>-9</v>
      </c>
    </row>
    <row r="77" spans="1:4" x14ac:dyDescent="0.25">
      <c r="A77" t="s">
        <v>123</v>
      </c>
      <c r="B77" t="s">
        <v>1733</v>
      </c>
      <c r="C77" t="s">
        <v>297</v>
      </c>
      <c r="D77">
        <v>-6</v>
      </c>
    </row>
    <row r="78" spans="1:4" x14ac:dyDescent="0.25">
      <c r="A78" t="s">
        <v>123</v>
      </c>
      <c r="B78" t="s">
        <v>537</v>
      </c>
      <c r="C78" t="s">
        <v>299</v>
      </c>
      <c r="D78">
        <v>-7</v>
      </c>
    </row>
    <row r="79" spans="1:4" x14ac:dyDescent="0.25">
      <c r="A79" t="s">
        <v>123</v>
      </c>
      <c r="B79" t="s">
        <v>537</v>
      </c>
      <c r="C79" t="s">
        <v>300</v>
      </c>
      <c r="D79">
        <v>-8</v>
      </c>
    </row>
    <row r="80" spans="1:4" x14ac:dyDescent="0.25">
      <c r="A80" t="s">
        <v>123</v>
      </c>
      <c r="B80" t="s">
        <v>1002</v>
      </c>
      <c r="C80" t="s">
        <v>3978</v>
      </c>
      <c r="D80">
        <v>-6</v>
      </c>
    </row>
    <row r="81" spans="1:4" x14ac:dyDescent="0.25">
      <c r="A81" t="s">
        <v>123</v>
      </c>
      <c r="B81" t="s">
        <v>1276</v>
      </c>
      <c r="C81" t="s">
        <v>2248</v>
      </c>
      <c r="D81">
        <v>-7</v>
      </c>
    </row>
    <row r="82" spans="1:4" x14ac:dyDescent="0.25">
      <c r="A82" t="s">
        <v>123</v>
      </c>
      <c r="B82" t="s">
        <v>1276</v>
      </c>
      <c r="C82" t="s">
        <v>3979</v>
      </c>
      <c r="D82">
        <v>-8</v>
      </c>
    </row>
    <row r="83" spans="1:4" x14ac:dyDescent="0.25">
      <c r="A83" t="s">
        <v>123</v>
      </c>
      <c r="B83" t="s">
        <v>396</v>
      </c>
      <c r="C83" t="s">
        <v>3543</v>
      </c>
      <c r="D83">
        <v>-7</v>
      </c>
    </row>
    <row r="84" spans="1:4" x14ac:dyDescent="0.25">
      <c r="A84" t="s">
        <v>123</v>
      </c>
      <c r="B84" t="s">
        <v>396</v>
      </c>
      <c r="C84" t="s">
        <v>861</v>
      </c>
      <c r="D84">
        <v>-6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-2.6385542168674698</v>
      </c>
    </row>
    <row r="88" spans="1:4" x14ac:dyDescent="0.25">
      <c r="A88" t="s">
        <v>159</v>
      </c>
      <c r="D88">
        <f>MAX(D2:D84)</f>
        <v>7</v>
      </c>
    </row>
    <row r="89" spans="1:4" x14ac:dyDescent="0.25">
      <c r="A89" t="s">
        <v>160</v>
      </c>
      <c r="D89">
        <f>MIN(D2:D84)</f>
        <v>-9</v>
      </c>
    </row>
    <row r="90" spans="1:4" x14ac:dyDescent="0.25">
      <c r="A90" t="s">
        <v>161</v>
      </c>
      <c r="D90">
        <f>COUNTIF(D2:D84,"&gt;0")</f>
        <v>17</v>
      </c>
    </row>
    <row r="91" spans="1:4" x14ac:dyDescent="0.25">
      <c r="A91" t="s">
        <v>162</v>
      </c>
      <c r="D91">
        <f>COUNTIF(D2:D84,"=0")</f>
        <v>8</v>
      </c>
    </row>
    <row r="92" spans="1:4" x14ac:dyDescent="0.25">
      <c r="A92" t="s">
        <v>561</v>
      </c>
      <c r="D92">
        <f>COUNTIF(D2:D84,"&lt;0")</f>
        <v>58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AVERAGE(D2,D3,D4,D5,D6,D7,D8,D9,D10,D11,D12,D13,D14,D15,D16,D17,D18,D19,D20,D21,D22)</f>
        <v>1.4285714285714286</v>
      </c>
    </row>
    <row r="96" spans="1:4" x14ac:dyDescent="0.25">
      <c r="A96" t="s">
        <v>166</v>
      </c>
      <c r="D96">
        <f>AVERAGE(D23,D24,D25,D26,D27,D28,D29,D30,D31,D32,D33,D34,D35,D36,D37,D38)</f>
        <v>-3.1875</v>
      </c>
    </row>
    <row r="97" spans="1:4" x14ac:dyDescent="0.25">
      <c r="A97" t="s">
        <v>167</v>
      </c>
      <c r="D97">
        <f>AVERAGE(D39,D40,D41,D42,D43,D44,D45,D46,D47,D48,D49,D50,D51,D52,D53,D54,D55,D56,D57)</f>
        <v>-1.7894736842105263</v>
      </c>
    </row>
    <row r="98" spans="1:4" x14ac:dyDescent="0.25">
      <c r="A98" t="s">
        <v>168</v>
      </c>
      <c r="D98">
        <f>AVERAGE(D58,D59,D60,D61,D62,D63,D64,D65,D66,D67,D68,D69,D70,D71,D72,D73,D74,D75,D76,D77,D78,D79,D80,D81,D82,D83,D84)</f>
        <v>-6.0740740740740744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3980</v>
      </c>
    </row>
    <row r="2" spans="1:4" x14ac:dyDescent="0.25">
      <c r="A2" t="s">
        <v>4</v>
      </c>
      <c r="B2" t="s">
        <v>130</v>
      </c>
      <c r="C2" t="s">
        <v>908</v>
      </c>
      <c r="D2">
        <v>-2</v>
      </c>
    </row>
    <row r="3" spans="1:4" x14ac:dyDescent="0.25">
      <c r="A3" t="s">
        <v>4</v>
      </c>
      <c r="B3" t="s">
        <v>862</v>
      </c>
      <c r="C3" t="s">
        <v>1188</v>
      </c>
      <c r="D3">
        <v>-1</v>
      </c>
    </row>
    <row r="4" spans="1:4" x14ac:dyDescent="0.25">
      <c r="A4" t="s">
        <v>4</v>
      </c>
      <c r="B4" t="s">
        <v>862</v>
      </c>
      <c r="C4" t="s">
        <v>8</v>
      </c>
      <c r="D4">
        <v>0</v>
      </c>
    </row>
    <row r="5" spans="1:4" x14ac:dyDescent="0.25">
      <c r="A5" t="s">
        <v>4</v>
      </c>
      <c r="B5" t="s">
        <v>211</v>
      </c>
      <c r="C5" t="s">
        <v>1869</v>
      </c>
      <c r="D5">
        <v>-3</v>
      </c>
    </row>
    <row r="6" spans="1:4" x14ac:dyDescent="0.25">
      <c r="A6" t="s">
        <v>4</v>
      </c>
      <c r="B6" t="s">
        <v>1086</v>
      </c>
      <c r="C6" t="s">
        <v>2430</v>
      </c>
      <c r="D6">
        <v>0</v>
      </c>
    </row>
    <row r="7" spans="1:4" x14ac:dyDescent="0.25">
      <c r="A7" t="s">
        <v>4</v>
      </c>
      <c r="B7" t="s">
        <v>2510</v>
      </c>
      <c r="C7" t="s">
        <v>1107</v>
      </c>
      <c r="D7">
        <v>-1</v>
      </c>
    </row>
    <row r="8" spans="1:4" x14ac:dyDescent="0.25">
      <c r="A8" t="s">
        <v>4</v>
      </c>
      <c r="B8" t="s">
        <v>2510</v>
      </c>
      <c r="C8" t="s">
        <v>913</v>
      </c>
      <c r="D8">
        <v>-2</v>
      </c>
    </row>
    <row r="9" spans="1:4" x14ac:dyDescent="0.25">
      <c r="A9" t="s">
        <v>4</v>
      </c>
      <c r="B9" t="s">
        <v>2170</v>
      </c>
      <c r="C9" t="s">
        <v>1496</v>
      </c>
      <c r="D9">
        <v>-4</v>
      </c>
    </row>
    <row r="10" spans="1:4" x14ac:dyDescent="0.25">
      <c r="A10" t="s">
        <v>4</v>
      </c>
      <c r="B10" t="s">
        <v>1288</v>
      </c>
      <c r="C10" t="s">
        <v>697</v>
      </c>
      <c r="D10">
        <v>-1</v>
      </c>
    </row>
    <row r="11" spans="1:4" x14ac:dyDescent="0.25">
      <c r="A11" t="s">
        <v>4</v>
      </c>
      <c r="B11" t="s">
        <v>1695</v>
      </c>
      <c r="C11" t="s">
        <v>571</v>
      </c>
      <c r="D11">
        <v>0</v>
      </c>
    </row>
    <row r="12" spans="1:4" x14ac:dyDescent="0.25">
      <c r="A12" t="s">
        <v>4</v>
      </c>
      <c r="B12" t="s">
        <v>1695</v>
      </c>
      <c r="C12" t="s">
        <v>699</v>
      </c>
      <c r="D12">
        <v>1</v>
      </c>
    </row>
    <row r="13" spans="1:4" x14ac:dyDescent="0.25">
      <c r="A13" t="s">
        <v>4</v>
      </c>
      <c r="B13" t="s">
        <v>339</v>
      </c>
      <c r="C13" t="s">
        <v>1500</v>
      </c>
      <c r="D13">
        <v>-2</v>
      </c>
    </row>
    <row r="14" spans="1:4" x14ac:dyDescent="0.25">
      <c r="A14" t="s">
        <v>4</v>
      </c>
      <c r="B14" t="s">
        <v>546</v>
      </c>
      <c r="C14" t="s">
        <v>2155</v>
      </c>
      <c r="D14">
        <v>0</v>
      </c>
    </row>
    <row r="15" spans="1:4" x14ac:dyDescent="0.25">
      <c r="A15" t="s">
        <v>4</v>
      </c>
      <c r="B15" t="s">
        <v>579</v>
      </c>
      <c r="C15" t="s">
        <v>1746</v>
      </c>
      <c r="D15">
        <v>-3</v>
      </c>
    </row>
    <row r="16" spans="1:4" x14ac:dyDescent="0.25">
      <c r="A16" t="s">
        <v>4</v>
      </c>
      <c r="B16" t="s">
        <v>1844</v>
      </c>
      <c r="C16" t="s">
        <v>35</v>
      </c>
      <c r="D16">
        <v>-1</v>
      </c>
    </row>
    <row r="17" spans="1:4" x14ac:dyDescent="0.25">
      <c r="A17" t="s">
        <v>4</v>
      </c>
      <c r="B17" t="s">
        <v>33</v>
      </c>
      <c r="C17" t="s">
        <v>446</v>
      </c>
      <c r="D17">
        <v>1</v>
      </c>
    </row>
    <row r="18" spans="1:4" x14ac:dyDescent="0.25">
      <c r="A18" t="s">
        <v>40</v>
      </c>
      <c r="B18" t="s">
        <v>2421</v>
      </c>
      <c r="C18" t="s">
        <v>447</v>
      </c>
      <c r="D18">
        <v>-1</v>
      </c>
    </row>
    <row r="19" spans="1:4" x14ac:dyDescent="0.25">
      <c r="A19" t="s">
        <v>40</v>
      </c>
      <c r="B19" t="s">
        <v>1524</v>
      </c>
      <c r="C19" t="s">
        <v>2122</v>
      </c>
      <c r="D19">
        <v>1</v>
      </c>
    </row>
    <row r="20" spans="1:4" x14ac:dyDescent="0.25">
      <c r="A20" t="s">
        <v>40</v>
      </c>
      <c r="B20" t="s">
        <v>1545</v>
      </c>
      <c r="C20" t="s">
        <v>2480</v>
      </c>
      <c r="D20">
        <v>4</v>
      </c>
    </row>
    <row r="21" spans="1:4" x14ac:dyDescent="0.25">
      <c r="A21" t="s">
        <v>40</v>
      </c>
      <c r="B21" t="s">
        <v>1573</v>
      </c>
      <c r="C21" t="s">
        <v>711</v>
      </c>
      <c r="D21">
        <v>1</v>
      </c>
    </row>
    <row r="22" spans="1:4" x14ac:dyDescent="0.25">
      <c r="A22" t="s">
        <v>40</v>
      </c>
      <c r="B22" t="s">
        <v>359</v>
      </c>
      <c r="C22" t="s">
        <v>2265</v>
      </c>
      <c r="D22">
        <v>-1</v>
      </c>
    </row>
    <row r="23" spans="1:4" x14ac:dyDescent="0.25">
      <c r="A23" t="s">
        <v>40</v>
      </c>
      <c r="B23" t="s">
        <v>1411</v>
      </c>
      <c r="C23" t="s">
        <v>48</v>
      </c>
      <c r="D23">
        <v>-3</v>
      </c>
    </row>
    <row r="24" spans="1:4" x14ac:dyDescent="0.25">
      <c r="A24" t="s">
        <v>40</v>
      </c>
      <c r="B24" t="s">
        <v>2510</v>
      </c>
      <c r="C24" t="s">
        <v>50</v>
      </c>
      <c r="D24">
        <v>-5</v>
      </c>
    </row>
    <row r="25" spans="1:4" x14ac:dyDescent="0.25">
      <c r="A25" t="s">
        <v>40</v>
      </c>
      <c r="B25" t="s">
        <v>408</v>
      </c>
      <c r="C25" t="s">
        <v>592</v>
      </c>
      <c r="D25">
        <v>-2</v>
      </c>
    </row>
    <row r="26" spans="1:4" x14ac:dyDescent="0.25">
      <c r="A26" t="s">
        <v>40</v>
      </c>
      <c r="B26" t="s">
        <v>499</v>
      </c>
      <c r="C26" t="s">
        <v>2331</v>
      </c>
      <c r="D26">
        <v>0</v>
      </c>
    </row>
    <row r="27" spans="1:4" x14ac:dyDescent="0.25">
      <c r="A27" t="s">
        <v>40</v>
      </c>
      <c r="B27" t="s">
        <v>2154</v>
      </c>
      <c r="C27" t="s">
        <v>718</v>
      </c>
      <c r="D27">
        <v>1</v>
      </c>
    </row>
    <row r="28" spans="1:4" x14ac:dyDescent="0.25">
      <c r="A28" t="s">
        <v>40</v>
      </c>
      <c r="B28" t="s">
        <v>317</v>
      </c>
      <c r="C28" t="s">
        <v>3962</v>
      </c>
      <c r="D28">
        <v>-1</v>
      </c>
    </row>
    <row r="29" spans="1:4" x14ac:dyDescent="0.25">
      <c r="A29" t="s">
        <v>40</v>
      </c>
      <c r="B29" t="s">
        <v>471</v>
      </c>
      <c r="C29" t="s">
        <v>2484</v>
      </c>
      <c r="D29">
        <v>1</v>
      </c>
    </row>
    <row r="30" spans="1:4" x14ac:dyDescent="0.25">
      <c r="A30" t="s">
        <v>40</v>
      </c>
      <c r="B30" t="s">
        <v>1739</v>
      </c>
      <c r="C30" t="s">
        <v>2332</v>
      </c>
      <c r="D30">
        <v>-1</v>
      </c>
    </row>
    <row r="31" spans="1:4" x14ac:dyDescent="0.25">
      <c r="A31" t="s">
        <v>40</v>
      </c>
      <c r="B31" t="s">
        <v>1422</v>
      </c>
      <c r="C31" t="s">
        <v>1663</v>
      </c>
      <c r="D31">
        <v>-3</v>
      </c>
    </row>
    <row r="32" spans="1:4" x14ac:dyDescent="0.25">
      <c r="A32" t="s">
        <v>40</v>
      </c>
      <c r="B32" t="s">
        <v>198</v>
      </c>
      <c r="C32" t="s">
        <v>2127</v>
      </c>
      <c r="D32">
        <v>-1</v>
      </c>
    </row>
    <row r="33" spans="1:4" x14ac:dyDescent="0.25">
      <c r="A33" t="s">
        <v>40</v>
      </c>
      <c r="B33" t="s">
        <v>392</v>
      </c>
      <c r="C33" t="s">
        <v>3981</v>
      </c>
      <c r="D33">
        <v>-2</v>
      </c>
    </row>
    <row r="34" spans="1:4" x14ac:dyDescent="0.25">
      <c r="A34" t="s">
        <v>40</v>
      </c>
      <c r="B34" t="s">
        <v>296</v>
      </c>
      <c r="C34" t="s">
        <v>351</v>
      </c>
      <c r="D34">
        <v>1</v>
      </c>
    </row>
    <row r="35" spans="1:4" x14ac:dyDescent="0.25">
      <c r="A35" t="s">
        <v>80</v>
      </c>
      <c r="B35" t="s">
        <v>1541</v>
      </c>
      <c r="C35" t="s">
        <v>1828</v>
      </c>
      <c r="D35">
        <v>-2</v>
      </c>
    </row>
    <row r="36" spans="1:4" x14ac:dyDescent="0.25">
      <c r="A36" t="s">
        <v>80</v>
      </c>
      <c r="B36" t="s">
        <v>329</v>
      </c>
      <c r="C36" t="s">
        <v>232</v>
      </c>
      <c r="D36">
        <v>0</v>
      </c>
    </row>
    <row r="37" spans="1:4" x14ac:dyDescent="0.25">
      <c r="A37" t="s">
        <v>80</v>
      </c>
      <c r="B37" t="s">
        <v>1573</v>
      </c>
      <c r="C37" t="s">
        <v>474</v>
      </c>
      <c r="D37">
        <v>2</v>
      </c>
    </row>
    <row r="38" spans="1:4" x14ac:dyDescent="0.25">
      <c r="A38" t="s">
        <v>80</v>
      </c>
      <c r="B38" t="s">
        <v>800</v>
      </c>
      <c r="C38" t="s">
        <v>3574</v>
      </c>
      <c r="D38">
        <v>0</v>
      </c>
    </row>
    <row r="39" spans="1:4" x14ac:dyDescent="0.25">
      <c r="A39" t="s">
        <v>80</v>
      </c>
      <c r="B39" t="s">
        <v>361</v>
      </c>
      <c r="C39" t="s">
        <v>1519</v>
      </c>
      <c r="D39">
        <v>-1</v>
      </c>
    </row>
    <row r="40" spans="1:4" x14ac:dyDescent="0.25">
      <c r="A40" t="s">
        <v>80</v>
      </c>
      <c r="B40" t="s">
        <v>361</v>
      </c>
      <c r="C40" t="s">
        <v>238</v>
      </c>
      <c r="D40">
        <v>-2</v>
      </c>
    </row>
    <row r="41" spans="1:4" x14ac:dyDescent="0.25">
      <c r="A41" t="s">
        <v>80</v>
      </c>
      <c r="B41" t="s">
        <v>361</v>
      </c>
      <c r="C41" t="s">
        <v>240</v>
      </c>
      <c r="D41">
        <v>-3</v>
      </c>
    </row>
    <row r="42" spans="1:4" x14ac:dyDescent="0.25">
      <c r="A42" t="s">
        <v>80</v>
      </c>
      <c r="B42" t="s">
        <v>645</v>
      </c>
      <c r="C42" t="s">
        <v>480</v>
      </c>
      <c r="D42">
        <v>0</v>
      </c>
    </row>
    <row r="43" spans="1:4" x14ac:dyDescent="0.25">
      <c r="A43" t="s">
        <v>80</v>
      </c>
      <c r="B43" t="s">
        <v>135</v>
      </c>
      <c r="C43" t="s">
        <v>2307</v>
      </c>
      <c r="D43">
        <v>2</v>
      </c>
    </row>
    <row r="44" spans="1:4" x14ac:dyDescent="0.25">
      <c r="A44" t="s">
        <v>80</v>
      </c>
      <c r="B44" t="s">
        <v>1069</v>
      </c>
      <c r="C44" t="s">
        <v>2308</v>
      </c>
      <c r="D44">
        <v>-1</v>
      </c>
    </row>
    <row r="45" spans="1:4" x14ac:dyDescent="0.25">
      <c r="A45" t="s">
        <v>80</v>
      </c>
      <c r="B45" t="s">
        <v>97</v>
      </c>
      <c r="C45" t="s">
        <v>736</v>
      </c>
      <c r="D45">
        <v>1</v>
      </c>
    </row>
    <row r="46" spans="1:4" x14ac:dyDescent="0.25">
      <c r="A46" t="s">
        <v>80</v>
      </c>
      <c r="B46" t="s">
        <v>872</v>
      </c>
      <c r="C46" t="s">
        <v>369</v>
      </c>
      <c r="D46">
        <v>3</v>
      </c>
    </row>
    <row r="47" spans="1:4" x14ac:dyDescent="0.25">
      <c r="A47" t="s">
        <v>80</v>
      </c>
      <c r="B47" t="s">
        <v>339</v>
      </c>
      <c r="C47" t="s">
        <v>2549</v>
      </c>
      <c r="D47">
        <v>5</v>
      </c>
    </row>
    <row r="48" spans="1:4" x14ac:dyDescent="0.25">
      <c r="A48" t="s">
        <v>80</v>
      </c>
      <c r="B48" t="s">
        <v>1237</v>
      </c>
      <c r="C48" t="s">
        <v>488</v>
      </c>
      <c r="D48">
        <v>6</v>
      </c>
    </row>
    <row r="49" spans="1:4" x14ac:dyDescent="0.25">
      <c r="A49" t="s">
        <v>80</v>
      </c>
      <c r="B49" t="s">
        <v>1237</v>
      </c>
      <c r="C49" t="s">
        <v>2272</v>
      </c>
      <c r="D49">
        <v>7</v>
      </c>
    </row>
    <row r="50" spans="1:4" x14ac:dyDescent="0.25">
      <c r="A50" t="s">
        <v>80</v>
      </c>
      <c r="B50" t="s">
        <v>1135</v>
      </c>
      <c r="C50" t="s">
        <v>2172</v>
      </c>
      <c r="D50">
        <v>5</v>
      </c>
    </row>
    <row r="51" spans="1:4" x14ac:dyDescent="0.25">
      <c r="A51" t="s">
        <v>123</v>
      </c>
      <c r="B51" t="s">
        <v>170</v>
      </c>
      <c r="C51" t="s">
        <v>2339</v>
      </c>
      <c r="D51">
        <v>6</v>
      </c>
    </row>
    <row r="52" spans="1:4" x14ac:dyDescent="0.25">
      <c r="A52" t="s">
        <v>123</v>
      </c>
      <c r="B52" t="s">
        <v>170</v>
      </c>
      <c r="C52" t="s">
        <v>491</v>
      </c>
      <c r="D52">
        <v>7</v>
      </c>
    </row>
    <row r="53" spans="1:4" x14ac:dyDescent="0.25">
      <c r="A53" t="s">
        <v>123</v>
      </c>
      <c r="B53" t="s">
        <v>487</v>
      </c>
      <c r="C53" t="s">
        <v>1527</v>
      </c>
      <c r="D53">
        <v>4</v>
      </c>
    </row>
    <row r="54" spans="1:4" x14ac:dyDescent="0.25">
      <c r="A54" t="s">
        <v>123</v>
      </c>
      <c r="B54" t="s">
        <v>246</v>
      </c>
      <c r="C54" t="s">
        <v>493</v>
      </c>
      <c r="D54">
        <v>6</v>
      </c>
    </row>
    <row r="55" spans="1:4" x14ac:dyDescent="0.25">
      <c r="A55" t="s">
        <v>123</v>
      </c>
      <c r="B55" t="s">
        <v>1146</v>
      </c>
      <c r="C55" t="s">
        <v>2274</v>
      </c>
      <c r="D55">
        <v>8</v>
      </c>
    </row>
    <row r="56" spans="1:4" x14ac:dyDescent="0.25">
      <c r="A56" t="s">
        <v>123</v>
      </c>
      <c r="B56" t="s">
        <v>54</v>
      </c>
      <c r="C56" t="s">
        <v>2176</v>
      </c>
      <c r="D56">
        <v>5</v>
      </c>
    </row>
    <row r="57" spans="1:4" x14ac:dyDescent="0.25">
      <c r="A57" t="s">
        <v>123</v>
      </c>
      <c r="B57" t="s">
        <v>364</v>
      </c>
      <c r="C57" t="s">
        <v>2177</v>
      </c>
      <c r="D57">
        <v>4</v>
      </c>
    </row>
    <row r="58" spans="1:4" x14ac:dyDescent="0.25">
      <c r="A58" t="s">
        <v>123</v>
      </c>
      <c r="B58" t="s">
        <v>1475</v>
      </c>
      <c r="C58" t="s">
        <v>2450</v>
      </c>
      <c r="D58">
        <v>5</v>
      </c>
    </row>
    <row r="59" spans="1:4" x14ac:dyDescent="0.25">
      <c r="A59" t="s">
        <v>123</v>
      </c>
      <c r="B59" t="s">
        <v>1475</v>
      </c>
      <c r="C59" t="s">
        <v>3982</v>
      </c>
      <c r="D59">
        <v>6</v>
      </c>
    </row>
    <row r="60" spans="1:4" x14ac:dyDescent="0.25">
      <c r="A60" t="s">
        <v>123</v>
      </c>
      <c r="B60" t="s">
        <v>700</v>
      </c>
      <c r="C60" t="s">
        <v>636</v>
      </c>
      <c r="D60">
        <v>3</v>
      </c>
    </row>
    <row r="61" spans="1:4" x14ac:dyDescent="0.25">
      <c r="A61" t="s">
        <v>123</v>
      </c>
      <c r="B61" t="s">
        <v>743</v>
      </c>
      <c r="C61" t="s">
        <v>1607</v>
      </c>
      <c r="D61">
        <v>5</v>
      </c>
    </row>
    <row r="62" spans="1:4" x14ac:dyDescent="0.25">
      <c r="A62" t="s">
        <v>123</v>
      </c>
      <c r="B62" t="s">
        <v>67</v>
      </c>
      <c r="C62" t="s">
        <v>1956</v>
      </c>
      <c r="D62">
        <v>7</v>
      </c>
    </row>
    <row r="63" spans="1:4" x14ac:dyDescent="0.25">
      <c r="A63" t="s">
        <v>123</v>
      </c>
      <c r="B63" t="s">
        <v>472</v>
      </c>
      <c r="C63" t="s">
        <v>2602</v>
      </c>
      <c r="D63">
        <v>9</v>
      </c>
    </row>
    <row r="64" spans="1:4" x14ac:dyDescent="0.25">
      <c r="A64" t="s">
        <v>123</v>
      </c>
      <c r="B64" t="s">
        <v>414</v>
      </c>
      <c r="C64" t="s">
        <v>2553</v>
      </c>
      <c r="D64">
        <v>6</v>
      </c>
    </row>
    <row r="65" spans="1:4" x14ac:dyDescent="0.25">
      <c r="A65" t="s">
        <v>123</v>
      </c>
      <c r="B65" t="s">
        <v>815</v>
      </c>
      <c r="C65" t="s">
        <v>2455</v>
      </c>
      <c r="D65">
        <v>8</v>
      </c>
    </row>
    <row r="66" spans="1:4" x14ac:dyDescent="0.25">
      <c r="A66" t="s">
        <v>123</v>
      </c>
      <c r="B66" t="s">
        <v>72</v>
      </c>
      <c r="C66" t="s">
        <v>2456</v>
      </c>
      <c r="D66">
        <v>7</v>
      </c>
    </row>
    <row r="67" spans="1:4" x14ac:dyDescent="0.25">
      <c r="A67" t="s">
        <v>123</v>
      </c>
      <c r="B67" t="s">
        <v>1113</v>
      </c>
      <c r="C67" t="s">
        <v>2457</v>
      </c>
      <c r="D67">
        <v>6</v>
      </c>
    </row>
    <row r="68" spans="1:4" x14ac:dyDescent="0.25">
      <c r="A68" t="s">
        <v>123</v>
      </c>
      <c r="B68" t="s">
        <v>1113</v>
      </c>
      <c r="C68" t="s">
        <v>1173</v>
      </c>
      <c r="D68">
        <v>5</v>
      </c>
    </row>
    <row r="69" spans="1:4" x14ac:dyDescent="0.25">
      <c r="A69" t="s">
        <v>123</v>
      </c>
      <c r="B69" t="s">
        <v>346</v>
      </c>
      <c r="C69" t="s">
        <v>2185</v>
      </c>
      <c r="D69">
        <v>7</v>
      </c>
    </row>
    <row r="70" spans="1:4" x14ac:dyDescent="0.25">
      <c r="A70" t="s">
        <v>123</v>
      </c>
      <c r="B70" t="s">
        <v>483</v>
      </c>
      <c r="C70" t="s">
        <v>1959</v>
      </c>
      <c r="D70">
        <v>6</v>
      </c>
    </row>
    <row r="71" spans="1:4" x14ac:dyDescent="0.25">
      <c r="A71" t="s">
        <v>123</v>
      </c>
      <c r="B71" t="s">
        <v>483</v>
      </c>
      <c r="C71" t="s">
        <v>2554</v>
      </c>
      <c r="D71">
        <v>5</v>
      </c>
    </row>
    <row r="72" spans="1:4" x14ac:dyDescent="0.25">
      <c r="A72" t="s">
        <v>123</v>
      </c>
      <c r="B72" t="s">
        <v>76</v>
      </c>
      <c r="C72" t="s">
        <v>2731</v>
      </c>
      <c r="D72">
        <v>6</v>
      </c>
    </row>
    <row r="73" spans="1:4" x14ac:dyDescent="0.25">
      <c r="A73" t="s">
        <v>123</v>
      </c>
      <c r="B73" t="s">
        <v>1489</v>
      </c>
      <c r="C73" t="s">
        <v>2556</v>
      </c>
      <c r="D73">
        <v>5</v>
      </c>
    </row>
    <row r="74" spans="1:4" x14ac:dyDescent="0.25">
      <c r="A74" t="s">
        <v>123</v>
      </c>
      <c r="B74" t="s">
        <v>1489</v>
      </c>
      <c r="C74" t="s">
        <v>1178</v>
      </c>
      <c r="D74">
        <v>4</v>
      </c>
    </row>
    <row r="75" spans="1:4" x14ac:dyDescent="0.25">
      <c r="A75" t="s">
        <v>123</v>
      </c>
      <c r="B75" t="s">
        <v>772</v>
      </c>
      <c r="C75" t="s">
        <v>763</v>
      </c>
      <c r="D75">
        <v>5</v>
      </c>
    </row>
    <row r="76" spans="1:4" x14ac:dyDescent="0.25">
      <c r="A76" t="s">
        <v>123</v>
      </c>
      <c r="B76" t="s">
        <v>772</v>
      </c>
      <c r="C76" t="s">
        <v>1179</v>
      </c>
      <c r="D76">
        <v>6</v>
      </c>
    </row>
    <row r="77" spans="1:4" x14ac:dyDescent="0.25">
      <c r="A77" t="s">
        <v>123</v>
      </c>
      <c r="B77" t="s">
        <v>817</v>
      </c>
      <c r="C77" t="s">
        <v>765</v>
      </c>
      <c r="D77">
        <v>7</v>
      </c>
    </row>
    <row r="78" spans="1:4" x14ac:dyDescent="0.25">
      <c r="A78" t="s">
        <v>123</v>
      </c>
      <c r="B78" t="s">
        <v>817</v>
      </c>
      <c r="C78" t="s">
        <v>3702</v>
      </c>
      <c r="D78">
        <v>8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2.0649350649350651</v>
      </c>
    </row>
    <row r="82" spans="1:4" x14ac:dyDescent="0.25">
      <c r="A82" t="s">
        <v>159</v>
      </c>
      <c r="D82">
        <f>MAX(D2:D78)</f>
        <v>9</v>
      </c>
    </row>
    <row r="83" spans="1:4" x14ac:dyDescent="0.25">
      <c r="A83" t="s">
        <v>160</v>
      </c>
      <c r="D83">
        <f>MIN(D2:D78)</f>
        <v>-5</v>
      </c>
    </row>
    <row r="84" spans="1:4" x14ac:dyDescent="0.25">
      <c r="A84" t="s">
        <v>161</v>
      </c>
      <c r="D84">
        <f>COUNTIF(D2:D78,"&gt;0")</f>
        <v>44</v>
      </c>
    </row>
    <row r="85" spans="1:4" x14ac:dyDescent="0.25">
      <c r="A85" t="s">
        <v>162</v>
      </c>
      <c r="D85">
        <f>COUNTIF(D2:D78,"=0")</f>
        <v>8</v>
      </c>
    </row>
    <row r="86" spans="1:4" x14ac:dyDescent="0.25">
      <c r="A86" t="s">
        <v>3983</v>
      </c>
      <c r="D86">
        <f>COUNTIF(D2:D78,"&lt;0")</f>
        <v>25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AVERAGE(D2,D3,D4,D5,D6,D7,D8,D9,D10,D11,D12,D13,D14,D15,D16,D17)</f>
        <v>-1.125</v>
      </c>
    </row>
    <row r="90" spans="1:4" x14ac:dyDescent="0.25">
      <c r="A90" t="s">
        <v>166</v>
      </c>
      <c r="D90">
        <f>AVERAGE(D18,D19,D20,D21,D22,D23,D24,D25,D26,D27,D28,D29,D30,D31,D32,D33,D34)</f>
        <v>-0.6470588235294118</v>
      </c>
    </row>
    <row r="91" spans="1:4" x14ac:dyDescent="0.25">
      <c r="A91" t="s">
        <v>167</v>
      </c>
      <c r="D91">
        <f>AVERAGE(D35,D36,D37,D38,D39,D40,D41,D42,D43,D44,D45,D46,D47,D48,D49,D50)</f>
        <v>1.375</v>
      </c>
    </row>
    <row r="92" spans="1:4" x14ac:dyDescent="0.25">
      <c r="A92" t="s">
        <v>168</v>
      </c>
      <c r="D92">
        <f>AVERAGE(D51,D52,D53,D54,D55,D56,D57,D58,D59,D60,D61,D62,D63,D64,D65,D66,D67,D68,D69,D70,D71,D72,D73,D74,D75,D76,D77,D78)</f>
        <v>5.9285714285714288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10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1704</v>
      </c>
      <c r="C2" t="s">
        <v>908</v>
      </c>
      <c r="D2">
        <v>-2</v>
      </c>
    </row>
    <row r="3" spans="1:4" x14ac:dyDescent="0.25">
      <c r="A3" t="s">
        <v>4</v>
      </c>
      <c r="B3" t="s">
        <v>1973</v>
      </c>
      <c r="C3" t="s">
        <v>8</v>
      </c>
      <c r="D3">
        <v>0</v>
      </c>
    </row>
    <row r="4" spans="1:4" x14ac:dyDescent="0.25">
      <c r="A4" t="s">
        <v>4</v>
      </c>
      <c r="B4" t="s">
        <v>49</v>
      </c>
      <c r="C4" t="s">
        <v>306</v>
      </c>
      <c r="D4">
        <v>-1</v>
      </c>
    </row>
    <row r="5" spans="1:4" x14ac:dyDescent="0.25">
      <c r="A5" t="s">
        <v>4</v>
      </c>
      <c r="B5" t="s">
        <v>49</v>
      </c>
      <c r="C5" t="s">
        <v>10</v>
      </c>
      <c r="D5">
        <v>-2</v>
      </c>
    </row>
    <row r="6" spans="1:4" x14ac:dyDescent="0.25">
      <c r="A6" t="s">
        <v>4</v>
      </c>
      <c r="B6" t="s">
        <v>1280</v>
      </c>
      <c r="C6" t="s">
        <v>1869</v>
      </c>
      <c r="D6">
        <v>-3</v>
      </c>
    </row>
    <row r="7" spans="1:4" x14ac:dyDescent="0.25">
      <c r="A7" t="s">
        <v>4</v>
      </c>
      <c r="B7" t="s">
        <v>1280</v>
      </c>
      <c r="C7" t="s">
        <v>2297</v>
      </c>
      <c r="D7">
        <v>-4</v>
      </c>
    </row>
    <row r="8" spans="1:4" x14ac:dyDescent="0.25">
      <c r="A8" t="s">
        <v>4</v>
      </c>
      <c r="B8" t="s">
        <v>1754</v>
      </c>
      <c r="C8" t="s">
        <v>1107</v>
      </c>
      <c r="D8">
        <v>-1</v>
      </c>
    </row>
    <row r="9" spans="1:4" x14ac:dyDescent="0.25">
      <c r="A9" t="s">
        <v>4</v>
      </c>
      <c r="B9" t="s">
        <v>1549</v>
      </c>
      <c r="C9" t="s">
        <v>1109</v>
      </c>
      <c r="D9">
        <v>-3</v>
      </c>
    </row>
    <row r="10" spans="1:4" x14ac:dyDescent="0.25">
      <c r="A10" t="s">
        <v>4</v>
      </c>
      <c r="B10" t="s">
        <v>1723</v>
      </c>
      <c r="C10" t="s">
        <v>434</v>
      </c>
      <c r="D10">
        <v>-1</v>
      </c>
    </row>
    <row r="11" spans="1:4" x14ac:dyDescent="0.25">
      <c r="A11" t="s">
        <v>4</v>
      </c>
      <c r="B11" t="s">
        <v>97</v>
      </c>
      <c r="C11" t="s">
        <v>436</v>
      </c>
      <c r="D11">
        <v>-3</v>
      </c>
    </row>
    <row r="12" spans="1:4" x14ac:dyDescent="0.25">
      <c r="A12" t="s">
        <v>4</v>
      </c>
      <c r="B12" t="s">
        <v>762</v>
      </c>
      <c r="C12" t="s">
        <v>1499</v>
      </c>
      <c r="D12">
        <v>-5</v>
      </c>
    </row>
    <row r="13" spans="1:4" x14ac:dyDescent="0.25">
      <c r="A13" t="s">
        <v>4</v>
      </c>
      <c r="B13" t="s">
        <v>1795</v>
      </c>
      <c r="C13" t="s">
        <v>1433</v>
      </c>
      <c r="D13">
        <v>-3</v>
      </c>
    </row>
    <row r="14" spans="1:4" x14ac:dyDescent="0.25">
      <c r="A14" t="s">
        <v>4</v>
      </c>
      <c r="B14" t="s">
        <v>1016</v>
      </c>
      <c r="C14" t="s">
        <v>2325</v>
      </c>
      <c r="D14">
        <v>-5</v>
      </c>
    </row>
    <row r="15" spans="1:4" x14ac:dyDescent="0.25">
      <c r="A15" t="s">
        <v>4</v>
      </c>
      <c r="B15" t="s">
        <v>747</v>
      </c>
      <c r="C15" t="s">
        <v>1501</v>
      </c>
      <c r="D15">
        <v>-4</v>
      </c>
    </row>
    <row r="16" spans="1:4" x14ac:dyDescent="0.25">
      <c r="A16" t="s">
        <v>4</v>
      </c>
      <c r="B16" t="s">
        <v>225</v>
      </c>
      <c r="C16" t="s">
        <v>2607</v>
      </c>
      <c r="D16">
        <v>-6</v>
      </c>
    </row>
    <row r="17" spans="1:4" x14ac:dyDescent="0.25">
      <c r="A17" t="s">
        <v>4</v>
      </c>
      <c r="B17" t="s">
        <v>749</v>
      </c>
      <c r="C17" t="s">
        <v>703</v>
      </c>
      <c r="D17">
        <v>-3</v>
      </c>
    </row>
    <row r="18" spans="1:4" x14ac:dyDescent="0.25">
      <c r="A18" t="s">
        <v>4</v>
      </c>
      <c r="B18" t="s">
        <v>990</v>
      </c>
      <c r="C18" t="s">
        <v>578</v>
      </c>
      <c r="D18">
        <v>-5</v>
      </c>
    </row>
    <row r="19" spans="1:4" x14ac:dyDescent="0.25">
      <c r="A19" t="s">
        <v>4</v>
      </c>
      <c r="B19" t="s">
        <v>1640</v>
      </c>
      <c r="C19" t="s">
        <v>580</v>
      </c>
      <c r="D19">
        <v>-3</v>
      </c>
    </row>
    <row r="20" spans="1:4" x14ac:dyDescent="0.25">
      <c r="A20" t="s">
        <v>4</v>
      </c>
      <c r="B20" t="s">
        <v>611</v>
      </c>
      <c r="C20" t="s">
        <v>1506</v>
      </c>
      <c r="D20">
        <v>-5</v>
      </c>
    </row>
    <row r="21" spans="1:4" x14ac:dyDescent="0.25">
      <c r="A21" t="s">
        <v>4</v>
      </c>
      <c r="B21" t="s">
        <v>118</v>
      </c>
      <c r="C21" t="s">
        <v>2264</v>
      </c>
      <c r="D21">
        <v>-2</v>
      </c>
    </row>
    <row r="22" spans="1:4" x14ac:dyDescent="0.25">
      <c r="A22" t="s">
        <v>4</v>
      </c>
      <c r="B22" t="s">
        <v>681</v>
      </c>
      <c r="C22" t="s">
        <v>711</v>
      </c>
      <c r="D22">
        <v>1</v>
      </c>
    </row>
    <row r="23" spans="1:4" x14ac:dyDescent="0.25">
      <c r="A23" t="s">
        <v>40</v>
      </c>
      <c r="B23" t="s">
        <v>1022</v>
      </c>
      <c r="C23" t="s">
        <v>2328</v>
      </c>
      <c r="D23">
        <v>-2</v>
      </c>
    </row>
    <row r="24" spans="1:4" x14ac:dyDescent="0.25">
      <c r="A24" t="s">
        <v>40</v>
      </c>
      <c r="B24" t="s">
        <v>487</v>
      </c>
      <c r="C24" t="s">
        <v>589</v>
      </c>
      <c r="D24">
        <v>-1</v>
      </c>
    </row>
    <row r="25" spans="1:4" x14ac:dyDescent="0.25">
      <c r="A25" t="s">
        <v>40</v>
      </c>
      <c r="B25" t="s">
        <v>355</v>
      </c>
      <c r="C25" t="s">
        <v>591</v>
      </c>
      <c r="D25">
        <v>1</v>
      </c>
    </row>
    <row r="26" spans="1:4" x14ac:dyDescent="0.25">
      <c r="A26" t="s">
        <v>40</v>
      </c>
      <c r="B26" t="s">
        <v>1824</v>
      </c>
      <c r="C26" t="s">
        <v>214</v>
      </c>
      <c r="D26">
        <v>3</v>
      </c>
    </row>
    <row r="27" spans="1:4" x14ac:dyDescent="0.25">
      <c r="A27" t="s">
        <v>40</v>
      </c>
      <c r="B27" t="s">
        <v>332</v>
      </c>
      <c r="C27" t="s">
        <v>717</v>
      </c>
      <c r="D27">
        <v>4</v>
      </c>
    </row>
    <row r="28" spans="1:4" x14ac:dyDescent="0.25">
      <c r="A28" t="s">
        <v>40</v>
      </c>
      <c r="B28" t="s">
        <v>363</v>
      </c>
      <c r="C28" t="s">
        <v>718</v>
      </c>
      <c r="D28">
        <v>1</v>
      </c>
    </row>
    <row r="29" spans="1:4" x14ac:dyDescent="0.25">
      <c r="A29" t="s">
        <v>40</v>
      </c>
      <c r="B29" t="s">
        <v>802</v>
      </c>
      <c r="C29" t="s">
        <v>1753</v>
      </c>
      <c r="D29">
        <v>2</v>
      </c>
    </row>
    <row r="30" spans="1:4" x14ac:dyDescent="0.25">
      <c r="A30" t="s">
        <v>40</v>
      </c>
      <c r="B30" t="s">
        <v>802</v>
      </c>
      <c r="C30" t="s">
        <v>218</v>
      </c>
      <c r="D30">
        <v>3</v>
      </c>
    </row>
    <row r="31" spans="1:4" x14ac:dyDescent="0.25">
      <c r="A31" t="s">
        <v>40</v>
      </c>
      <c r="B31" t="s">
        <v>1105</v>
      </c>
      <c r="C31" t="s">
        <v>1825</v>
      </c>
      <c r="D31">
        <v>0</v>
      </c>
    </row>
    <row r="32" spans="1:4" x14ac:dyDescent="0.25">
      <c r="A32" t="s">
        <v>40</v>
      </c>
      <c r="B32" t="s">
        <v>95</v>
      </c>
      <c r="C32" t="s">
        <v>1212</v>
      </c>
      <c r="D32">
        <v>1</v>
      </c>
    </row>
    <row r="33" spans="1:4" x14ac:dyDescent="0.25">
      <c r="A33" t="s">
        <v>40</v>
      </c>
      <c r="B33" t="s">
        <v>95</v>
      </c>
      <c r="C33" t="s">
        <v>936</v>
      </c>
      <c r="D33">
        <v>2</v>
      </c>
    </row>
    <row r="34" spans="1:4" x14ac:dyDescent="0.25">
      <c r="A34" t="s">
        <v>40</v>
      </c>
      <c r="B34" t="s">
        <v>97</v>
      </c>
      <c r="C34" t="s">
        <v>1128</v>
      </c>
      <c r="D34">
        <v>1</v>
      </c>
    </row>
    <row r="35" spans="1:4" x14ac:dyDescent="0.25">
      <c r="A35" t="s">
        <v>40</v>
      </c>
      <c r="B35" t="s">
        <v>97</v>
      </c>
      <c r="C35" t="s">
        <v>345</v>
      </c>
      <c r="D35">
        <v>0</v>
      </c>
    </row>
    <row r="36" spans="1:4" x14ac:dyDescent="0.25">
      <c r="A36" t="s">
        <v>40</v>
      </c>
      <c r="B36" t="s">
        <v>99</v>
      </c>
      <c r="C36" t="s">
        <v>347</v>
      </c>
      <c r="D36">
        <v>2</v>
      </c>
    </row>
    <row r="37" spans="1:4" x14ac:dyDescent="0.25">
      <c r="A37" t="s">
        <v>40</v>
      </c>
      <c r="B37" t="s">
        <v>941</v>
      </c>
      <c r="C37" t="s">
        <v>1134</v>
      </c>
      <c r="D37">
        <v>-1</v>
      </c>
    </row>
    <row r="38" spans="1:4" x14ac:dyDescent="0.25">
      <c r="A38" t="s">
        <v>40</v>
      </c>
      <c r="B38" t="s">
        <v>1602</v>
      </c>
      <c r="C38" t="s">
        <v>1516</v>
      </c>
      <c r="D38">
        <v>1</v>
      </c>
    </row>
    <row r="39" spans="1:4" x14ac:dyDescent="0.25">
      <c r="A39" t="s">
        <v>40</v>
      </c>
      <c r="B39" t="s">
        <v>1040</v>
      </c>
      <c r="C39" t="s">
        <v>731</v>
      </c>
      <c r="D39">
        <v>-2</v>
      </c>
    </row>
    <row r="40" spans="1:4" x14ac:dyDescent="0.25">
      <c r="A40" t="s">
        <v>40</v>
      </c>
      <c r="B40" t="s">
        <v>442</v>
      </c>
      <c r="C40" t="s">
        <v>2304</v>
      </c>
      <c r="D40">
        <v>0</v>
      </c>
    </row>
    <row r="41" spans="1:4" x14ac:dyDescent="0.25">
      <c r="A41" t="s">
        <v>40</v>
      </c>
      <c r="B41" t="s">
        <v>144</v>
      </c>
      <c r="C41" t="s">
        <v>476</v>
      </c>
      <c r="D41">
        <v>1</v>
      </c>
    </row>
    <row r="42" spans="1:4" x14ac:dyDescent="0.25">
      <c r="A42" t="s">
        <v>40</v>
      </c>
      <c r="B42" t="s">
        <v>1335</v>
      </c>
      <c r="C42" t="s">
        <v>3574</v>
      </c>
      <c r="D42">
        <v>0</v>
      </c>
    </row>
    <row r="43" spans="1:4" x14ac:dyDescent="0.25">
      <c r="A43" t="s">
        <v>40</v>
      </c>
      <c r="B43" t="s">
        <v>1076</v>
      </c>
      <c r="C43" t="s">
        <v>358</v>
      </c>
      <c r="D43">
        <v>1</v>
      </c>
    </row>
    <row r="44" spans="1:4" x14ac:dyDescent="0.25">
      <c r="A44" t="s">
        <v>40</v>
      </c>
      <c r="B44" t="s">
        <v>33</v>
      </c>
      <c r="C44" t="s">
        <v>360</v>
      </c>
      <c r="D44">
        <v>3</v>
      </c>
    </row>
    <row r="45" spans="1:4" x14ac:dyDescent="0.25">
      <c r="A45" t="s">
        <v>40</v>
      </c>
      <c r="B45" t="s">
        <v>1276</v>
      </c>
      <c r="C45" t="s">
        <v>362</v>
      </c>
      <c r="D45">
        <v>1</v>
      </c>
    </row>
    <row r="46" spans="1:4" x14ac:dyDescent="0.25">
      <c r="A46" t="s">
        <v>80</v>
      </c>
      <c r="B46" t="s">
        <v>428</v>
      </c>
      <c r="C46" t="s">
        <v>734</v>
      </c>
      <c r="D46">
        <v>2</v>
      </c>
    </row>
    <row r="47" spans="1:4" x14ac:dyDescent="0.25">
      <c r="A47" t="s">
        <v>80</v>
      </c>
      <c r="B47" t="s">
        <v>271</v>
      </c>
      <c r="C47" t="s">
        <v>245</v>
      </c>
      <c r="D47">
        <v>0</v>
      </c>
    </row>
    <row r="48" spans="1:4" x14ac:dyDescent="0.25">
      <c r="A48" t="s">
        <v>80</v>
      </c>
      <c r="B48" t="s">
        <v>172</v>
      </c>
      <c r="C48" t="s">
        <v>248</v>
      </c>
      <c r="D48">
        <v>-2</v>
      </c>
    </row>
    <row r="49" spans="1:4" x14ac:dyDescent="0.25">
      <c r="A49" t="s">
        <v>80</v>
      </c>
      <c r="B49" t="s">
        <v>1754</v>
      </c>
      <c r="C49" t="s">
        <v>367</v>
      </c>
      <c r="D49">
        <v>0</v>
      </c>
    </row>
    <row r="50" spans="1:4" x14ac:dyDescent="0.25">
      <c r="A50" t="s">
        <v>80</v>
      </c>
      <c r="B50" t="s">
        <v>1826</v>
      </c>
      <c r="C50" t="s">
        <v>2309</v>
      </c>
      <c r="D50">
        <v>2</v>
      </c>
    </row>
    <row r="51" spans="1:4" x14ac:dyDescent="0.25">
      <c r="A51" t="s">
        <v>80</v>
      </c>
      <c r="B51" t="s">
        <v>916</v>
      </c>
      <c r="C51" t="s">
        <v>2310</v>
      </c>
      <c r="D51">
        <v>0</v>
      </c>
    </row>
    <row r="52" spans="1:4" x14ac:dyDescent="0.25">
      <c r="A52" t="s">
        <v>80</v>
      </c>
      <c r="B52" t="s">
        <v>600</v>
      </c>
      <c r="C52" t="s">
        <v>257</v>
      </c>
      <c r="D52">
        <v>-2</v>
      </c>
    </row>
    <row r="53" spans="1:4" x14ac:dyDescent="0.25">
      <c r="A53" t="s">
        <v>80</v>
      </c>
      <c r="B53" t="s">
        <v>701</v>
      </c>
      <c r="C53" t="s">
        <v>258</v>
      </c>
      <c r="D53">
        <v>-1</v>
      </c>
    </row>
    <row r="54" spans="1:4" x14ac:dyDescent="0.25">
      <c r="A54" t="s">
        <v>80</v>
      </c>
      <c r="B54" t="s">
        <v>1698</v>
      </c>
      <c r="C54" t="s">
        <v>375</v>
      </c>
      <c r="D54">
        <v>1</v>
      </c>
    </row>
    <row r="55" spans="1:4" x14ac:dyDescent="0.25">
      <c r="A55" t="s">
        <v>80</v>
      </c>
      <c r="B55" t="s">
        <v>812</v>
      </c>
      <c r="C55" t="s">
        <v>745</v>
      </c>
      <c r="D55">
        <v>0</v>
      </c>
    </row>
    <row r="56" spans="1:4" x14ac:dyDescent="0.25">
      <c r="A56" t="s">
        <v>80</v>
      </c>
      <c r="B56" t="s">
        <v>812</v>
      </c>
      <c r="C56" t="s">
        <v>262</v>
      </c>
      <c r="D56">
        <v>-1</v>
      </c>
    </row>
    <row r="57" spans="1:4" x14ac:dyDescent="0.25">
      <c r="A57" t="s">
        <v>80</v>
      </c>
      <c r="B57" t="s">
        <v>228</v>
      </c>
      <c r="C57" t="s">
        <v>264</v>
      </c>
      <c r="D57">
        <v>-3</v>
      </c>
    </row>
    <row r="58" spans="1:4" x14ac:dyDescent="0.25">
      <c r="A58" t="s">
        <v>80</v>
      </c>
      <c r="B58" t="s">
        <v>710</v>
      </c>
      <c r="C58" t="s">
        <v>2136</v>
      </c>
      <c r="D58">
        <v>-5</v>
      </c>
    </row>
    <row r="59" spans="1:4" x14ac:dyDescent="0.25">
      <c r="A59" t="s">
        <v>80</v>
      </c>
      <c r="B59" t="s">
        <v>76</v>
      </c>
      <c r="C59" t="s">
        <v>3984</v>
      </c>
      <c r="D59">
        <v>-4</v>
      </c>
    </row>
    <row r="60" spans="1:4" x14ac:dyDescent="0.25">
      <c r="A60" t="s">
        <v>80</v>
      </c>
      <c r="B60" t="s">
        <v>76</v>
      </c>
      <c r="C60" t="s">
        <v>1770</v>
      </c>
      <c r="D60">
        <v>-3</v>
      </c>
    </row>
    <row r="61" spans="1:4" x14ac:dyDescent="0.25">
      <c r="A61" t="s">
        <v>80</v>
      </c>
      <c r="B61" t="s">
        <v>38</v>
      </c>
      <c r="C61" t="s">
        <v>2569</v>
      </c>
      <c r="D61">
        <v>-6</v>
      </c>
    </row>
    <row r="62" spans="1:4" x14ac:dyDescent="0.25">
      <c r="A62" t="s">
        <v>123</v>
      </c>
      <c r="B62" t="s">
        <v>352</v>
      </c>
      <c r="C62" t="s">
        <v>2965</v>
      </c>
      <c r="D62">
        <v>-7</v>
      </c>
    </row>
    <row r="63" spans="1:4" x14ac:dyDescent="0.25">
      <c r="A63" t="s">
        <v>123</v>
      </c>
      <c r="B63" t="s">
        <v>1929</v>
      </c>
      <c r="C63" t="s">
        <v>3985</v>
      </c>
      <c r="D63">
        <v>-9</v>
      </c>
    </row>
    <row r="64" spans="1:4" x14ac:dyDescent="0.25">
      <c r="A64" t="s">
        <v>123</v>
      </c>
      <c r="B64" t="s">
        <v>1765</v>
      </c>
      <c r="C64" t="s">
        <v>2571</v>
      </c>
      <c r="D64">
        <v>-10</v>
      </c>
    </row>
    <row r="65" spans="1:4" x14ac:dyDescent="0.25">
      <c r="A65" t="s">
        <v>123</v>
      </c>
      <c r="B65" t="s">
        <v>1765</v>
      </c>
      <c r="C65" t="s">
        <v>2572</v>
      </c>
      <c r="D65">
        <v>-11</v>
      </c>
    </row>
    <row r="66" spans="1:4" x14ac:dyDescent="0.25">
      <c r="A66" t="s">
        <v>123</v>
      </c>
      <c r="B66" t="s">
        <v>1765</v>
      </c>
      <c r="C66" t="s">
        <v>3986</v>
      </c>
      <c r="D66">
        <v>-12</v>
      </c>
    </row>
    <row r="67" spans="1:4" x14ac:dyDescent="0.25">
      <c r="A67" t="s">
        <v>123</v>
      </c>
      <c r="B67" t="s">
        <v>1280</v>
      </c>
      <c r="C67" t="s">
        <v>2574</v>
      </c>
      <c r="D67">
        <v>-10</v>
      </c>
    </row>
    <row r="68" spans="1:4" x14ac:dyDescent="0.25">
      <c r="A68" t="s">
        <v>123</v>
      </c>
      <c r="B68" t="s">
        <v>800</v>
      </c>
      <c r="C68" t="s">
        <v>3987</v>
      </c>
      <c r="D68">
        <v>-9</v>
      </c>
    </row>
    <row r="69" spans="1:4" x14ac:dyDescent="0.25">
      <c r="A69" t="s">
        <v>123</v>
      </c>
      <c r="B69" t="s">
        <v>274</v>
      </c>
      <c r="C69" t="s">
        <v>3988</v>
      </c>
      <c r="D69">
        <v>-11</v>
      </c>
    </row>
    <row r="70" spans="1:4" x14ac:dyDescent="0.25">
      <c r="A70" t="s">
        <v>123</v>
      </c>
      <c r="B70" t="s">
        <v>1549</v>
      </c>
      <c r="C70" t="s">
        <v>3989</v>
      </c>
      <c r="D70">
        <v>-10</v>
      </c>
    </row>
    <row r="71" spans="1:4" x14ac:dyDescent="0.25">
      <c r="A71" t="s">
        <v>123</v>
      </c>
      <c r="B71" t="s">
        <v>1549</v>
      </c>
      <c r="C71" t="s">
        <v>125</v>
      </c>
      <c r="D71">
        <v>-9</v>
      </c>
    </row>
    <row r="72" spans="1:4" x14ac:dyDescent="0.25">
      <c r="A72" t="s">
        <v>123</v>
      </c>
      <c r="B72" t="s">
        <v>307</v>
      </c>
      <c r="C72" t="s">
        <v>127</v>
      </c>
      <c r="D72">
        <v>-7</v>
      </c>
    </row>
    <row r="73" spans="1:4" x14ac:dyDescent="0.25">
      <c r="A73" t="s">
        <v>123</v>
      </c>
      <c r="B73" t="s">
        <v>1033</v>
      </c>
      <c r="C73" t="s">
        <v>3990</v>
      </c>
      <c r="D73">
        <v>-10</v>
      </c>
    </row>
    <row r="74" spans="1:4" x14ac:dyDescent="0.25">
      <c r="A74" t="s">
        <v>123</v>
      </c>
      <c r="B74" t="s">
        <v>1227</v>
      </c>
      <c r="C74" t="s">
        <v>3991</v>
      </c>
      <c r="D74">
        <v>-8</v>
      </c>
    </row>
    <row r="75" spans="1:4" x14ac:dyDescent="0.25">
      <c r="A75" t="s">
        <v>123</v>
      </c>
      <c r="B75" t="s">
        <v>2431</v>
      </c>
      <c r="C75" t="s">
        <v>3992</v>
      </c>
      <c r="D75">
        <v>-11</v>
      </c>
    </row>
    <row r="76" spans="1:4" x14ac:dyDescent="0.25">
      <c r="A76" t="s">
        <v>123</v>
      </c>
      <c r="B76" t="s">
        <v>2158</v>
      </c>
      <c r="C76" t="s">
        <v>3096</v>
      </c>
      <c r="D76">
        <v>-8</v>
      </c>
    </row>
    <row r="77" spans="1:4" x14ac:dyDescent="0.25">
      <c r="A77" t="s">
        <v>123</v>
      </c>
      <c r="B77" t="s">
        <v>284</v>
      </c>
      <c r="C77" t="s">
        <v>1784</v>
      </c>
      <c r="D77">
        <v>-11</v>
      </c>
    </row>
    <row r="78" spans="1:4" x14ac:dyDescent="0.25">
      <c r="A78" t="s">
        <v>123</v>
      </c>
      <c r="B78" t="s">
        <v>337</v>
      </c>
      <c r="C78" t="s">
        <v>3993</v>
      </c>
      <c r="D78">
        <v>-9</v>
      </c>
    </row>
    <row r="79" spans="1:4" x14ac:dyDescent="0.25">
      <c r="A79" t="s">
        <v>123</v>
      </c>
      <c r="B79" t="s">
        <v>110</v>
      </c>
      <c r="C79" t="s">
        <v>2146</v>
      </c>
      <c r="D79">
        <v>-7</v>
      </c>
    </row>
    <row r="80" spans="1:4" x14ac:dyDescent="0.25">
      <c r="A80" t="s">
        <v>123</v>
      </c>
      <c r="B80" t="s">
        <v>629</v>
      </c>
      <c r="C80" t="s">
        <v>289</v>
      </c>
      <c r="D80">
        <v>-8</v>
      </c>
    </row>
    <row r="81" spans="1:4" x14ac:dyDescent="0.25">
      <c r="A81" t="s">
        <v>123</v>
      </c>
      <c r="B81" t="s">
        <v>442</v>
      </c>
      <c r="C81" t="s">
        <v>291</v>
      </c>
      <c r="D81">
        <v>-10</v>
      </c>
    </row>
    <row r="82" spans="1:4" x14ac:dyDescent="0.25">
      <c r="A82" t="s">
        <v>123</v>
      </c>
      <c r="B82" t="s">
        <v>813</v>
      </c>
      <c r="C82" t="s">
        <v>3994</v>
      </c>
      <c r="D82">
        <v>-9</v>
      </c>
    </row>
    <row r="83" spans="1:4" x14ac:dyDescent="0.25">
      <c r="A83" t="s">
        <v>123</v>
      </c>
      <c r="B83" t="s">
        <v>813</v>
      </c>
      <c r="C83" t="s">
        <v>2427</v>
      </c>
      <c r="D83">
        <v>-8</v>
      </c>
    </row>
    <row r="84" spans="1:4" x14ac:dyDescent="0.25">
      <c r="A84" t="s">
        <v>123</v>
      </c>
      <c r="B84" t="s">
        <v>228</v>
      </c>
      <c r="C84" t="s">
        <v>2429</v>
      </c>
      <c r="D84">
        <v>-10</v>
      </c>
    </row>
    <row r="85" spans="1:4" x14ac:dyDescent="0.25">
      <c r="A85" t="s">
        <v>123</v>
      </c>
      <c r="B85" t="s">
        <v>877</v>
      </c>
      <c r="C85" t="s">
        <v>1551</v>
      </c>
      <c r="D85">
        <v>-12</v>
      </c>
    </row>
    <row r="86" spans="1:4" x14ac:dyDescent="0.25">
      <c r="A86" t="s">
        <v>123</v>
      </c>
      <c r="B86" t="s">
        <v>344</v>
      </c>
      <c r="C86" t="s">
        <v>2622</v>
      </c>
      <c r="D86">
        <v>-11</v>
      </c>
    </row>
    <row r="87" spans="1:4" x14ac:dyDescent="0.25">
      <c r="A87" t="s">
        <v>123</v>
      </c>
      <c r="B87" t="s">
        <v>344</v>
      </c>
      <c r="C87" t="s">
        <v>149</v>
      </c>
      <c r="D87">
        <v>-10</v>
      </c>
    </row>
    <row r="88" spans="1:4" x14ac:dyDescent="0.25">
      <c r="A88" t="s">
        <v>123</v>
      </c>
      <c r="B88" t="s">
        <v>675</v>
      </c>
      <c r="C88" t="s">
        <v>2248</v>
      </c>
      <c r="D88">
        <v>-7</v>
      </c>
    </row>
    <row r="89" spans="1:4" x14ac:dyDescent="0.25">
      <c r="A89" t="s">
        <v>123</v>
      </c>
      <c r="B89" t="s">
        <v>1206</v>
      </c>
      <c r="C89" t="s">
        <v>3979</v>
      </c>
      <c r="D89">
        <v>-8</v>
      </c>
    </row>
    <row r="90" spans="1:4" x14ac:dyDescent="0.25">
      <c r="A90" t="s">
        <v>123</v>
      </c>
      <c r="B90" t="s">
        <v>78</v>
      </c>
      <c r="C90" t="s">
        <v>861</v>
      </c>
      <c r="D90">
        <v>-6</v>
      </c>
    </row>
    <row r="92" spans="1:4" x14ac:dyDescent="0.25">
      <c r="A92" s="2" t="s">
        <v>157</v>
      </c>
    </row>
    <row r="93" spans="1:4" x14ac:dyDescent="0.25">
      <c r="A93" t="s">
        <v>158</v>
      </c>
      <c r="D93">
        <f>AVERAGE(D2:D90)</f>
        <v>-3.696629213483146</v>
      </c>
    </row>
    <row r="94" spans="1:4" x14ac:dyDescent="0.25">
      <c r="A94" t="s">
        <v>159</v>
      </c>
      <c r="D94">
        <f>MAX(D2:D90)</f>
        <v>4</v>
      </c>
    </row>
    <row r="95" spans="1:4" x14ac:dyDescent="0.25">
      <c r="A95" t="s">
        <v>160</v>
      </c>
      <c r="D95">
        <f>MIN(D2:D90)</f>
        <v>-12</v>
      </c>
    </row>
    <row r="96" spans="1:4" x14ac:dyDescent="0.25">
      <c r="A96" t="s">
        <v>161</v>
      </c>
      <c r="D96">
        <f>COUNTIF(D2:D90,"&gt;0")</f>
        <v>19</v>
      </c>
    </row>
    <row r="97" spans="1:4" x14ac:dyDescent="0.25">
      <c r="A97" t="s">
        <v>162</v>
      </c>
      <c r="D97">
        <f>COUNTIF(D2:D90,"=0")</f>
        <v>9</v>
      </c>
    </row>
    <row r="98" spans="1:4" x14ac:dyDescent="0.25">
      <c r="A98" t="s">
        <v>561</v>
      </c>
      <c r="D98">
        <f>COUNTIF(D2:D90,"&lt;0")</f>
        <v>61</v>
      </c>
    </row>
    <row r="100" spans="1:4" x14ac:dyDescent="0.25">
      <c r="A100" s="2" t="s">
        <v>164</v>
      </c>
    </row>
    <row r="101" spans="1:4" x14ac:dyDescent="0.25">
      <c r="A101" t="s">
        <v>165</v>
      </c>
      <c r="D101">
        <f>AVERAGE(D2,D3,D4,D5,D6,D7,D8,D9,D10,D11,D12,D13,D14,D15,D16,D17,D18,D19,D20,D21,D22)</f>
        <v>-2.8571428571428572</v>
      </c>
    </row>
    <row r="102" spans="1:4" x14ac:dyDescent="0.25">
      <c r="A102" t="s">
        <v>166</v>
      </c>
      <c r="D102">
        <f>AVERAGE(D23,D24,D25,D26,D27,D28,D29,D30,D31,D32,D33,D34,D35,D36,D37,D38,D39,D40,D41,D42,D43,D44,D45)</f>
        <v>0.91304347826086951</v>
      </c>
    </row>
    <row r="103" spans="1:4" x14ac:dyDescent="0.25">
      <c r="A103" t="s">
        <v>167</v>
      </c>
      <c r="D103">
        <f>AVERAGE(D46,D47,D48,D49,D50,D51,D52,D53,D54,D55,D56,D57,D58,D59,D60,D61)</f>
        <v>-1.375</v>
      </c>
    </row>
    <row r="104" spans="1:4" x14ac:dyDescent="0.25">
      <c r="A104" t="s">
        <v>168</v>
      </c>
      <c r="D104">
        <f>AVERAGE(D62,D63,D64,D65,D66,D67,D68,D69,D70,D71,D72,D73,D74,D75,D76,D77,D78,D79,D80,D81,D82,D83,D84,D85,D86,D87,D88,D89,D90)</f>
        <v>-9.2413793103448274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11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428</v>
      </c>
      <c r="C2" t="s">
        <v>171</v>
      </c>
      <c r="D2">
        <v>3</v>
      </c>
    </row>
    <row r="3" spans="1:4" x14ac:dyDescent="0.25">
      <c r="A3" t="s">
        <v>4</v>
      </c>
      <c r="B3" t="s">
        <v>1851</v>
      </c>
      <c r="C3" t="s">
        <v>174</v>
      </c>
      <c r="D3">
        <v>1</v>
      </c>
    </row>
    <row r="4" spans="1:4" x14ac:dyDescent="0.25">
      <c r="A4" t="s">
        <v>4</v>
      </c>
      <c r="B4" t="s">
        <v>2074</v>
      </c>
      <c r="C4" t="s">
        <v>1347</v>
      </c>
      <c r="D4">
        <v>3</v>
      </c>
    </row>
    <row r="5" spans="1:4" x14ac:dyDescent="0.25">
      <c r="A5" t="s">
        <v>4</v>
      </c>
      <c r="B5" t="s">
        <v>2842</v>
      </c>
      <c r="C5" t="s">
        <v>429</v>
      </c>
      <c r="D5">
        <v>2</v>
      </c>
    </row>
    <row r="6" spans="1:4" x14ac:dyDescent="0.25">
      <c r="A6" t="s">
        <v>4</v>
      </c>
      <c r="B6" t="s">
        <v>2842</v>
      </c>
      <c r="C6" t="s">
        <v>1106</v>
      </c>
      <c r="D6">
        <v>1</v>
      </c>
    </row>
    <row r="7" spans="1:4" x14ac:dyDescent="0.25">
      <c r="A7" t="s">
        <v>4</v>
      </c>
      <c r="B7" t="s">
        <v>2266</v>
      </c>
      <c r="C7" t="s">
        <v>1348</v>
      </c>
      <c r="D7">
        <v>3</v>
      </c>
    </row>
    <row r="8" spans="1:4" x14ac:dyDescent="0.25">
      <c r="A8" t="s">
        <v>4</v>
      </c>
      <c r="B8" t="s">
        <v>1092</v>
      </c>
      <c r="C8" t="s">
        <v>311</v>
      </c>
      <c r="D8">
        <v>1</v>
      </c>
    </row>
    <row r="9" spans="1:4" x14ac:dyDescent="0.25">
      <c r="A9" t="s">
        <v>4</v>
      </c>
      <c r="B9" t="s">
        <v>1312</v>
      </c>
      <c r="C9" t="s">
        <v>434</v>
      </c>
      <c r="D9">
        <v>-1</v>
      </c>
    </row>
    <row r="10" spans="1:4" x14ac:dyDescent="0.25">
      <c r="A10" t="s">
        <v>4</v>
      </c>
      <c r="B10" t="s">
        <v>1112</v>
      </c>
      <c r="C10" t="s">
        <v>436</v>
      </c>
      <c r="D10">
        <v>-3</v>
      </c>
    </row>
    <row r="11" spans="1:4" x14ac:dyDescent="0.25">
      <c r="A11" t="s">
        <v>4</v>
      </c>
      <c r="B11" t="s">
        <v>1646</v>
      </c>
      <c r="C11" t="s">
        <v>915</v>
      </c>
      <c r="D11">
        <v>-2</v>
      </c>
    </row>
    <row r="12" spans="1:4" x14ac:dyDescent="0.25">
      <c r="A12" t="s">
        <v>4</v>
      </c>
      <c r="B12" t="s">
        <v>1646</v>
      </c>
      <c r="C12" t="s">
        <v>438</v>
      </c>
      <c r="D12">
        <v>-1</v>
      </c>
    </row>
    <row r="13" spans="1:4" x14ac:dyDescent="0.25">
      <c r="A13" t="s">
        <v>4</v>
      </c>
      <c r="B13" t="s">
        <v>537</v>
      </c>
      <c r="C13" t="s">
        <v>1433</v>
      </c>
      <c r="D13">
        <v>-3</v>
      </c>
    </row>
    <row r="14" spans="1:4" x14ac:dyDescent="0.25">
      <c r="A14" t="s">
        <v>40</v>
      </c>
      <c r="B14" t="s">
        <v>1208</v>
      </c>
      <c r="C14" t="s">
        <v>2395</v>
      </c>
      <c r="D14">
        <v>-6</v>
      </c>
    </row>
    <row r="15" spans="1:4" x14ac:dyDescent="0.25">
      <c r="A15" t="s">
        <v>40</v>
      </c>
      <c r="B15" t="s">
        <v>239</v>
      </c>
      <c r="C15" t="s">
        <v>576</v>
      </c>
      <c r="D15">
        <v>-4</v>
      </c>
    </row>
    <row r="16" spans="1:4" x14ac:dyDescent="0.25">
      <c r="A16" t="s">
        <v>40</v>
      </c>
      <c r="B16" t="s">
        <v>1680</v>
      </c>
      <c r="C16" t="s">
        <v>2397</v>
      </c>
      <c r="D16">
        <v>-6</v>
      </c>
    </row>
    <row r="17" spans="1:4" x14ac:dyDescent="0.25">
      <c r="A17" t="s">
        <v>40</v>
      </c>
      <c r="B17" t="s">
        <v>128</v>
      </c>
      <c r="C17" t="s">
        <v>2203</v>
      </c>
      <c r="D17">
        <v>-5</v>
      </c>
    </row>
    <row r="18" spans="1:4" x14ac:dyDescent="0.25">
      <c r="A18" t="s">
        <v>40</v>
      </c>
      <c r="B18" t="s">
        <v>827</v>
      </c>
      <c r="C18" t="s">
        <v>1505</v>
      </c>
      <c r="D18">
        <v>-2</v>
      </c>
    </row>
    <row r="19" spans="1:4" x14ac:dyDescent="0.25">
      <c r="A19" t="s">
        <v>40</v>
      </c>
      <c r="B19" t="s">
        <v>89</v>
      </c>
      <c r="C19" t="s">
        <v>1820</v>
      </c>
      <c r="D19">
        <v>0</v>
      </c>
    </row>
    <row r="20" spans="1:4" x14ac:dyDescent="0.25">
      <c r="A20" t="s">
        <v>40</v>
      </c>
      <c r="B20" t="s">
        <v>1086</v>
      </c>
      <c r="C20" t="s">
        <v>449</v>
      </c>
      <c r="D20">
        <v>2</v>
      </c>
    </row>
    <row r="21" spans="1:4" x14ac:dyDescent="0.25">
      <c r="A21" t="s">
        <v>40</v>
      </c>
      <c r="B21" t="s">
        <v>1776</v>
      </c>
      <c r="C21" t="s">
        <v>2480</v>
      </c>
      <c r="D21">
        <v>4</v>
      </c>
    </row>
    <row r="22" spans="1:4" x14ac:dyDescent="0.25">
      <c r="A22" t="s">
        <v>40</v>
      </c>
      <c r="B22" t="s">
        <v>370</v>
      </c>
      <c r="C22" t="s">
        <v>331</v>
      </c>
      <c r="D22">
        <v>3</v>
      </c>
    </row>
    <row r="23" spans="1:4" x14ac:dyDescent="0.25">
      <c r="A23" t="s">
        <v>40</v>
      </c>
      <c r="B23" t="s">
        <v>370</v>
      </c>
      <c r="C23" t="s">
        <v>1822</v>
      </c>
      <c r="D23">
        <v>2</v>
      </c>
    </row>
    <row r="24" spans="1:4" x14ac:dyDescent="0.25">
      <c r="A24" t="s">
        <v>40</v>
      </c>
      <c r="B24" t="s">
        <v>1016</v>
      </c>
      <c r="C24" t="s">
        <v>2265</v>
      </c>
      <c r="D24">
        <v>-1</v>
      </c>
    </row>
    <row r="25" spans="1:4" x14ac:dyDescent="0.25">
      <c r="A25" t="s">
        <v>40</v>
      </c>
      <c r="B25" t="s">
        <v>2120</v>
      </c>
      <c r="C25" t="s">
        <v>48</v>
      </c>
      <c r="D25">
        <v>-3</v>
      </c>
    </row>
    <row r="26" spans="1:4" x14ac:dyDescent="0.25">
      <c r="A26" t="s">
        <v>40</v>
      </c>
      <c r="B26" t="s">
        <v>472</v>
      </c>
      <c r="C26" t="s">
        <v>2780</v>
      </c>
      <c r="D26">
        <v>0</v>
      </c>
    </row>
    <row r="27" spans="1:4" x14ac:dyDescent="0.25">
      <c r="A27" t="s">
        <v>40</v>
      </c>
      <c r="B27" t="s">
        <v>292</v>
      </c>
      <c r="C27" t="s">
        <v>336</v>
      </c>
      <c r="D27">
        <v>2</v>
      </c>
    </row>
    <row r="28" spans="1:4" x14ac:dyDescent="0.25">
      <c r="A28" t="s">
        <v>40</v>
      </c>
      <c r="B28" t="s">
        <v>1019</v>
      </c>
      <c r="C28" t="s">
        <v>338</v>
      </c>
      <c r="D28">
        <v>4</v>
      </c>
    </row>
    <row r="29" spans="1:4" x14ac:dyDescent="0.25">
      <c r="A29" t="s">
        <v>40</v>
      </c>
      <c r="B29" t="s">
        <v>900</v>
      </c>
      <c r="C29" t="s">
        <v>1211</v>
      </c>
      <c r="D29">
        <v>6</v>
      </c>
    </row>
    <row r="30" spans="1:4" x14ac:dyDescent="0.25">
      <c r="A30" t="s">
        <v>40</v>
      </c>
      <c r="B30" t="s">
        <v>298</v>
      </c>
      <c r="C30" t="s">
        <v>720</v>
      </c>
      <c r="D30">
        <v>4</v>
      </c>
    </row>
    <row r="31" spans="1:4" x14ac:dyDescent="0.25">
      <c r="A31" t="s">
        <v>40</v>
      </c>
      <c r="B31" t="s">
        <v>902</v>
      </c>
      <c r="C31" t="s">
        <v>220</v>
      </c>
      <c r="D31">
        <v>6</v>
      </c>
    </row>
    <row r="32" spans="1:4" x14ac:dyDescent="0.25">
      <c r="A32" t="s">
        <v>80</v>
      </c>
      <c r="B32" t="s">
        <v>857</v>
      </c>
      <c r="C32" t="s">
        <v>1213</v>
      </c>
      <c r="D32">
        <v>3</v>
      </c>
    </row>
    <row r="33" spans="1:4" x14ac:dyDescent="0.25">
      <c r="A33" t="s">
        <v>80</v>
      </c>
      <c r="B33" t="s">
        <v>933</v>
      </c>
      <c r="C33" t="s">
        <v>2704</v>
      </c>
      <c r="D33">
        <v>6</v>
      </c>
    </row>
    <row r="34" spans="1:4" x14ac:dyDescent="0.25">
      <c r="A34" t="s">
        <v>80</v>
      </c>
      <c r="B34" t="s">
        <v>1691</v>
      </c>
      <c r="C34" t="s">
        <v>727</v>
      </c>
      <c r="D34">
        <v>4</v>
      </c>
    </row>
    <row r="35" spans="1:4" x14ac:dyDescent="0.25">
      <c r="A35" t="s">
        <v>80</v>
      </c>
      <c r="B35" t="s">
        <v>616</v>
      </c>
      <c r="C35" t="s">
        <v>940</v>
      </c>
      <c r="D35">
        <v>6</v>
      </c>
    </row>
    <row r="36" spans="1:4" x14ac:dyDescent="0.25">
      <c r="A36" t="s">
        <v>80</v>
      </c>
      <c r="B36" t="s">
        <v>1768</v>
      </c>
      <c r="C36" t="s">
        <v>2268</v>
      </c>
      <c r="D36">
        <v>5</v>
      </c>
    </row>
    <row r="37" spans="1:4" x14ac:dyDescent="0.25">
      <c r="A37" t="s">
        <v>80</v>
      </c>
      <c r="B37" t="s">
        <v>1771</v>
      </c>
      <c r="C37" t="s">
        <v>1216</v>
      </c>
      <c r="D37">
        <v>4</v>
      </c>
    </row>
    <row r="38" spans="1:4" x14ac:dyDescent="0.25">
      <c r="A38" t="s">
        <v>80</v>
      </c>
      <c r="B38" t="s">
        <v>1771</v>
      </c>
      <c r="C38" t="s">
        <v>1667</v>
      </c>
      <c r="D38">
        <v>3</v>
      </c>
    </row>
    <row r="39" spans="1:4" x14ac:dyDescent="0.25">
      <c r="A39" t="s">
        <v>80</v>
      </c>
      <c r="B39" t="s">
        <v>1958</v>
      </c>
      <c r="C39" t="s">
        <v>1668</v>
      </c>
      <c r="D39">
        <v>4</v>
      </c>
    </row>
    <row r="40" spans="1:4" x14ac:dyDescent="0.25">
      <c r="A40" t="s">
        <v>80</v>
      </c>
      <c r="B40" t="s">
        <v>1958</v>
      </c>
      <c r="C40" t="s">
        <v>1137</v>
      </c>
      <c r="D40">
        <v>5</v>
      </c>
    </row>
    <row r="41" spans="1:4" x14ac:dyDescent="0.25">
      <c r="A41" t="s">
        <v>80</v>
      </c>
      <c r="B41" t="s">
        <v>2510</v>
      </c>
      <c r="C41" t="s">
        <v>1670</v>
      </c>
      <c r="D41">
        <v>7</v>
      </c>
    </row>
    <row r="42" spans="1:4" x14ac:dyDescent="0.25">
      <c r="A42" t="s">
        <v>80</v>
      </c>
      <c r="B42" t="s">
        <v>408</v>
      </c>
      <c r="C42" t="s">
        <v>1140</v>
      </c>
      <c r="D42">
        <v>9</v>
      </c>
    </row>
    <row r="43" spans="1:4" x14ac:dyDescent="0.25">
      <c r="A43" t="s">
        <v>80</v>
      </c>
      <c r="B43" t="s">
        <v>188</v>
      </c>
      <c r="C43" t="s">
        <v>1942</v>
      </c>
      <c r="D43">
        <v>11</v>
      </c>
    </row>
    <row r="44" spans="1:4" x14ac:dyDescent="0.25">
      <c r="A44" t="s">
        <v>80</v>
      </c>
      <c r="B44" t="s">
        <v>284</v>
      </c>
      <c r="C44" t="s">
        <v>2783</v>
      </c>
      <c r="D44">
        <v>10</v>
      </c>
    </row>
    <row r="45" spans="1:4" x14ac:dyDescent="0.25">
      <c r="A45" t="s">
        <v>80</v>
      </c>
      <c r="B45" t="s">
        <v>807</v>
      </c>
      <c r="C45" t="s">
        <v>949</v>
      </c>
      <c r="D45">
        <v>11</v>
      </c>
    </row>
    <row r="46" spans="1:4" x14ac:dyDescent="0.25">
      <c r="A46" t="s">
        <v>80</v>
      </c>
      <c r="B46" t="s">
        <v>807</v>
      </c>
      <c r="C46" t="s">
        <v>3341</v>
      </c>
      <c r="D46">
        <v>12</v>
      </c>
    </row>
    <row r="47" spans="1:4" x14ac:dyDescent="0.25">
      <c r="A47" t="s">
        <v>80</v>
      </c>
      <c r="B47" t="s">
        <v>747</v>
      </c>
      <c r="C47" t="s">
        <v>950</v>
      </c>
      <c r="D47">
        <v>13</v>
      </c>
    </row>
    <row r="48" spans="1:4" x14ac:dyDescent="0.25">
      <c r="A48" t="s">
        <v>80</v>
      </c>
      <c r="B48" t="s">
        <v>766</v>
      </c>
      <c r="C48" t="s">
        <v>951</v>
      </c>
      <c r="D48">
        <v>14</v>
      </c>
    </row>
    <row r="49" spans="1:4" x14ac:dyDescent="0.25">
      <c r="A49" t="s">
        <v>80</v>
      </c>
      <c r="B49" t="s">
        <v>290</v>
      </c>
      <c r="C49" t="s">
        <v>952</v>
      </c>
      <c r="D49">
        <v>15</v>
      </c>
    </row>
    <row r="50" spans="1:4" x14ac:dyDescent="0.25">
      <c r="A50" t="s">
        <v>80</v>
      </c>
      <c r="B50" t="s">
        <v>788</v>
      </c>
      <c r="C50" t="s">
        <v>1945</v>
      </c>
      <c r="D50">
        <v>14</v>
      </c>
    </row>
    <row r="51" spans="1:4" x14ac:dyDescent="0.25">
      <c r="A51" t="s">
        <v>80</v>
      </c>
      <c r="B51" t="s">
        <v>788</v>
      </c>
      <c r="C51" t="s">
        <v>1455</v>
      </c>
      <c r="D51">
        <v>13</v>
      </c>
    </row>
    <row r="52" spans="1:4" x14ac:dyDescent="0.25">
      <c r="A52" t="s">
        <v>80</v>
      </c>
      <c r="B52" t="s">
        <v>1237</v>
      </c>
      <c r="C52" t="s">
        <v>3995</v>
      </c>
      <c r="D52">
        <v>14</v>
      </c>
    </row>
    <row r="53" spans="1:4" x14ac:dyDescent="0.25">
      <c r="A53" t="s">
        <v>80</v>
      </c>
      <c r="B53" t="s">
        <v>1237</v>
      </c>
      <c r="C53" t="s">
        <v>2819</v>
      </c>
      <c r="D53">
        <v>15</v>
      </c>
    </row>
    <row r="54" spans="1:4" x14ac:dyDescent="0.25">
      <c r="A54" t="s">
        <v>80</v>
      </c>
      <c r="B54" t="s">
        <v>74</v>
      </c>
      <c r="C54" t="s">
        <v>2820</v>
      </c>
      <c r="D54">
        <v>17</v>
      </c>
    </row>
    <row r="55" spans="1:4" x14ac:dyDescent="0.25">
      <c r="A55" t="s">
        <v>80</v>
      </c>
      <c r="B55" t="s">
        <v>1809</v>
      </c>
      <c r="C55" t="s">
        <v>3344</v>
      </c>
      <c r="D55">
        <v>15</v>
      </c>
    </row>
    <row r="56" spans="1:4" x14ac:dyDescent="0.25">
      <c r="A56" t="s">
        <v>123</v>
      </c>
      <c r="B56" t="s">
        <v>1787</v>
      </c>
      <c r="C56" t="s">
        <v>1152</v>
      </c>
      <c r="D56">
        <v>12</v>
      </c>
    </row>
    <row r="57" spans="1:4" x14ac:dyDescent="0.25">
      <c r="A57" t="s">
        <v>123</v>
      </c>
      <c r="B57" t="s">
        <v>1346</v>
      </c>
      <c r="C57" t="s">
        <v>3996</v>
      </c>
      <c r="D57">
        <v>14</v>
      </c>
    </row>
    <row r="58" spans="1:4" x14ac:dyDescent="0.25">
      <c r="A58" t="s">
        <v>123</v>
      </c>
      <c r="B58" t="s">
        <v>83</v>
      </c>
      <c r="C58" t="s">
        <v>2936</v>
      </c>
      <c r="D58">
        <v>12</v>
      </c>
    </row>
    <row r="59" spans="1:4" x14ac:dyDescent="0.25">
      <c r="A59" t="s">
        <v>123</v>
      </c>
      <c r="B59" t="s">
        <v>935</v>
      </c>
      <c r="C59" t="s">
        <v>1156</v>
      </c>
      <c r="D59">
        <v>10</v>
      </c>
    </row>
    <row r="60" spans="1:4" x14ac:dyDescent="0.25">
      <c r="A60" t="s">
        <v>123</v>
      </c>
      <c r="B60" t="s">
        <v>458</v>
      </c>
      <c r="C60" t="s">
        <v>2601</v>
      </c>
      <c r="D60">
        <v>9</v>
      </c>
    </row>
    <row r="61" spans="1:4" x14ac:dyDescent="0.25">
      <c r="A61" t="s">
        <v>123</v>
      </c>
      <c r="B61" t="s">
        <v>458</v>
      </c>
      <c r="C61" t="s">
        <v>2550</v>
      </c>
      <c r="D61">
        <v>8</v>
      </c>
    </row>
    <row r="62" spans="1:4" x14ac:dyDescent="0.25">
      <c r="A62" t="s">
        <v>123</v>
      </c>
      <c r="B62" t="s">
        <v>641</v>
      </c>
      <c r="C62" t="s">
        <v>1954</v>
      </c>
      <c r="D62">
        <v>11</v>
      </c>
    </row>
    <row r="63" spans="1:4" x14ac:dyDescent="0.25">
      <c r="A63" t="s">
        <v>123</v>
      </c>
      <c r="B63" t="s">
        <v>1248</v>
      </c>
      <c r="C63" t="s">
        <v>3997</v>
      </c>
      <c r="D63">
        <v>8</v>
      </c>
    </row>
    <row r="64" spans="1:4" x14ac:dyDescent="0.25">
      <c r="A64" t="s">
        <v>123</v>
      </c>
      <c r="B64" t="s">
        <v>1683</v>
      </c>
      <c r="C64" t="s">
        <v>1605</v>
      </c>
      <c r="D64">
        <v>5</v>
      </c>
    </row>
    <row r="65" spans="1:4" x14ac:dyDescent="0.25">
      <c r="A65" t="s">
        <v>123</v>
      </c>
      <c r="B65" t="s">
        <v>802</v>
      </c>
      <c r="C65" t="s">
        <v>1606</v>
      </c>
      <c r="D65">
        <v>7</v>
      </c>
    </row>
    <row r="66" spans="1:4" x14ac:dyDescent="0.25">
      <c r="A66" t="s">
        <v>123</v>
      </c>
      <c r="B66" t="s">
        <v>594</v>
      </c>
      <c r="C66" t="s">
        <v>1955</v>
      </c>
      <c r="D66">
        <v>9</v>
      </c>
    </row>
    <row r="67" spans="1:4" x14ac:dyDescent="0.25">
      <c r="A67" t="s">
        <v>123</v>
      </c>
      <c r="B67" t="s">
        <v>1475</v>
      </c>
      <c r="C67" t="s">
        <v>1956</v>
      </c>
      <c r="D67">
        <v>7</v>
      </c>
    </row>
    <row r="68" spans="1:4" x14ac:dyDescent="0.25">
      <c r="A68" t="s">
        <v>123</v>
      </c>
      <c r="B68" t="s">
        <v>874</v>
      </c>
      <c r="C68" t="s">
        <v>2278</v>
      </c>
      <c r="D68">
        <v>6</v>
      </c>
    </row>
    <row r="69" spans="1:4" x14ac:dyDescent="0.25">
      <c r="A69" t="s">
        <v>123</v>
      </c>
      <c r="B69" t="s">
        <v>874</v>
      </c>
      <c r="C69" t="s">
        <v>395</v>
      </c>
      <c r="D69">
        <v>5</v>
      </c>
    </row>
    <row r="70" spans="1:4" x14ac:dyDescent="0.25">
      <c r="A70" t="s">
        <v>123</v>
      </c>
      <c r="B70" t="s">
        <v>110</v>
      </c>
      <c r="C70" t="s">
        <v>397</v>
      </c>
      <c r="D70">
        <v>8</v>
      </c>
    </row>
    <row r="71" spans="1:4" x14ac:dyDescent="0.25">
      <c r="A71" t="s">
        <v>123</v>
      </c>
      <c r="B71" t="s">
        <v>112</v>
      </c>
      <c r="C71" t="s">
        <v>1611</v>
      </c>
      <c r="D71">
        <v>7</v>
      </c>
    </row>
    <row r="72" spans="1:4" x14ac:dyDescent="0.25">
      <c r="A72" t="s">
        <v>123</v>
      </c>
      <c r="B72" t="s">
        <v>144</v>
      </c>
      <c r="C72" t="s">
        <v>1612</v>
      </c>
      <c r="D72">
        <v>9</v>
      </c>
    </row>
    <row r="73" spans="1:4" x14ac:dyDescent="0.25">
      <c r="A73" t="s">
        <v>123</v>
      </c>
      <c r="B73" t="s">
        <v>1312</v>
      </c>
      <c r="C73" t="s">
        <v>401</v>
      </c>
      <c r="D73">
        <v>8</v>
      </c>
    </row>
    <row r="74" spans="1:4" x14ac:dyDescent="0.25">
      <c r="A74" t="s">
        <v>123</v>
      </c>
      <c r="B74" t="s">
        <v>1312</v>
      </c>
      <c r="C74" t="s">
        <v>1614</v>
      </c>
      <c r="D74">
        <v>7</v>
      </c>
    </row>
    <row r="75" spans="1:4" x14ac:dyDescent="0.25">
      <c r="A75" t="s">
        <v>123</v>
      </c>
      <c r="B75" t="s">
        <v>1640</v>
      </c>
      <c r="C75" t="s">
        <v>761</v>
      </c>
      <c r="D75">
        <v>5</v>
      </c>
    </row>
    <row r="76" spans="1:4" x14ac:dyDescent="0.25">
      <c r="A76" t="s">
        <v>123</v>
      </c>
      <c r="B76" t="s">
        <v>29</v>
      </c>
      <c r="C76" t="s">
        <v>404</v>
      </c>
      <c r="D76">
        <v>7</v>
      </c>
    </row>
    <row r="77" spans="1:4" x14ac:dyDescent="0.25">
      <c r="A77" t="s">
        <v>123</v>
      </c>
      <c r="B77" t="s">
        <v>815</v>
      </c>
      <c r="C77" t="s">
        <v>2731</v>
      </c>
      <c r="D77">
        <v>6</v>
      </c>
    </row>
    <row r="78" spans="1:4" x14ac:dyDescent="0.25">
      <c r="A78" t="s">
        <v>123</v>
      </c>
      <c r="B78" t="s">
        <v>815</v>
      </c>
      <c r="C78" t="s">
        <v>2556</v>
      </c>
      <c r="D78">
        <v>5</v>
      </c>
    </row>
    <row r="79" spans="1:4" x14ac:dyDescent="0.25">
      <c r="A79" t="s">
        <v>123</v>
      </c>
      <c r="B79" t="s">
        <v>294</v>
      </c>
      <c r="C79" t="s">
        <v>2605</v>
      </c>
      <c r="D79">
        <v>3</v>
      </c>
    </row>
    <row r="80" spans="1:4" x14ac:dyDescent="0.25">
      <c r="A80" t="s">
        <v>123</v>
      </c>
      <c r="B80" t="s">
        <v>294</v>
      </c>
      <c r="C80" t="s">
        <v>656</v>
      </c>
      <c r="D80">
        <v>2</v>
      </c>
    </row>
    <row r="81" spans="1:4" x14ac:dyDescent="0.25">
      <c r="A81" t="s">
        <v>123</v>
      </c>
      <c r="B81" t="s">
        <v>1115</v>
      </c>
      <c r="C81" t="s">
        <v>2707</v>
      </c>
      <c r="D81">
        <v>3</v>
      </c>
    </row>
    <row r="82" spans="1:4" x14ac:dyDescent="0.25">
      <c r="A82" t="s">
        <v>123</v>
      </c>
      <c r="B82" t="s">
        <v>74</v>
      </c>
      <c r="C82" t="s">
        <v>659</v>
      </c>
      <c r="D82">
        <v>0</v>
      </c>
    </row>
    <row r="83" spans="1:4" x14ac:dyDescent="0.25">
      <c r="A83" t="s">
        <v>4</v>
      </c>
      <c r="B83" t="s">
        <v>1695</v>
      </c>
      <c r="C83" t="s">
        <v>1963</v>
      </c>
      <c r="D83">
        <v>2</v>
      </c>
    </row>
    <row r="84" spans="1:4" x14ac:dyDescent="0.25">
      <c r="A84" t="s">
        <v>4</v>
      </c>
      <c r="B84" t="s">
        <v>67</v>
      </c>
      <c r="C84" t="s">
        <v>1964</v>
      </c>
      <c r="D84">
        <v>1</v>
      </c>
    </row>
    <row r="85" spans="1:4" x14ac:dyDescent="0.25">
      <c r="A85" t="s">
        <v>4</v>
      </c>
      <c r="B85" t="s">
        <v>67</v>
      </c>
      <c r="C85" t="s">
        <v>664</v>
      </c>
      <c r="D85">
        <v>0</v>
      </c>
    </row>
    <row r="86" spans="1:4" x14ac:dyDescent="0.25">
      <c r="A86" t="s">
        <v>4</v>
      </c>
      <c r="B86" t="s">
        <v>473</v>
      </c>
      <c r="C86" t="s">
        <v>665</v>
      </c>
      <c r="D86">
        <v>1</v>
      </c>
    </row>
    <row r="87" spans="1:4" x14ac:dyDescent="0.25">
      <c r="A87" t="s">
        <v>4</v>
      </c>
      <c r="B87" t="s">
        <v>1640</v>
      </c>
      <c r="C87" t="s">
        <v>2245</v>
      </c>
      <c r="D87">
        <v>0</v>
      </c>
    </row>
    <row r="88" spans="1:4" x14ac:dyDescent="0.25">
      <c r="A88" t="s">
        <v>4</v>
      </c>
      <c r="B88" t="s">
        <v>1640</v>
      </c>
      <c r="C88" t="s">
        <v>526</v>
      </c>
      <c r="D88">
        <v>-1</v>
      </c>
    </row>
    <row r="89" spans="1:4" x14ac:dyDescent="0.25">
      <c r="A89" t="s">
        <v>4</v>
      </c>
      <c r="B89" t="s">
        <v>896</v>
      </c>
      <c r="C89" t="s">
        <v>3998</v>
      </c>
      <c r="D89">
        <v>1</v>
      </c>
    </row>
    <row r="90" spans="1:4" x14ac:dyDescent="0.25">
      <c r="A90" t="s">
        <v>4</v>
      </c>
      <c r="B90" t="s">
        <v>815</v>
      </c>
      <c r="C90" t="s">
        <v>3579</v>
      </c>
      <c r="D90">
        <v>-1</v>
      </c>
    </row>
    <row r="91" spans="1:4" x14ac:dyDescent="0.25">
      <c r="A91" t="s">
        <v>4</v>
      </c>
      <c r="B91" t="s">
        <v>1675</v>
      </c>
      <c r="C91" t="s">
        <v>530</v>
      </c>
      <c r="D91">
        <v>-2</v>
      </c>
    </row>
    <row r="92" spans="1:4" x14ac:dyDescent="0.25">
      <c r="A92" t="s">
        <v>4</v>
      </c>
      <c r="B92" t="s">
        <v>1675</v>
      </c>
      <c r="C92" t="s">
        <v>860</v>
      </c>
      <c r="D92">
        <v>-3</v>
      </c>
    </row>
    <row r="93" spans="1:4" x14ac:dyDescent="0.25">
      <c r="A93" t="s">
        <v>4</v>
      </c>
      <c r="B93" t="s">
        <v>531</v>
      </c>
      <c r="C93" t="s">
        <v>535</v>
      </c>
      <c r="D93">
        <v>-1</v>
      </c>
    </row>
    <row r="94" spans="1:4" x14ac:dyDescent="0.25">
      <c r="A94" t="s">
        <v>4</v>
      </c>
      <c r="B94" t="s">
        <v>233</v>
      </c>
      <c r="C94" t="s">
        <v>536</v>
      </c>
      <c r="D94">
        <v>-3</v>
      </c>
    </row>
    <row r="95" spans="1:4" x14ac:dyDescent="0.25">
      <c r="A95" t="s">
        <v>4</v>
      </c>
      <c r="B95" t="s">
        <v>1180</v>
      </c>
      <c r="C95" t="s">
        <v>3581</v>
      </c>
      <c r="D95">
        <v>-2</v>
      </c>
    </row>
    <row r="96" spans="1:4" x14ac:dyDescent="0.25">
      <c r="A96" t="s">
        <v>4</v>
      </c>
      <c r="B96" t="s">
        <v>38</v>
      </c>
      <c r="C96" t="s">
        <v>540</v>
      </c>
      <c r="D96">
        <v>1</v>
      </c>
    </row>
    <row r="98" spans="1:4" x14ac:dyDescent="0.25">
      <c r="A98" s="2" t="s">
        <v>157</v>
      </c>
    </row>
    <row r="99" spans="1:4" x14ac:dyDescent="0.25">
      <c r="A99" t="s">
        <v>158</v>
      </c>
      <c r="D99">
        <f>AVERAGE(D2:D96)</f>
        <v>4.4842105263157892</v>
      </c>
    </row>
    <row r="100" spans="1:4" x14ac:dyDescent="0.25">
      <c r="A100" t="s">
        <v>159</v>
      </c>
      <c r="D100">
        <f>MAX(D2:D96)</f>
        <v>17</v>
      </c>
    </row>
    <row r="101" spans="1:4" x14ac:dyDescent="0.25">
      <c r="A101" t="s">
        <v>160</v>
      </c>
      <c r="D101">
        <f>MIN(D2:D96)</f>
        <v>-6</v>
      </c>
    </row>
    <row r="102" spans="1:4" x14ac:dyDescent="0.25">
      <c r="A102" t="s">
        <v>161</v>
      </c>
      <c r="D102">
        <f>COUNTIF(D2:D96,"&gt;0")</f>
        <v>71</v>
      </c>
    </row>
    <row r="103" spans="1:4" x14ac:dyDescent="0.25">
      <c r="A103" t="s">
        <v>162</v>
      </c>
      <c r="D103">
        <f>COUNTIF(D2:D96,"=0")</f>
        <v>5</v>
      </c>
    </row>
    <row r="104" spans="1:4" x14ac:dyDescent="0.25">
      <c r="A104" t="s">
        <v>1689</v>
      </c>
      <c r="D104">
        <f>COUNTIF(D2:D96,"&lt;0")</f>
        <v>19</v>
      </c>
    </row>
    <row r="106" spans="1:4" x14ac:dyDescent="0.25">
      <c r="A106" s="2" t="s">
        <v>164</v>
      </c>
    </row>
    <row r="107" spans="1:4" x14ac:dyDescent="0.25">
      <c r="A107" t="s">
        <v>165</v>
      </c>
      <c r="D107">
        <f>AVERAGE(D2,D3,D4,D5,D6,D7,D8,D9,D10,D11,D12,D13,D83,D84,D85,D86,D87,D88,D89,D90,D91,D92,D93,D94,D95,D96)</f>
        <v>-0.11538461538461539</v>
      </c>
    </row>
    <row r="108" spans="1:4" x14ac:dyDescent="0.25">
      <c r="A108" t="s">
        <v>166</v>
      </c>
      <c r="D108">
        <f>AVERAGE(D14,D15,D16,D17,D18,D19,D20,D21,D22,D23,D24,D25,D26,D27,D28,D29,D30,D31)</f>
        <v>0.33333333333333331</v>
      </c>
    </row>
    <row r="109" spans="1:4" x14ac:dyDescent="0.25">
      <c r="A109" t="s">
        <v>167</v>
      </c>
      <c r="D109">
        <f>AVERAGE(D32,D33,D34,D35,D36,D37,D38,D39,D40,D41,D42,D43,D44,D45,D46,D47,D48,D49,D50,D51,D52,D53,D54,D55)</f>
        <v>9.5833333333333339</v>
      </c>
    </row>
    <row r="110" spans="1:4" x14ac:dyDescent="0.25">
      <c r="A110" t="s">
        <v>168</v>
      </c>
      <c r="D110">
        <f>AVERAGE(D56,D57,D58,D59,D60,D61,D62,D63,D64,D65,D66,D67,D68,D69,D70,D71,D72,D73,D74,D75,D76,D77,D78,D79,D80,D81,D82)</f>
        <v>7.1481481481481479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3999</v>
      </c>
    </row>
    <row r="2" spans="1:4" x14ac:dyDescent="0.25">
      <c r="A2" t="s">
        <v>4</v>
      </c>
      <c r="B2" t="s">
        <v>777</v>
      </c>
      <c r="C2" t="s">
        <v>908</v>
      </c>
      <c r="D2">
        <v>-2</v>
      </c>
    </row>
    <row r="3" spans="1:4" x14ac:dyDescent="0.25">
      <c r="A3" t="s">
        <v>4</v>
      </c>
      <c r="B3" t="s">
        <v>778</v>
      </c>
      <c r="C3" t="s">
        <v>1188</v>
      </c>
      <c r="D3">
        <v>-1</v>
      </c>
    </row>
    <row r="4" spans="1:4" x14ac:dyDescent="0.25">
      <c r="A4" t="s">
        <v>4</v>
      </c>
      <c r="B4" t="s">
        <v>778</v>
      </c>
      <c r="C4" t="s">
        <v>8</v>
      </c>
      <c r="D4">
        <v>0</v>
      </c>
    </row>
    <row r="5" spans="1:4" x14ac:dyDescent="0.25">
      <c r="A5" t="s">
        <v>4</v>
      </c>
      <c r="B5" t="s">
        <v>359</v>
      </c>
      <c r="C5" t="s">
        <v>10</v>
      </c>
      <c r="D5">
        <v>-2</v>
      </c>
    </row>
    <row r="6" spans="1:4" x14ac:dyDescent="0.25">
      <c r="A6" t="s">
        <v>4</v>
      </c>
      <c r="B6" t="s">
        <v>759</v>
      </c>
      <c r="C6" t="s">
        <v>1106</v>
      </c>
      <c r="D6">
        <v>1</v>
      </c>
    </row>
    <row r="7" spans="1:4" x14ac:dyDescent="0.25">
      <c r="A7" t="s">
        <v>4</v>
      </c>
      <c r="B7" t="s">
        <v>937</v>
      </c>
      <c r="C7" t="s">
        <v>1107</v>
      </c>
      <c r="D7">
        <v>-1</v>
      </c>
    </row>
    <row r="8" spans="1:4" x14ac:dyDescent="0.25">
      <c r="A8" t="s">
        <v>4</v>
      </c>
      <c r="B8" t="s">
        <v>497</v>
      </c>
      <c r="C8" t="s">
        <v>1109</v>
      </c>
      <c r="D8">
        <v>-3</v>
      </c>
    </row>
    <row r="9" spans="1:4" x14ac:dyDescent="0.25">
      <c r="A9" t="s">
        <v>4</v>
      </c>
      <c r="B9" t="s">
        <v>135</v>
      </c>
      <c r="C9" t="s">
        <v>1635</v>
      </c>
      <c r="D9">
        <v>-5</v>
      </c>
    </row>
    <row r="10" spans="1:4" x14ac:dyDescent="0.25">
      <c r="A10" t="s">
        <v>4</v>
      </c>
      <c r="B10" t="s">
        <v>408</v>
      </c>
      <c r="C10" t="s">
        <v>3696</v>
      </c>
      <c r="D10">
        <v>-6</v>
      </c>
    </row>
    <row r="11" spans="1:4" x14ac:dyDescent="0.25">
      <c r="A11" t="s">
        <v>4</v>
      </c>
      <c r="B11" t="s">
        <v>408</v>
      </c>
      <c r="C11" t="s">
        <v>4000</v>
      </c>
      <c r="D11">
        <v>-7</v>
      </c>
    </row>
    <row r="12" spans="1:4" x14ac:dyDescent="0.25">
      <c r="A12" t="s">
        <v>4</v>
      </c>
      <c r="B12" t="s">
        <v>1817</v>
      </c>
      <c r="C12" t="s">
        <v>1499</v>
      </c>
      <c r="D12">
        <v>-5</v>
      </c>
    </row>
    <row r="13" spans="1:4" x14ac:dyDescent="0.25">
      <c r="A13" t="s">
        <v>4</v>
      </c>
      <c r="B13" t="s">
        <v>1434</v>
      </c>
      <c r="C13" t="s">
        <v>4001</v>
      </c>
      <c r="D13">
        <v>-7</v>
      </c>
    </row>
    <row r="14" spans="1:4" x14ac:dyDescent="0.25">
      <c r="A14" t="s">
        <v>4</v>
      </c>
      <c r="B14" t="s">
        <v>762</v>
      </c>
      <c r="C14" t="s">
        <v>2325</v>
      </c>
      <c r="D14">
        <v>-5</v>
      </c>
    </row>
    <row r="15" spans="1:4" x14ac:dyDescent="0.25">
      <c r="A15" t="s">
        <v>4</v>
      </c>
      <c r="B15" t="s">
        <v>315</v>
      </c>
      <c r="C15" t="s">
        <v>2812</v>
      </c>
      <c r="D15">
        <v>-7</v>
      </c>
    </row>
    <row r="16" spans="1:4" x14ac:dyDescent="0.25">
      <c r="A16" t="s">
        <v>4</v>
      </c>
      <c r="B16" t="s">
        <v>469</v>
      </c>
      <c r="C16" t="s">
        <v>2607</v>
      </c>
      <c r="D16">
        <v>-6</v>
      </c>
    </row>
    <row r="17" spans="1:4" x14ac:dyDescent="0.25">
      <c r="A17" t="s">
        <v>4</v>
      </c>
      <c r="B17" t="s">
        <v>607</v>
      </c>
      <c r="C17" t="s">
        <v>1702</v>
      </c>
      <c r="D17">
        <v>-8</v>
      </c>
    </row>
    <row r="18" spans="1:4" x14ac:dyDescent="0.25">
      <c r="A18" t="s">
        <v>4</v>
      </c>
      <c r="B18" t="s">
        <v>196</v>
      </c>
      <c r="C18" t="s">
        <v>3554</v>
      </c>
      <c r="D18">
        <v>-6</v>
      </c>
    </row>
    <row r="19" spans="1:4" x14ac:dyDescent="0.25">
      <c r="A19" t="s">
        <v>4</v>
      </c>
      <c r="B19" t="s">
        <v>386</v>
      </c>
      <c r="C19" t="s">
        <v>1703</v>
      </c>
      <c r="D19">
        <v>-7</v>
      </c>
    </row>
    <row r="20" spans="1:4" x14ac:dyDescent="0.25">
      <c r="A20" t="s">
        <v>4</v>
      </c>
      <c r="B20" t="s">
        <v>581</v>
      </c>
      <c r="C20" t="s">
        <v>1705</v>
      </c>
      <c r="D20">
        <v>-6</v>
      </c>
    </row>
    <row r="21" spans="1:4" x14ac:dyDescent="0.25">
      <c r="A21" t="s">
        <v>4</v>
      </c>
      <c r="B21" t="s">
        <v>581</v>
      </c>
      <c r="C21" t="s">
        <v>1706</v>
      </c>
      <c r="D21">
        <v>-5</v>
      </c>
    </row>
    <row r="22" spans="1:4" x14ac:dyDescent="0.25">
      <c r="A22" t="s">
        <v>4</v>
      </c>
      <c r="B22" t="s">
        <v>675</v>
      </c>
      <c r="C22" t="s">
        <v>1707</v>
      </c>
      <c r="D22">
        <v>-8</v>
      </c>
    </row>
    <row r="23" spans="1:4" x14ac:dyDescent="0.25">
      <c r="A23" t="s">
        <v>4</v>
      </c>
      <c r="B23" t="s">
        <v>78</v>
      </c>
      <c r="C23" t="s">
        <v>1708</v>
      </c>
      <c r="D23">
        <v>-6</v>
      </c>
    </row>
    <row r="24" spans="1:4" x14ac:dyDescent="0.25">
      <c r="A24" t="s">
        <v>40</v>
      </c>
      <c r="B24" t="s">
        <v>1430</v>
      </c>
      <c r="C24" t="s">
        <v>2403</v>
      </c>
      <c r="D24">
        <v>-8</v>
      </c>
    </row>
    <row r="25" spans="1:4" x14ac:dyDescent="0.25">
      <c r="A25" t="s">
        <v>40</v>
      </c>
      <c r="B25" t="s">
        <v>329</v>
      </c>
      <c r="C25" t="s">
        <v>2404</v>
      </c>
      <c r="D25">
        <v>-6</v>
      </c>
    </row>
    <row r="26" spans="1:4" x14ac:dyDescent="0.25">
      <c r="A26" t="s">
        <v>40</v>
      </c>
      <c r="B26" t="s">
        <v>2152</v>
      </c>
      <c r="C26" t="s">
        <v>48</v>
      </c>
      <c r="D26">
        <v>-3</v>
      </c>
    </row>
    <row r="27" spans="1:4" x14ac:dyDescent="0.25">
      <c r="A27" t="s">
        <v>40</v>
      </c>
      <c r="B27" t="s">
        <v>1411</v>
      </c>
      <c r="C27" t="s">
        <v>2702</v>
      </c>
      <c r="D27">
        <v>-1</v>
      </c>
    </row>
    <row r="28" spans="1:4" x14ac:dyDescent="0.25">
      <c r="A28" t="s">
        <v>40</v>
      </c>
      <c r="B28" t="s">
        <v>460</v>
      </c>
      <c r="C28" t="s">
        <v>2703</v>
      </c>
      <c r="D28">
        <v>1</v>
      </c>
    </row>
    <row r="29" spans="1:4" x14ac:dyDescent="0.25">
      <c r="A29" t="s">
        <v>40</v>
      </c>
      <c r="B29" t="s">
        <v>254</v>
      </c>
      <c r="C29" t="s">
        <v>929</v>
      </c>
      <c r="D29">
        <v>3</v>
      </c>
    </row>
    <row r="30" spans="1:4" x14ac:dyDescent="0.25">
      <c r="A30" t="s">
        <v>40</v>
      </c>
      <c r="B30" t="s">
        <v>254</v>
      </c>
      <c r="C30" t="s">
        <v>338</v>
      </c>
      <c r="D30">
        <v>4</v>
      </c>
    </row>
    <row r="31" spans="1:4" x14ac:dyDescent="0.25">
      <c r="A31" t="s">
        <v>40</v>
      </c>
      <c r="B31" t="s">
        <v>1033</v>
      </c>
      <c r="C31" t="s">
        <v>340</v>
      </c>
      <c r="D31">
        <v>3</v>
      </c>
    </row>
    <row r="32" spans="1:4" x14ac:dyDescent="0.25">
      <c r="A32" t="s">
        <v>40</v>
      </c>
      <c r="B32" t="s">
        <v>1033</v>
      </c>
      <c r="C32" t="s">
        <v>1753</v>
      </c>
      <c r="D32">
        <v>2</v>
      </c>
    </row>
    <row r="33" spans="1:4" x14ac:dyDescent="0.25">
      <c r="A33" t="s">
        <v>40</v>
      </c>
      <c r="B33" t="s">
        <v>408</v>
      </c>
      <c r="C33" t="s">
        <v>342</v>
      </c>
      <c r="D33">
        <v>0</v>
      </c>
    </row>
    <row r="34" spans="1:4" x14ac:dyDescent="0.25">
      <c r="A34" t="s">
        <v>40</v>
      </c>
      <c r="B34" t="s">
        <v>19</v>
      </c>
      <c r="C34" t="s">
        <v>61</v>
      </c>
      <c r="D34">
        <v>-3</v>
      </c>
    </row>
    <row r="35" spans="1:4" x14ac:dyDescent="0.25">
      <c r="A35" t="s">
        <v>40</v>
      </c>
      <c r="B35" t="s">
        <v>961</v>
      </c>
      <c r="C35" t="s">
        <v>345</v>
      </c>
      <c r="D35">
        <v>0</v>
      </c>
    </row>
    <row r="36" spans="1:4" x14ac:dyDescent="0.25">
      <c r="A36" t="s">
        <v>40</v>
      </c>
      <c r="B36" t="s">
        <v>442</v>
      </c>
      <c r="C36" t="s">
        <v>347</v>
      </c>
      <c r="D36">
        <v>2</v>
      </c>
    </row>
    <row r="37" spans="1:4" x14ac:dyDescent="0.25">
      <c r="A37" t="s">
        <v>40</v>
      </c>
      <c r="B37" t="s">
        <v>1127</v>
      </c>
      <c r="C37" t="s">
        <v>1133</v>
      </c>
      <c r="D37">
        <v>1</v>
      </c>
    </row>
    <row r="38" spans="1:4" x14ac:dyDescent="0.25">
      <c r="A38" t="s">
        <v>40</v>
      </c>
      <c r="B38" t="s">
        <v>1127</v>
      </c>
      <c r="C38" t="s">
        <v>4002</v>
      </c>
      <c r="D38">
        <v>0</v>
      </c>
    </row>
    <row r="39" spans="1:4" x14ac:dyDescent="0.25">
      <c r="A39" t="s">
        <v>40</v>
      </c>
      <c r="B39" t="s">
        <v>503</v>
      </c>
      <c r="C39" t="s">
        <v>353</v>
      </c>
      <c r="D39">
        <v>3</v>
      </c>
    </row>
    <row r="40" spans="1:4" x14ac:dyDescent="0.25">
      <c r="A40" t="s">
        <v>40</v>
      </c>
      <c r="B40" t="s">
        <v>1112</v>
      </c>
      <c r="C40" t="s">
        <v>3682</v>
      </c>
      <c r="D40">
        <v>5</v>
      </c>
    </row>
    <row r="41" spans="1:4" x14ac:dyDescent="0.25">
      <c r="A41" t="s">
        <v>40</v>
      </c>
      <c r="B41" t="s">
        <v>612</v>
      </c>
      <c r="C41" t="s">
        <v>1590</v>
      </c>
      <c r="D41">
        <v>7</v>
      </c>
    </row>
    <row r="42" spans="1:4" x14ac:dyDescent="0.25">
      <c r="A42" t="s">
        <v>40</v>
      </c>
      <c r="B42" t="s">
        <v>202</v>
      </c>
      <c r="C42" t="s">
        <v>945</v>
      </c>
      <c r="D42">
        <v>8</v>
      </c>
    </row>
    <row r="43" spans="1:4" x14ac:dyDescent="0.25">
      <c r="A43" t="s">
        <v>40</v>
      </c>
      <c r="B43" t="s">
        <v>772</v>
      </c>
      <c r="C43" t="s">
        <v>4003</v>
      </c>
      <c r="D43">
        <v>11</v>
      </c>
    </row>
    <row r="44" spans="1:4" x14ac:dyDescent="0.25">
      <c r="A44" t="s">
        <v>40</v>
      </c>
      <c r="B44" t="s">
        <v>584</v>
      </c>
      <c r="C44" t="s">
        <v>1142</v>
      </c>
      <c r="D44">
        <v>8</v>
      </c>
    </row>
    <row r="45" spans="1:4" x14ac:dyDescent="0.25">
      <c r="A45" t="s">
        <v>80</v>
      </c>
      <c r="B45" t="s">
        <v>325</v>
      </c>
      <c r="C45" t="s">
        <v>1944</v>
      </c>
      <c r="D45">
        <v>11</v>
      </c>
    </row>
    <row r="46" spans="1:4" x14ac:dyDescent="0.25">
      <c r="A46" t="s">
        <v>80</v>
      </c>
      <c r="B46" t="s">
        <v>83</v>
      </c>
      <c r="C46" t="s">
        <v>1145</v>
      </c>
      <c r="D46">
        <v>9</v>
      </c>
    </row>
    <row r="47" spans="1:4" x14ac:dyDescent="0.25">
      <c r="A47" t="s">
        <v>80</v>
      </c>
      <c r="B47" t="s">
        <v>49</v>
      </c>
      <c r="C47" t="s">
        <v>1147</v>
      </c>
      <c r="D47">
        <v>7</v>
      </c>
    </row>
    <row r="48" spans="1:4" x14ac:dyDescent="0.25">
      <c r="A48" t="s">
        <v>80</v>
      </c>
      <c r="B48" t="s">
        <v>51</v>
      </c>
      <c r="C48" t="s">
        <v>1148</v>
      </c>
      <c r="D48">
        <v>9</v>
      </c>
    </row>
    <row r="49" spans="1:4" x14ac:dyDescent="0.25">
      <c r="A49" t="s">
        <v>80</v>
      </c>
      <c r="B49" t="s">
        <v>724</v>
      </c>
      <c r="C49" t="s">
        <v>1149</v>
      </c>
      <c r="D49">
        <v>11</v>
      </c>
    </row>
    <row r="50" spans="1:4" x14ac:dyDescent="0.25">
      <c r="A50" t="s">
        <v>80</v>
      </c>
      <c r="B50" t="s">
        <v>213</v>
      </c>
      <c r="C50" t="s">
        <v>1150</v>
      </c>
      <c r="D50">
        <v>14</v>
      </c>
    </row>
    <row r="51" spans="1:4" x14ac:dyDescent="0.25">
      <c r="A51" t="s">
        <v>80</v>
      </c>
      <c r="B51" t="s">
        <v>1816</v>
      </c>
      <c r="C51" t="s">
        <v>1950</v>
      </c>
      <c r="D51">
        <v>16</v>
      </c>
    </row>
    <row r="52" spans="1:4" x14ac:dyDescent="0.25">
      <c r="A52" t="s">
        <v>80</v>
      </c>
      <c r="B52" t="s">
        <v>1775</v>
      </c>
      <c r="C52" t="s">
        <v>3996</v>
      </c>
      <c r="D52">
        <v>14</v>
      </c>
    </row>
    <row r="53" spans="1:4" x14ac:dyDescent="0.25">
      <c r="A53" t="s">
        <v>80</v>
      </c>
      <c r="B53" t="s">
        <v>370</v>
      </c>
      <c r="C53" t="s">
        <v>3131</v>
      </c>
      <c r="D53">
        <v>16</v>
      </c>
    </row>
    <row r="54" spans="1:4" x14ac:dyDescent="0.25">
      <c r="A54" t="s">
        <v>80</v>
      </c>
      <c r="B54" t="s">
        <v>1090</v>
      </c>
      <c r="C54" t="s">
        <v>3132</v>
      </c>
      <c r="D54">
        <v>19</v>
      </c>
    </row>
    <row r="55" spans="1:4" x14ac:dyDescent="0.25">
      <c r="A55" t="s">
        <v>80</v>
      </c>
      <c r="B55" t="s">
        <v>729</v>
      </c>
      <c r="C55" t="s">
        <v>3686</v>
      </c>
      <c r="D55">
        <v>16</v>
      </c>
    </row>
    <row r="56" spans="1:4" x14ac:dyDescent="0.25">
      <c r="A56" t="s">
        <v>80</v>
      </c>
      <c r="B56" t="s">
        <v>1700</v>
      </c>
      <c r="C56" t="s">
        <v>3687</v>
      </c>
      <c r="D56">
        <v>18</v>
      </c>
    </row>
    <row r="57" spans="1:4" x14ac:dyDescent="0.25">
      <c r="A57" t="s">
        <v>80</v>
      </c>
      <c r="B57" t="s">
        <v>1638</v>
      </c>
      <c r="C57" t="s">
        <v>2369</v>
      </c>
      <c r="D57">
        <v>17</v>
      </c>
    </row>
    <row r="58" spans="1:4" x14ac:dyDescent="0.25">
      <c r="A58" t="s">
        <v>80</v>
      </c>
      <c r="B58" t="s">
        <v>1638</v>
      </c>
      <c r="C58" t="s">
        <v>3134</v>
      </c>
      <c r="D58">
        <v>16</v>
      </c>
    </row>
    <row r="59" spans="1:4" x14ac:dyDescent="0.25">
      <c r="A59" t="s">
        <v>80</v>
      </c>
      <c r="B59" t="s">
        <v>813</v>
      </c>
      <c r="C59" t="s">
        <v>4004</v>
      </c>
      <c r="D59">
        <v>14</v>
      </c>
    </row>
    <row r="60" spans="1:4" x14ac:dyDescent="0.25">
      <c r="A60" t="s">
        <v>80</v>
      </c>
      <c r="B60" t="s">
        <v>1045</v>
      </c>
      <c r="C60" t="s">
        <v>3347</v>
      </c>
      <c r="D60">
        <v>16</v>
      </c>
    </row>
    <row r="61" spans="1:4" x14ac:dyDescent="0.25">
      <c r="A61" t="s">
        <v>80</v>
      </c>
      <c r="B61" t="s">
        <v>710</v>
      </c>
      <c r="C61" t="s">
        <v>2938</v>
      </c>
      <c r="D61">
        <v>14</v>
      </c>
    </row>
    <row r="62" spans="1:4" x14ac:dyDescent="0.25">
      <c r="A62" t="s">
        <v>80</v>
      </c>
      <c r="B62" t="s">
        <v>999</v>
      </c>
      <c r="C62" t="s">
        <v>3381</v>
      </c>
      <c r="D62">
        <v>16</v>
      </c>
    </row>
    <row r="63" spans="1:4" x14ac:dyDescent="0.25">
      <c r="A63" t="s">
        <v>80</v>
      </c>
      <c r="B63" t="s">
        <v>2042</v>
      </c>
      <c r="C63" t="s">
        <v>3182</v>
      </c>
      <c r="D63">
        <v>18</v>
      </c>
    </row>
    <row r="64" spans="1:4" x14ac:dyDescent="0.25">
      <c r="A64" t="s">
        <v>80</v>
      </c>
      <c r="B64" t="s">
        <v>1646</v>
      </c>
      <c r="C64" t="s">
        <v>2941</v>
      </c>
      <c r="D64">
        <v>16</v>
      </c>
    </row>
    <row r="65" spans="1:4" x14ac:dyDescent="0.25">
      <c r="A65" t="s">
        <v>123</v>
      </c>
      <c r="B65" t="s">
        <v>1543</v>
      </c>
      <c r="C65" t="s">
        <v>4005</v>
      </c>
      <c r="D65">
        <v>15</v>
      </c>
    </row>
    <row r="66" spans="1:4" x14ac:dyDescent="0.25">
      <c r="A66" t="s">
        <v>123</v>
      </c>
      <c r="B66" t="s">
        <v>1543</v>
      </c>
      <c r="C66" t="s">
        <v>3941</v>
      </c>
      <c r="D66">
        <v>14</v>
      </c>
    </row>
    <row r="67" spans="1:4" x14ac:dyDescent="0.25">
      <c r="A67" t="s">
        <v>123</v>
      </c>
      <c r="B67" t="s">
        <v>1117</v>
      </c>
      <c r="C67" t="s">
        <v>2943</v>
      </c>
      <c r="D67">
        <v>16</v>
      </c>
    </row>
    <row r="68" spans="1:4" x14ac:dyDescent="0.25">
      <c r="A68" t="s">
        <v>123</v>
      </c>
      <c r="B68" t="s">
        <v>332</v>
      </c>
      <c r="C68" t="s">
        <v>2945</v>
      </c>
      <c r="D68">
        <v>18</v>
      </c>
    </row>
    <row r="69" spans="1:4" x14ac:dyDescent="0.25">
      <c r="A69" t="s">
        <v>123</v>
      </c>
      <c r="B69" t="s">
        <v>1549</v>
      </c>
      <c r="C69" t="s">
        <v>2886</v>
      </c>
      <c r="D69">
        <v>16</v>
      </c>
    </row>
    <row r="70" spans="1:4" x14ac:dyDescent="0.25">
      <c r="A70" t="s">
        <v>123</v>
      </c>
      <c r="B70" t="s">
        <v>572</v>
      </c>
      <c r="C70" t="s">
        <v>4006</v>
      </c>
      <c r="D70">
        <v>17</v>
      </c>
    </row>
    <row r="71" spans="1:4" x14ac:dyDescent="0.25">
      <c r="A71" t="s">
        <v>123</v>
      </c>
      <c r="B71" t="s">
        <v>572</v>
      </c>
      <c r="C71" t="s">
        <v>3853</v>
      </c>
      <c r="D71">
        <v>18</v>
      </c>
    </row>
    <row r="72" spans="1:4" x14ac:dyDescent="0.25">
      <c r="A72" t="s">
        <v>123</v>
      </c>
      <c r="B72" t="s">
        <v>572</v>
      </c>
      <c r="C72" t="s">
        <v>2092</v>
      </c>
      <c r="D72">
        <v>19</v>
      </c>
    </row>
    <row r="73" spans="1:4" x14ac:dyDescent="0.25">
      <c r="A73" t="s">
        <v>123</v>
      </c>
      <c r="B73" t="s">
        <v>95</v>
      </c>
      <c r="C73" t="s">
        <v>4007</v>
      </c>
      <c r="D73">
        <v>17</v>
      </c>
    </row>
    <row r="74" spans="1:4" x14ac:dyDescent="0.25">
      <c r="A74" t="s">
        <v>123</v>
      </c>
      <c r="B74" t="s">
        <v>60</v>
      </c>
      <c r="C74" t="s">
        <v>4008</v>
      </c>
      <c r="D74">
        <v>20</v>
      </c>
    </row>
    <row r="75" spans="1:4" x14ac:dyDescent="0.25">
      <c r="A75" t="s">
        <v>123</v>
      </c>
      <c r="B75" t="s">
        <v>99</v>
      </c>
      <c r="C75" t="s">
        <v>2094</v>
      </c>
      <c r="D75">
        <v>19</v>
      </c>
    </row>
    <row r="76" spans="1:4" x14ac:dyDescent="0.25">
      <c r="A76" t="s">
        <v>123</v>
      </c>
      <c r="B76" t="s">
        <v>99</v>
      </c>
      <c r="C76" t="s">
        <v>2801</v>
      </c>
      <c r="D76">
        <v>18</v>
      </c>
    </row>
    <row r="77" spans="1:4" x14ac:dyDescent="0.25">
      <c r="A77" t="s">
        <v>123</v>
      </c>
      <c r="B77" t="s">
        <v>961</v>
      </c>
      <c r="C77" t="s">
        <v>3387</v>
      </c>
      <c r="D77">
        <v>20</v>
      </c>
    </row>
    <row r="78" spans="1:4" x14ac:dyDescent="0.25">
      <c r="A78" t="s">
        <v>123</v>
      </c>
      <c r="B78" t="s">
        <v>1442</v>
      </c>
      <c r="C78" t="s">
        <v>2843</v>
      </c>
      <c r="D78">
        <v>18</v>
      </c>
    </row>
    <row r="79" spans="1:4" x14ac:dyDescent="0.25">
      <c r="A79" t="s">
        <v>123</v>
      </c>
      <c r="B79" t="s">
        <v>142</v>
      </c>
      <c r="C79" t="s">
        <v>2948</v>
      </c>
      <c r="D79">
        <v>20</v>
      </c>
    </row>
    <row r="80" spans="1:4" x14ac:dyDescent="0.25">
      <c r="A80" t="s">
        <v>123</v>
      </c>
      <c r="B80" t="s">
        <v>631</v>
      </c>
      <c r="C80" t="s">
        <v>2949</v>
      </c>
      <c r="D80">
        <v>23</v>
      </c>
    </row>
    <row r="81" spans="1:4" x14ac:dyDescent="0.25">
      <c r="A81" t="s">
        <v>123</v>
      </c>
      <c r="B81" t="s">
        <v>898</v>
      </c>
      <c r="C81" t="s">
        <v>3690</v>
      </c>
      <c r="D81">
        <v>22</v>
      </c>
    </row>
    <row r="82" spans="1:4" x14ac:dyDescent="0.25">
      <c r="A82" t="s">
        <v>123</v>
      </c>
      <c r="B82" t="s">
        <v>996</v>
      </c>
      <c r="C82" t="s">
        <v>4009</v>
      </c>
      <c r="D82">
        <v>24</v>
      </c>
    </row>
    <row r="83" spans="1:4" x14ac:dyDescent="0.25">
      <c r="A83" t="s">
        <v>123</v>
      </c>
      <c r="B83" t="s">
        <v>999</v>
      </c>
      <c r="C83" t="s">
        <v>3877</v>
      </c>
      <c r="D83">
        <v>27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7.1097560975609753</v>
      </c>
    </row>
    <row r="87" spans="1:4" x14ac:dyDescent="0.25">
      <c r="A87" t="s">
        <v>159</v>
      </c>
      <c r="D87">
        <f>MAX(D2:D83)</f>
        <v>27</v>
      </c>
    </row>
    <row r="88" spans="1:4" x14ac:dyDescent="0.25">
      <c r="A88" t="s">
        <v>160</v>
      </c>
      <c r="D88">
        <f>MIN(D2:D83)</f>
        <v>-8</v>
      </c>
    </row>
    <row r="89" spans="1:4" x14ac:dyDescent="0.25">
      <c r="A89" t="s">
        <v>161</v>
      </c>
      <c r="D89">
        <f>COUNTIF(D2:D83,"&gt;0")</f>
        <v>53</v>
      </c>
    </row>
    <row r="90" spans="1:4" x14ac:dyDescent="0.25">
      <c r="A90" t="s">
        <v>162</v>
      </c>
      <c r="D90">
        <f>COUNTIF(D2:D83,"=0")</f>
        <v>4</v>
      </c>
    </row>
    <row r="91" spans="1:4" x14ac:dyDescent="0.25">
      <c r="A91" t="s">
        <v>4010</v>
      </c>
      <c r="D91">
        <f>COUNTIF(D2:D83,"&lt;0")</f>
        <v>25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AVERAGE(D2,D3,D4,D5,D6,D7,D8,D9,D10,D11,D12,D13,D14,D15,D16,D17,D18,D19,D20,D21,D22,D23)</f>
        <v>-4.6363636363636367</v>
      </c>
    </row>
    <row r="95" spans="1:4" x14ac:dyDescent="0.25">
      <c r="A95" t="s">
        <v>166</v>
      </c>
      <c r="D95">
        <f>AVERAGE(D24,D25,D26,D27,D28,D29,D30,D31,D32,D33,D34,D35,D36,D37,D38,D39,D40,D41,D42,D43,D44)</f>
        <v>1.7619047619047619</v>
      </c>
    </row>
    <row r="96" spans="1:4" x14ac:dyDescent="0.25">
      <c r="A96" t="s">
        <v>167</v>
      </c>
      <c r="D96">
        <f>AVERAGE(D45,D46,D47,D48,D49,D50,D51,D52,D53,D54,D55,D56,D57,D58,D59,D60,D61,D62,D63,D64)</f>
        <v>14.35</v>
      </c>
    </row>
    <row r="97" spans="1:4" x14ac:dyDescent="0.25">
      <c r="A97" t="s">
        <v>168</v>
      </c>
      <c r="D97">
        <f>AVERAGE(D65,D66,D67,D68,D69,D70,D71,D72,D73,D74,D75,D76,D77,D78,D79,D80,D81,D82,D83)</f>
        <v>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9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857</v>
      </c>
      <c r="C2" t="s">
        <v>6</v>
      </c>
      <c r="D2">
        <v>2</v>
      </c>
    </row>
    <row r="3" spans="1:4" x14ac:dyDescent="0.25">
      <c r="A3" t="s">
        <v>4</v>
      </c>
      <c r="B3" t="s">
        <v>271</v>
      </c>
      <c r="C3" t="s">
        <v>171</v>
      </c>
      <c r="D3">
        <v>3</v>
      </c>
    </row>
    <row r="4" spans="1:4" x14ac:dyDescent="0.25">
      <c r="A4" t="s">
        <v>4</v>
      </c>
      <c r="B4" t="s">
        <v>271</v>
      </c>
      <c r="C4" t="s">
        <v>2353</v>
      </c>
      <c r="D4">
        <v>4</v>
      </c>
    </row>
    <row r="5" spans="1:4" x14ac:dyDescent="0.25">
      <c r="A5" t="s">
        <v>4</v>
      </c>
      <c r="B5" t="s">
        <v>721</v>
      </c>
      <c r="C5" t="s">
        <v>2643</v>
      </c>
      <c r="D5">
        <v>7</v>
      </c>
    </row>
    <row r="6" spans="1:4" x14ac:dyDescent="0.25">
      <c r="A6" t="s">
        <v>4</v>
      </c>
      <c r="B6" t="s">
        <v>1118</v>
      </c>
      <c r="C6" t="s">
        <v>3269</v>
      </c>
      <c r="D6">
        <v>6</v>
      </c>
    </row>
    <row r="7" spans="1:4" x14ac:dyDescent="0.25">
      <c r="A7" t="s">
        <v>4</v>
      </c>
      <c r="B7" t="s">
        <v>865</v>
      </c>
      <c r="C7" t="s">
        <v>4011</v>
      </c>
      <c r="D7">
        <v>8</v>
      </c>
    </row>
    <row r="8" spans="1:4" x14ac:dyDescent="0.25">
      <c r="A8" t="s">
        <v>4</v>
      </c>
      <c r="B8" t="s">
        <v>865</v>
      </c>
      <c r="C8" t="s">
        <v>3270</v>
      </c>
      <c r="D8">
        <v>9</v>
      </c>
    </row>
    <row r="9" spans="1:4" x14ac:dyDescent="0.25">
      <c r="A9" t="s">
        <v>4</v>
      </c>
      <c r="B9" t="s">
        <v>1105</v>
      </c>
      <c r="C9" t="s">
        <v>3271</v>
      </c>
      <c r="D9">
        <v>11</v>
      </c>
    </row>
    <row r="10" spans="1:4" x14ac:dyDescent="0.25">
      <c r="A10" t="s">
        <v>4</v>
      </c>
      <c r="B10" t="s">
        <v>2032</v>
      </c>
      <c r="C10" t="s">
        <v>3272</v>
      </c>
      <c r="D10">
        <v>13</v>
      </c>
    </row>
    <row r="11" spans="1:4" x14ac:dyDescent="0.25">
      <c r="A11" t="s">
        <v>4</v>
      </c>
      <c r="B11" t="s">
        <v>188</v>
      </c>
      <c r="C11" t="s">
        <v>3273</v>
      </c>
      <c r="D11">
        <v>14</v>
      </c>
    </row>
    <row r="12" spans="1:4" x14ac:dyDescent="0.25">
      <c r="A12" t="s">
        <v>4</v>
      </c>
      <c r="B12" t="s">
        <v>188</v>
      </c>
      <c r="C12" t="s">
        <v>3274</v>
      </c>
      <c r="D12">
        <v>15</v>
      </c>
    </row>
    <row r="13" spans="1:4" x14ac:dyDescent="0.25">
      <c r="A13" t="s">
        <v>4</v>
      </c>
      <c r="B13" t="s">
        <v>64</v>
      </c>
      <c r="C13" t="s">
        <v>4012</v>
      </c>
      <c r="D13">
        <v>13</v>
      </c>
    </row>
    <row r="14" spans="1:4" x14ac:dyDescent="0.25">
      <c r="A14" t="s">
        <v>4</v>
      </c>
      <c r="B14" t="s">
        <v>142</v>
      </c>
      <c r="C14" t="s">
        <v>1975</v>
      </c>
      <c r="D14">
        <v>11</v>
      </c>
    </row>
    <row r="15" spans="1:4" x14ac:dyDescent="0.25">
      <c r="A15" t="s">
        <v>4</v>
      </c>
      <c r="B15" t="s">
        <v>524</v>
      </c>
      <c r="C15" t="s">
        <v>4013</v>
      </c>
      <c r="D15">
        <v>13</v>
      </c>
    </row>
    <row r="16" spans="1:4" x14ac:dyDescent="0.25">
      <c r="A16" t="s">
        <v>4</v>
      </c>
      <c r="B16" t="s">
        <v>629</v>
      </c>
      <c r="C16" t="s">
        <v>2513</v>
      </c>
      <c r="D16">
        <v>12</v>
      </c>
    </row>
    <row r="17" spans="1:4" x14ac:dyDescent="0.25">
      <c r="A17" t="s">
        <v>4</v>
      </c>
      <c r="B17" t="s">
        <v>629</v>
      </c>
      <c r="C17" t="s">
        <v>4014</v>
      </c>
      <c r="D17">
        <v>11</v>
      </c>
    </row>
    <row r="18" spans="1:4" x14ac:dyDescent="0.25">
      <c r="A18" t="s">
        <v>4</v>
      </c>
      <c r="B18" t="s">
        <v>1043</v>
      </c>
      <c r="C18" t="s">
        <v>2515</v>
      </c>
      <c r="D18">
        <v>12</v>
      </c>
    </row>
    <row r="19" spans="1:4" x14ac:dyDescent="0.25">
      <c r="A19" t="s">
        <v>4</v>
      </c>
      <c r="B19" t="s">
        <v>1043</v>
      </c>
      <c r="C19" t="s">
        <v>3043</v>
      </c>
      <c r="D19">
        <v>13</v>
      </c>
    </row>
    <row r="20" spans="1:4" x14ac:dyDescent="0.25">
      <c r="A20" t="s">
        <v>4</v>
      </c>
      <c r="B20" t="s">
        <v>475</v>
      </c>
      <c r="C20" t="s">
        <v>3680</v>
      </c>
      <c r="D20">
        <v>11</v>
      </c>
    </row>
    <row r="21" spans="1:4" x14ac:dyDescent="0.25">
      <c r="A21" t="s">
        <v>4</v>
      </c>
      <c r="B21" t="s">
        <v>389</v>
      </c>
      <c r="C21" t="s">
        <v>326</v>
      </c>
      <c r="D21">
        <v>8</v>
      </c>
    </row>
    <row r="22" spans="1:4" x14ac:dyDescent="0.25">
      <c r="A22" t="s">
        <v>4</v>
      </c>
      <c r="B22" t="s">
        <v>673</v>
      </c>
      <c r="C22" t="s">
        <v>327</v>
      </c>
      <c r="D22">
        <v>9</v>
      </c>
    </row>
    <row r="23" spans="1:4" x14ac:dyDescent="0.25">
      <c r="A23" t="s">
        <v>4</v>
      </c>
      <c r="B23" t="s">
        <v>559</v>
      </c>
      <c r="C23" t="s">
        <v>2047</v>
      </c>
      <c r="D23">
        <v>8</v>
      </c>
    </row>
    <row r="24" spans="1:4" x14ac:dyDescent="0.25">
      <c r="A24" t="s">
        <v>4</v>
      </c>
      <c r="B24" t="s">
        <v>559</v>
      </c>
      <c r="C24" t="s">
        <v>328</v>
      </c>
      <c r="D24">
        <v>7</v>
      </c>
    </row>
    <row r="25" spans="1:4" x14ac:dyDescent="0.25">
      <c r="A25" t="s">
        <v>40</v>
      </c>
      <c r="B25" t="s">
        <v>1136</v>
      </c>
      <c r="C25" t="s">
        <v>1203</v>
      </c>
      <c r="D25">
        <v>6</v>
      </c>
    </row>
    <row r="26" spans="1:4" x14ac:dyDescent="0.25">
      <c r="A26" t="s">
        <v>40</v>
      </c>
      <c r="B26" t="s">
        <v>1136</v>
      </c>
      <c r="C26" t="s">
        <v>330</v>
      </c>
      <c r="D26">
        <v>5</v>
      </c>
    </row>
    <row r="27" spans="1:4" x14ac:dyDescent="0.25">
      <c r="A27" t="s">
        <v>40</v>
      </c>
      <c r="B27" t="s">
        <v>1057</v>
      </c>
      <c r="C27" t="s">
        <v>923</v>
      </c>
      <c r="D27">
        <v>7</v>
      </c>
    </row>
    <row r="28" spans="1:4" x14ac:dyDescent="0.25">
      <c r="A28" t="s">
        <v>40</v>
      </c>
      <c r="B28" t="s">
        <v>87</v>
      </c>
      <c r="C28" t="s">
        <v>925</v>
      </c>
      <c r="D28">
        <v>4</v>
      </c>
    </row>
    <row r="29" spans="1:4" x14ac:dyDescent="0.25">
      <c r="A29" t="s">
        <v>40</v>
      </c>
      <c r="B29" t="s">
        <v>641</v>
      </c>
      <c r="C29" t="s">
        <v>1823</v>
      </c>
      <c r="D29">
        <v>2</v>
      </c>
    </row>
    <row r="30" spans="1:4" x14ac:dyDescent="0.25">
      <c r="A30" t="s">
        <v>40</v>
      </c>
      <c r="B30" t="s">
        <v>431</v>
      </c>
      <c r="C30" t="s">
        <v>3721</v>
      </c>
      <c r="D30">
        <v>0</v>
      </c>
    </row>
    <row r="31" spans="1:4" x14ac:dyDescent="0.25">
      <c r="A31" t="s">
        <v>40</v>
      </c>
      <c r="B31" t="s">
        <v>54</v>
      </c>
      <c r="C31" t="s">
        <v>1440</v>
      </c>
      <c r="D31">
        <v>2</v>
      </c>
    </row>
    <row r="32" spans="1:4" x14ac:dyDescent="0.25">
      <c r="A32" t="s">
        <v>40</v>
      </c>
      <c r="B32" t="s">
        <v>335</v>
      </c>
      <c r="C32" t="s">
        <v>593</v>
      </c>
      <c r="D32">
        <v>-1</v>
      </c>
    </row>
    <row r="33" spans="1:4" x14ac:dyDescent="0.25">
      <c r="A33" t="s">
        <v>40</v>
      </c>
      <c r="B33" t="s">
        <v>1105</v>
      </c>
      <c r="C33" t="s">
        <v>718</v>
      </c>
      <c r="D33">
        <v>1</v>
      </c>
    </row>
    <row r="34" spans="1:4" x14ac:dyDescent="0.25">
      <c r="A34" t="s">
        <v>40</v>
      </c>
      <c r="B34" t="s">
        <v>1105</v>
      </c>
      <c r="C34" t="s">
        <v>1753</v>
      </c>
      <c r="D34">
        <v>2</v>
      </c>
    </row>
    <row r="35" spans="1:4" x14ac:dyDescent="0.25">
      <c r="A35" t="s">
        <v>40</v>
      </c>
      <c r="B35" t="s">
        <v>19</v>
      </c>
      <c r="C35" t="s">
        <v>934</v>
      </c>
      <c r="D35">
        <v>5</v>
      </c>
    </row>
    <row r="36" spans="1:4" x14ac:dyDescent="0.25">
      <c r="A36" t="s">
        <v>40</v>
      </c>
      <c r="B36" t="s">
        <v>598</v>
      </c>
      <c r="C36" t="s">
        <v>936</v>
      </c>
      <c r="D36">
        <v>2</v>
      </c>
    </row>
    <row r="37" spans="1:4" x14ac:dyDescent="0.25">
      <c r="A37" t="s">
        <v>40</v>
      </c>
      <c r="B37" t="s">
        <v>984</v>
      </c>
      <c r="C37" t="s">
        <v>345</v>
      </c>
      <c r="D37">
        <v>0</v>
      </c>
    </row>
    <row r="38" spans="1:4" x14ac:dyDescent="0.25">
      <c r="A38" t="s">
        <v>40</v>
      </c>
      <c r="B38" t="s">
        <v>467</v>
      </c>
      <c r="C38" t="s">
        <v>347</v>
      </c>
      <c r="D38">
        <v>2</v>
      </c>
    </row>
    <row r="39" spans="1:4" x14ac:dyDescent="0.25">
      <c r="A39" t="s">
        <v>40</v>
      </c>
      <c r="B39" t="s">
        <v>1073</v>
      </c>
      <c r="C39" t="s">
        <v>4002</v>
      </c>
      <c r="D39">
        <v>0</v>
      </c>
    </row>
    <row r="40" spans="1:4" x14ac:dyDescent="0.25">
      <c r="A40" t="s">
        <v>40</v>
      </c>
      <c r="B40" t="s">
        <v>472</v>
      </c>
      <c r="C40" t="s">
        <v>353</v>
      </c>
      <c r="D40">
        <v>3</v>
      </c>
    </row>
    <row r="41" spans="1:4" x14ac:dyDescent="0.25">
      <c r="A41" t="s">
        <v>40</v>
      </c>
      <c r="B41" t="s">
        <v>389</v>
      </c>
      <c r="C41" t="s">
        <v>3682</v>
      </c>
      <c r="D41">
        <v>5</v>
      </c>
    </row>
    <row r="42" spans="1:4" x14ac:dyDescent="0.25">
      <c r="A42" t="s">
        <v>40</v>
      </c>
      <c r="B42" t="s">
        <v>320</v>
      </c>
      <c r="C42" t="s">
        <v>1757</v>
      </c>
      <c r="D42">
        <v>3</v>
      </c>
    </row>
    <row r="43" spans="1:4" x14ac:dyDescent="0.25">
      <c r="A43" t="s">
        <v>40</v>
      </c>
      <c r="B43" t="s">
        <v>1019</v>
      </c>
      <c r="C43" t="s">
        <v>474</v>
      </c>
      <c r="D43">
        <v>2</v>
      </c>
    </row>
    <row r="44" spans="1:4" x14ac:dyDescent="0.25">
      <c r="A44" t="s">
        <v>40</v>
      </c>
      <c r="B44" t="s">
        <v>481</v>
      </c>
      <c r="C44" t="s">
        <v>3574</v>
      </c>
      <c r="D44">
        <v>0</v>
      </c>
    </row>
    <row r="45" spans="1:4" x14ac:dyDescent="0.25">
      <c r="A45" t="s">
        <v>80</v>
      </c>
      <c r="B45" t="s">
        <v>172</v>
      </c>
      <c r="C45" t="s">
        <v>1519</v>
      </c>
      <c r="D45">
        <v>-1</v>
      </c>
    </row>
    <row r="46" spans="1:4" x14ac:dyDescent="0.25">
      <c r="A46" t="s">
        <v>80</v>
      </c>
      <c r="B46" t="s">
        <v>246</v>
      </c>
      <c r="C46" t="s">
        <v>241</v>
      </c>
      <c r="D46">
        <v>-4</v>
      </c>
    </row>
    <row r="47" spans="1:4" x14ac:dyDescent="0.25">
      <c r="A47" t="s">
        <v>80</v>
      </c>
      <c r="B47" t="s">
        <v>89</v>
      </c>
      <c r="C47" t="s">
        <v>2134</v>
      </c>
      <c r="D47">
        <v>-2</v>
      </c>
    </row>
    <row r="48" spans="1:4" x14ac:dyDescent="0.25">
      <c r="A48" t="s">
        <v>80</v>
      </c>
      <c r="B48" t="s">
        <v>89</v>
      </c>
      <c r="C48" t="s">
        <v>243</v>
      </c>
      <c r="D48">
        <v>-1</v>
      </c>
    </row>
    <row r="49" spans="1:4" x14ac:dyDescent="0.25">
      <c r="A49" t="s">
        <v>80</v>
      </c>
      <c r="B49" t="s">
        <v>431</v>
      </c>
      <c r="C49" t="s">
        <v>3561</v>
      </c>
      <c r="D49">
        <v>-4</v>
      </c>
    </row>
    <row r="50" spans="1:4" x14ac:dyDescent="0.25">
      <c r="A50" t="s">
        <v>80</v>
      </c>
      <c r="B50" t="s">
        <v>405</v>
      </c>
      <c r="C50" t="s">
        <v>251</v>
      </c>
      <c r="D50">
        <v>-2</v>
      </c>
    </row>
    <row r="51" spans="1:4" x14ac:dyDescent="0.25">
      <c r="A51" t="s">
        <v>80</v>
      </c>
      <c r="B51" t="s">
        <v>870</v>
      </c>
      <c r="C51" t="s">
        <v>2489</v>
      </c>
      <c r="D51">
        <v>1</v>
      </c>
    </row>
    <row r="52" spans="1:4" x14ac:dyDescent="0.25">
      <c r="A52" t="s">
        <v>80</v>
      </c>
      <c r="B52" t="s">
        <v>740</v>
      </c>
      <c r="C52" t="s">
        <v>2310</v>
      </c>
      <c r="D52">
        <v>0</v>
      </c>
    </row>
    <row r="53" spans="1:4" x14ac:dyDescent="0.25">
      <c r="A53" t="s">
        <v>80</v>
      </c>
      <c r="B53" t="s">
        <v>941</v>
      </c>
      <c r="C53" t="s">
        <v>2611</v>
      </c>
      <c r="D53">
        <v>2</v>
      </c>
    </row>
    <row r="54" spans="1:4" x14ac:dyDescent="0.25">
      <c r="A54" t="s">
        <v>80</v>
      </c>
      <c r="B54" t="s">
        <v>1073</v>
      </c>
      <c r="C54" t="s">
        <v>2172</v>
      </c>
      <c r="D54">
        <v>5</v>
      </c>
    </row>
    <row r="55" spans="1:4" x14ac:dyDescent="0.25">
      <c r="A55" t="s">
        <v>80</v>
      </c>
      <c r="B55" t="s">
        <v>146</v>
      </c>
      <c r="C55" t="s">
        <v>2339</v>
      </c>
      <c r="D55">
        <v>6</v>
      </c>
    </row>
    <row r="56" spans="1:4" x14ac:dyDescent="0.25">
      <c r="A56" t="s">
        <v>80</v>
      </c>
      <c r="B56" t="s">
        <v>146</v>
      </c>
      <c r="C56" t="s">
        <v>491</v>
      </c>
      <c r="D56">
        <v>7</v>
      </c>
    </row>
    <row r="57" spans="1:4" x14ac:dyDescent="0.25">
      <c r="A57" t="s">
        <v>80</v>
      </c>
      <c r="B57" t="s">
        <v>1048</v>
      </c>
      <c r="C57" t="s">
        <v>3733</v>
      </c>
      <c r="D57">
        <v>6</v>
      </c>
    </row>
    <row r="58" spans="1:4" x14ac:dyDescent="0.25">
      <c r="A58" t="s">
        <v>80</v>
      </c>
      <c r="B58" t="s">
        <v>1844</v>
      </c>
      <c r="C58" t="s">
        <v>4015</v>
      </c>
      <c r="D58">
        <v>7</v>
      </c>
    </row>
    <row r="59" spans="1:4" x14ac:dyDescent="0.25">
      <c r="A59" t="s">
        <v>80</v>
      </c>
      <c r="B59" t="s">
        <v>1844</v>
      </c>
      <c r="C59" t="s">
        <v>3441</v>
      </c>
      <c r="D59">
        <v>8</v>
      </c>
    </row>
    <row r="60" spans="1:4" x14ac:dyDescent="0.25">
      <c r="A60" t="s">
        <v>80</v>
      </c>
      <c r="B60" t="s">
        <v>1356</v>
      </c>
      <c r="C60" t="s">
        <v>1463</v>
      </c>
      <c r="D60">
        <v>10</v>
      </c>
    </row>
    <row r="61" spans="1:4" x14ac:dyDescent="0.25">
      <c r="A61" t="s">
        <v>80</v>
      </c>
      <c r="B61" t="s">
        <v>927</v>
      </c>
      <c r="C61" t="s">
        <v>2790</v>
      </c>
      <c r="D61">
        <v>13</v>
      </c>
    </row>
    <row r="62" spans="1:4" x14ac:dyDescent="0.25">
      <c r="A62" t="s">
        <v>80</v>
      </c>
      <c r="B62" t="s">
        <v>348</v>
      </c>
      <c r="C62" t="s">
        <v>3722</v>
      </c>
      <c r="D62">
        <v>12</v>
      </c>
    </row>
    <row r="63" spans="1:4" x14ac:dyDescent="0.25">
      <c r="A63" t="s">
        <v>80</v>
      </c>
      <c r="B63" t="s">
        <v>1568</v>
      </c>
      <c r="C63" t="s">
        <v>2986</v>
      </c>
      <c r="D63">
        <v>14</v>
      </c>
    </row>
    <row r="64" spans="1:4" x14ac:dyDescent="0.25">
      <c r="A64" t="s">
        <v>123</v>
      </c>
      <c r="B64" t="s">
        <v>124</v>
      </c>
      <c r="C64" t="s">
        <v>4016</v>
      </c>
      <c r="D64">
        <v>16</v>
      </c>
    </row>
    <row r="65" spans="1:4" x14ac:dyDescent="0.25">
      <c r="A65" t="s">
        <v>123</v>
      </c>
      <c r="B65" t="s">
        <v>1524</v>
      </c>
      <c r="C65" t="s">
        <v>2793</v>
      </c>
      <c r="D65">
        <v>14</v>
      </c>
    </row>
    <row r="66" spans="1:4" x14ac:dyDescent="0.25">
      <c r="A66" t="s">
        <v>123</v>
      </c>
      <c r="B66" t="s">
        <v>511</v>
      </c>
      <c r="C66" t="s">
        <v>2671</v>
      </c>
      <c r="D66">
        <v>16</v>
      </c>
    </row>
    <row r="67" spans="1:4" x14ac:dyDescent="0.25">
      <c r="A67" t="s">
        <v>123</v>
      </c>
      <c r="B67" t="s">
        <v>9</v>
      </c>
      <c r="C67" t="s">
        <v>4017</v>
      </c>
      <c r="D67">
        <v>18</v>
      </c>
    </row>
    <row r="68" spans="1:4" x14ac:dyDescent="0.25">
      <c r="A68" t="s">
        <v>123</v>
      </c>
      <c r="B68" t="s">
        <v>1836</v>
      </c>
      <c r="C68" t="s">
        <v>4018</v>
      </c>
      <c r="D68">
        <v>16</v>
      </c>
    </row>
    <row r="69" spans="1:4" x14ac:dyDescent="0.25">
      <c r="A69" t="s">
        <v>123</v>
      </c>
      <c r="B69" t="s">
        <v>1146</v>
      </c>
      <c r="C69" t="s">
        <v>4019</v>
      </c>
      <c r="D69">
        <v>19</v>
      </c>
    </row>
    <row r="70" spans="1:4" x14ac:dyDescent="0.25">
      <c r="A70" t="s">
        <v>123</v>
      </c>
      <c r="B70" t="s">
        <v>1498</v>
      </c>
      <c r="C70" t="s">
        <v>3850</v>
      </c>
      <c r="D70">
        <v>21</v>
      </c>
    </row>
    <row r="71" spans="1:4" x14ac:dyDescent="0.25">
      <c r="A71" t="s">
        <v>123</v>
      </c>
      <c r="B71" t="s">
        <v>1498</v>
      </c>
      <c r="C71" t="s">
        <v>3851</v>
      </c>
      <c r="D71">
        <v>22</v>
      </c>
    </row>
    <row r="72" spans="1:4" x14ac:dyDescent="0.25">
      <c r="A72" t="s">
        <v>123</v>
      </c>
      <c r="B72" t="s">
        <v>366</v>
      </c>
      <c r="C72" t="s">
        <v>2837</v>
      </c>
      <c r="D72">
        <v>23</v>
      </c>
    </row>
    <row r="73" spans="1:4" x14ac:dyDescent="0.25">
      <c r="A73" t="s">
        <v>123</v>
      </c>
      <c r="B73" t="s">
        <v>97</v>
      </c>
      <c r="C73" t="s">
        <v>3141</v>
      </c>
      <c r="D73">
        <v>25</v>
      </c>
    </row>
    <row r="74" spans="1:4" x14ac:dyDescent="0.25">
      <c r="A74" t="s">
        <v>123</v>
      </c>
      <c r="B74" t="s">
        <v>887</v>
      </c>
      <c r="C74" t="s">
        <v>1414</v>
      </c>
      <c r="D74">
        <v>28</v>
      </c>
    </row>
    <row r="75" spans="1:4" x14ac:dyDescent="0.25">
      <c r="A75" t="s">
        <v>123</v>
      </c>
      <c r="B75" t="s">
        <v>1536</v>
      </c>
      <c r="C75" t="s">
        <v>1415</v>
      </c>
      <c r="D75">
        <v>27</v>
      </c>
    </row>
    <row r="76" spans="1:4" x14ac:dyDescent="0.25">
      <c r="A76" t="s">
        <v>123</v>
      </c>
      <c r="B76" t="s">
        <v>110</v>
      </c>
      <c r="C76" t="s">
        <v>4020</v>
      </c>
      <c r="D76">
        <v>28</v>
      </c>
    </row>
    <row r="77" spans="1:4" x14ac:dyDescent="0.25">
      <c r="A77" t="s">
        <v>123</v>
      </c>
      <c r="B77" t="s">
        <v>110</v>
      </c>
      <c r="C77" t="s">
        <v>4021</v>
      </c>
      <c r="D77">
        <v>29</v>
      </c>
    </row>
    <row r="78" spans="1:4" x14ac:dyDescent="0.25">
      <c r="A78" t="s">
        <v>123</v>
      </c>
      <c r="B78" t="s">
        <v>471</v>
      </c>
      <c r="C78" t="s">
        <v>3146</v>
      </c>
      <c r="D78">
        <v>26</v>
      </c>
    </row>
    <row r="79" spans="1:4" x14ac:dyDescent="0.25">
      <c r="A79" t="s">
        <v>123</v>
      </c>
      <c r="B79" t="s">
        <v>1043</v>
      </c>
      <c r="C79" t="s">
        <v>983</v>
      </c>
      <c r="D79">
        <v>24</v>
      </c>
    </row>
    <row r="80" spans="1:4" x14ac:dyDescent="0.25">
      <c r="A80" t="s">
        <v>123</v>
      </c>
      <c r="B80" t="s">
        <v>148</v>
      </c>
      <c r="C80" t="s">
        <v>2029</v>
      </c>
      <c r="D80">
        <v>27</v>
      </c>
    </row>
    <row r="81" spans="1:4" x14ac:dyDescent="0.25">
      <c r="A81" t="s">
        <v>123</v>
      </c>
      <c r="B81" t="s">
        <v>320</v>
      </c>
      <c r="C81" t="s">
        <v>3258</v>
      </c>
      <c r="D81">
        <v>29</v>
      </c>
    </row>
    <row r="82" spans="1:4" x14ac:dyDescent="0.25">
      <c r="A82" t="s">
        <v>123</v>
      </c>
      <c r="B82" t="s">
        <v>320</v>
      </c>
      <c r="C82" t="s">
        <v>3875</v>
      </c>
      <c r="D82">
        <v>30</v>
      </c>
    </row>
    <row r="83" spans="1:4" x14ac:dyDescent="0.25">
      <c r="A83" t="s">
        <v>123</v>
      </c>
      <c r="B83" t="s">
        <v>1988</v>
      </c>
      <c r="C83" t="s">
        <v>1423</v>
      </c>
      <c r="D83">
        <v>33</v>
      </c>
    </row>
    <row r="84" spans="1:4" x14ac:dyDescent="0.25">
      <c r="A84" t="s">
        <v>123</v>
      </c>
      <c r="B84" t="s">
        <v>930</v>
      </c>
      <c r="C84" t="s">
        <v>3153</v>
      </c>
      <c r="D84">
        <v>30</v>
      </c>
    </row>
    <row r="86" spans="1:4" x14ac:dyDescent="0.25">
      <c r="A86" s="2" t="s">
        <v>157</v>
      </c>
    </row>
    <row r="87" spans="1:4" x14ac:dyDescent="0.25">
      <c r="A87" t="s">
        <v>158</v>
      </c>
      <c r="D87">
        <f>AVERAGE(D2:D84)</f>
        <v>10.216867469879517</v>
      </c>
    </row>
    <row r="88" spans="1:4" x14ac:dyDescent="0.25">
      <c r="A88" t="s">
        <v>159</v>
      </c>
      <c r="D88">
        <f>MAX(D2:D84)</f>
        <v>33</v>
      </c>
    </row>
    <row r="89" spans="1:4" x14ac:dyDescent="0.25">
      <c r="A89" t="s">
        <v>160</v>
      </c>
      <c r="D89">
        <f>MIN(D2:D84)</f>
        <v>-4</v>
      </c>
    </row>
    <row r="90" spans="1:4" x14ac:dyDescent="0.25">
      <c r="A90" t="s">
        <v>161</v>
      </c>
      <c r="D90">
        <f>COUNTIF(D2:D84,"&gt;0")</f>
        <v>71</v>
      </c>
    </row>
    <row r="91" spans="1:4" x14ac:dyDescent="0.25">
      <c r="A91" t="s">
        <v>162</v>
      </c>
      <c r="D91">
        <f>COUNTIF(D2:D84,"=0")</f>
        <v>5</v>
      </c>
    </row>
    <row r="92" spans="1:4" x14ac:dyDescent="0.25">
      <c r="A92" t="s">
        <v>2920</v>
      </c>
      <c r="D92">
        <f>COUNTIF(D2:D84,"&lt;0")</f>
        <v>7</v>
      </c>
    </row>
    <row r="94" spans="1:4" x14ac:dyDescent="0.25">
      <c r="A94" s="2" t="s">
        <v>164</v>
      </c>
    </row>
    <row r="95" spans="1:4" x14ac:dyDescent="0.25">
      <c r="A95" t="s">
        <v>165</v>
      </c>
      <c r="D95">
        <f>AVERAGE(D2,D3,D4,D5,D6,D7,D8,D9,D10,D11,D12,D13,D14,D15,D16,D17,D18,D19,D20,D21,D22,D23,D24)</f>
        <v>9.5652173913043477</v>
      </c>
    </row>
    <row r="96" spans="1:4" x14ac:dyDescent="0.25">
      <c r="A96" t="s">
        <v>166</v>
      </c>
      <c r="D96">
        <f>AVERAGE(D25,D26,D27,D28,D29,D30,D31,D32,D33,D34,D35,D36,D37,D38,D39,D40,D41,D42,D43,D44)</f>
        <v>2.5</v>
      </c>
    </row>
    <row r="97" spans="1:4" x14ac:dyDescent="0.25">
      <c r="A97" t="s">
        <v>167</v>
      </c>
      <c r="D97">
        <f>AVERAGE(D45,D46,D47,D48,D49,D50,D51,D52,D53,D54,D55,D56,D57,D58,D59,D60,D61,D62,D63)</f>
        <v>4.0526315789473681</v>
      </c>
    </row>
    <row r="98" spans="1:4" x14ac:dyDescent="0.25">
      <c r="A98" t="s">
        <v>168</v>
      </c>
      <c r="D98">
        <f>AVERAGE(D64,D65,D66,D67,D68,D69,D70,D71,D72,D73,D74,D75,D76,D77,D78,D79,D80,D81,D82,D83,D84)</f>
        <v>23.857142857142858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8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2421</v>
      </c>
      <c r="C2" t="s">
        <v>1008</v>
      </c>
      <c r="D2">
        <v>-3</v>
      </c>
    </row>
    <row r="3" spans="1:4" x14ac:dyDescent="0.25">
      <c r="A3" t="s">
        <v>4</v>
      </c>
      <c r="B3" t="s">
        <v>47</v>
      </c>
      <c r="C3" t="s">
        <v>306</v>
      </c>
      <c r="D3">
        <v>-1</v>
      </c>
    </row>
    <row r="4" spans="1:4" x14ac:dyDescent="0.25">
      <c r="A4" t="s">
        <v>4</v>
      </c>
      <c r="B4" t="s">
        <v>51</v>
      </c>
      <c r="C4" t="s">
        <v>1869</v>
      </c>
      <c r="D4">
        <v>-3</v>
      </c>
    </row>
    <row r="5" spans="1:4" x14ac:dyDescent="0.25">
      <c r="A5" t="s">
        <v>4</v>
      </c>
      <c r="B5" t="s">
        <v>1119</v>
      </c>
      <c r="C5" t="s">
        <v>2430</v>
      </c>
      <c r="D5">
        <v>0</v>
      </c>
    </row>
    <row r="6" spans="1:4" x14ac:dyDescent="0.25">
      <c r="A6" t="s">
        <v>4</v>
      </c>
      <c r="B6" t="s">
        <v>335</v>
      </c>
      <c r="C6" t="s">
        <v>1107</v>
      </c>
      <c r="D6">
        <v>-1</v>
      </c>
    </row>
    <row r="7" spans="1:4" x14ac:dyDescent="0.25">
      <c r="A7" t="s">
        <v>4</v>
      </c>
      <c r="B7" t="s">
        <v>335</v>
      </c>
      <c r="C7" t="s">
        <v>913</v>
      </c>
      <c r="D7">
        <v>-2</v>
      </c>
    </row>
    <row r="8" spans="1:4" x14ac:dyDescent="0.25">
      <c r="A8" t="s">
        <v>4</v>
      </c>
      <c r="B8" t="s">
        <v>1724</v>
      </c>
      <c r="C8" t="s">
        <v>696</v>
      </c>
      <c r="D8">
        <v>1</v>
      </c>
    </row>
    <row r="9" spans="1:4" x14ac:dyDescent="0.25">
      <c r="A9" t="s">
        <v>4</v>
      </c>
      <c r="B9" t="s">
        <v>1475</v>
      </c>
      <c r="C9" t="s">
        <v>697</v>
      </c>
      <c r="D9">
        <v>-1</v>
      </c>
    </row>
    <row r="10" spans="1:4" x14ac:dyDescent="0.25">
      <c r="A10" t="s">
        <v>4</v>
      </c>
      <c r="B10" t="s">
        <v>598</v>
      </c>
      <c r="C10" t="s">
        <v>699</v>
      </c>
      <c r="D10">
        <v>1</v>
      </c>
    </row>
    <row r="11" spans="1:4" x14ac:dyDescent="0.25">
      <c r="A11" t="s">
        <v>4</v>
      </c>
      <c r="B11" t="s">
        <v>1695</v>
      </c>
      <c r="C11" t="s">
        <v>2202</v>
      </c>
      <c r="D11">
        <v>-1</v>
      </c>
    </row>
    <row r="12" spans="1:4" x14ac:dyDescent="0.25">
      <c r="A12" t="s">
        <v>4</v>
      </c>
      <c r="B12" t="s">
        <v>1016</v>
      </c>
      <c r="C12" t="s">
        <v>1925</v>
      </c>
      <c r="D12">
        <v>-3</v>
      </c>
    </row>
    <row r="13" spans="1:4" x14ac:dyDescent="0.25">
      <c r="A13" t="s">
        <v>4</v>
      </c>
      <c r="B13" t="s">
        <v>2317</v>
      </c>
      <c r="C13" t="s">
        <v>30</v>
      </c>
      <c r="D13">
        <v>-1</v>
      </c>
    </row>
    <row r="14" spans="1:4" x14ac:dyDescent="0.25">
      <c r="A14" t="s">
        <v>4</v>
      </c>
      <c r="B14" t="s">
        <v>2147</v>
      </c>
      <c r="C14" t="s">
        <v>32</v>
      </c>
      <c r="D14">
        <v>1</v>
      </c>
    </row>
    <row r="15" spans="1:4" x14ac:dyDescent="0.25">
      <c r="A15" t="s">
        <v>4</v>
      </c>
      <c r="B15" t="s">
        <v>296</v>
      </c>
      <c r="C15" t="s">
        <v>1926</v>
      </c>
      <c r="D15">
        <v>3</v>
      </c>
    </row>
    <row r="16" spans="1:4" x14ac:dyDescent="0.25">
      <c r="A16" t="s">
        <v>4</v>
      </c>
      <c r="B16" t="s">
        <v>1206</v>
      </c>
      <c r="C16" t="s">
        <v>446</v>
      </c>
      <c r="D16">
        <v>1</v>
      </c>
    </row>
    <row r="17" spans="1:4" x14ac:dyDescent="0.25">
      <c r="A17" t="s">
        <v>4</v>
      </c>
      <c r="B17" t="s">
        <v>348</v>
      </c>
      <c r="C17" t="s">
        <v>1876</v>
      </c>
      <c r="D17">
        <v>3</v>
      </c>
    </row>
    <row r="18" spans="1:4" x14ac:dyDescent="0.25">
      <c r="A18" t="s">
        <v>4</v>
      </c>
      <c r="B18" t="s">
        <v>235</v>
      </c>
      <c r="C18" t="s">
        <v>2122</v>
      </c>
      <c r="D18">
        <v>1</v>
      </c>
    </row>
    <row r="19" spans="1:4" x14ac:dyDescent="0.25">
      <c r="A19" t="s">
        <v>40</v>
      </c>
      <c r="B19" t="s">
        <v>41</v>
      </c>
      <c r="C19" t="s">
        <v>2123</v>
      </c>
      <c r="D19">
        <v>-1</v>
      </c>
    </row>
    <row r="20" spans="1:4" x14ac:dyDescent="0.25">
      <c r="A20" t="s">
        <v>40</v>
      </c>
      <c r="B20" t="s">
        <v>490</v>
      </c>
      <c r="C20" t="s">
        <v>2722</v>
      </c>
      <c r="D20">
        <v>-3</v>
      </c>
    </row>
    <row r="21" spans="1:4" x14ac:dyDescent="0.25">
      <c r="A21" t="s">
        <v>40</v>
      </c>
      <c r="B21" t="s">
        <v>1210</v>
      </c>
      <c r="C21" t="s">
        <v>794</v>
      </c>
      <c r="D21">
        <v>-1</v>
      </c>
    </row>
    <row r="22" spans="1:4" x14ac:dyDescent="0.25">
      <c r="A22" t="s">
        <v>40</v>
      </c>
      <c r="B22" t="s">
        <v>49</v>
      </c>
      <c r="C22" t="s">
        <v>1878</v>
      </c>
      <c r="D22">
        <v>-3</v>
      </c>
    </row>
    <row r="23" spans="1:4" x14ac:dyDescent="0.25">
      <c r="A23" t="s">
        <v>40</v>
      </c>
      <c r="B23" t="s">
        <v>2074</v>
      </c>
      <c r="C23" t="s">
        <v>589</v>
      </c>
      <c r="D23">
        <v>-1</v>
      </c>
    </row>
    <row r="24" spans="1:4" x14ac:dyDescent="0.25">
      <c r="A24" t="s">
        <v>40</v>
      </c>
      <c r="B24" t="s">
        <v>1011</v>
      </c>
      <c r="C24" t="s">
        <v>1440</v>
      </c>
      <c r="D24">
        <v>2</v>
      </c>
    </row>
    <row r="25" spans="1:4" x14ac:dyDescent="0.25">
      <c r="A25" t="s">
        <v>40</v>
      </c>
      <c r="B25" t="s">
        <v>181</v>
      </c>
      <c r="C25" t="s">
        <v>717</v>
      </c>
      <c r="D25">
        <v>4</v>
      </c>
    </row>
    <row r="26" spans="1:4" x14ac:dyDescent="0.25">
      <c r="A26" t="s">
        <v>40</v>
      </c>
      <c r="B26" t="s">
        <v>186</v>
      </c>
      <c r="C26" t="s">
        <v>1583</v>
      </c>
      <c r="D26">
        <v>7</v>
      </c>
    </row>
    <row r="27" spans="1:4" x14ac:dyDescent="0.25">
      <c r="A27" t="s">
        <v>40</v>
      </c>
      <c r="B27" t="s">
        <v>435</v>
      </c>
      <c r="C27" t="s">
        <v>1584</v>
      </c>
      <c r="D27">
        <v>5</v>
      </c>
    </row>
    <row r="28" spans="1:4" x14ac:dyDescent="0.25">
      <c r="A28" t="s">
        <v>40</v>
      </c>
      <c r="B28" t="s">
        <v>261</v>
      </c>
      <c r="C28" t="s">
        <v>1935</v>
      </c>
      <c r="D28">
        <v>8</v>
      </c>
    </row>
    <row r="29" spans="1:4" x14ac:dyDescent="0.25">
      <c r="A29" t="s">
        <v>40</v>
      </c>
      <c r="B29" t="s">
        <v>1795</v>
      </c>
      <c r="C29" t="s">
        <v>3339</v>
      </c>
      <c r="D29">
        <v>6</v>
      </c>
    </row>
    <row r="30" spans="1:4" x14ac:dyDescent="0.25">
      <c r="A30" t="s">
        <v>40</v>
      </c>
      <c r="B30" t="s">
        <v>1153</v>
      </c>
      <c r="C30" t="s">
        <v>3123</v>
      </c>
      <c r="D30">
        <v>9</v>
      </c>
    </row>
    <row r="31" spans="1:4" x14ac:dyDescent="0.25">
      <c r="A31" t="s">
        <v>40</v>
      </c>
      <c r="B31" t="s">
        <v>1638</v>
      </c>
      <c r="C31" t="s">
        <v>2977</v>
      </c>
      <c r="D31">
        <v>11</v>
      </c>
    </row>
    <row r="32" spans="1:4" x14ac:dyDescent="0.25">
      <c r="A32" t="s">
        <v>40</v>
      </c>
      <c r="B32" t="s">
        <v>1402</v>
      </c>
      <c r="C32" t="s">
        <v>4022</v>
      </c>
      <c r="D32">
        <v>13</v>
      </c>
    </row>
    <row r="33" spans="1:4" x14ac:dyDescent="0.25">
      <c r="A33" t="s">
        <v>40</v>
      </c>
      <c r="B33" t="s">
        <v>1646</v>
      </c>
      <c r="C33" t="s">
        <v>4023</v>
      </c>
      <c r="D33">
        <v>14</v>
      </c>
    </row>
    <row r="34" spans="1:4" x14ac:dyDescent="0.25">
      <c r="A34" t="s">
        <v>40</v>
      </c>
      <c r="B34" t="s">
        <v>772</v>
      </c>
      <c r="C34" t="s">
        <v>2978</v>
      </c>
      <c r="D34">
        <v>13</v>
      </c>
    </row>
    <row r="35" spans="1:4" x14ac:dyDescent="0.25">
      <c r="A35" t="s">
        <v>40</v>
      </c>
      <c r="B35" t="s">
        <v>772</v>
      </c>
      <c r="C35" t="s">
        <v>2163</v>
      </c>
      <c r="D35">
        <v>12</v>
      </c>
    </row>
    <row r="36" spans="1:4" x14ac:dyDescent="0.25">
      <c r="A36" t="s">
        <v>40</v>
      </c>
      <c r="B36" t="s">
        <v>78</v>
      </c>
      <c r="C36" t="s">
        <v>4024</v>
      </c>
      <c r="D36">
        <v>15</v>
      </c>
    </row>
    <row r="37" spans="1:4" x14ac:dyDescent="0.25">
      <c r="A37" t="s">
        <v>80</v>
      </c>
      <c r="B37" t="s">
        <v>932</v>
      </c>
      <c r="C37" t="s">
        <v>4025</v>
      </c>
      <c r="D37">
        <v>17</v>
      </c>
    </row>
    <row r="38" spans="1:4" x14ac:dyDescent="0.25">
      <c r="A38" t="s">
        <v>80</v>
      </c>
      <c r="B38" t="s">
        <v>691</v>
      </c>
      <c r="C38" t="s">
        <v>3396</v>
      </c>
      <c r="D38">
        <v>19</v>
      </c>
    </row>
    <row r="39" spans="1:4" x14ac:dyDescent="0.25">
      <c r="A39" t="s">
        <v>80</v>
      </c>
      <c r="B39" t="s">
        <v>398</v>
      </c>
      <c r="C39" t="s">
        <v>4026</v>
      </c>
      <c r="D39">
        <v>17</v>
      </c>
    </row>
    <row r="40" spans="1:4" x14ac:dyDescent="0.25">
      <c r="A40" t="s">
        <v>80</v>
      </c>
      <c r="B40" t="s">
        <v>398</v>
      </c>
      <c r="C40" t="s">
        <v>3015</v>
      </c>
      <c r="D40">
        <v>16</v>
      </c>
    </row>
    <row r="41" spans="1:4" x14ac:dyDescent="0.25">
      <c r="A41" t="s">
        <v>80</v>
      </c>
      <c r="B41" t="s">
        <v>332</v>
      </c>
      <c r="C41" t="s">
        <v>4027</v>
      </c>
      <c r="D41">
        <v>15</v>
      </c>
    </row>
    <row r="42" spans="1:4" x14ac:dyDescent="0.25">
      <c r="A42" t="s">
        <v>80</v>
      </c>
      <c r="B42" t="s">
        <v>865</v>
      </c>
      <c r="C42" t="s">
        <v>3671</v>
      </c>
      <c r="D42">
        <v>17</v>
      </c>
    </row>
    <row r="43" spans="1:4" x14ac:dyDescent="0.25">
      <c r="A43" t="s">
        <v>80</v>
      </c>
      <c r="B43" t="s">
        <v>648</v>
      </c>
      <c r="C43" t="s">
        <v>3376</v>
      </c>
      <c r="D43">
        <v>19</v>
      </c>
    </row>
    <row r="44" spans="1:4" x14ac:dyDescent="0.25">
      <c r="A44" t="s">
        <v>80</v>
      </c>
      <c r="B44" t="s">
        <v>870</v>
      </c>
      <c r="C44" t="s">
        <v>3843</v>
      </c>
      <c r="D44">
        <v>21</v>
      </c>
    </row>
    <row r="45" spans="1:4" x14ac:dyDescent="0.25">
      <c r="A45" t="s">
        <v>80</v>
      </c>
      <c r="B45" t="s">
        <v>1434</v>
      </c>
      <c r="C45" t="s">
        <v>2068</v>
      </c>
      <c r="D45">
        <v>18</v>
      </c>
    </row>
    <row r="46" spans="1:4" x14ac:dyDescent="0.25">
      <c r="A46" t="s">
        <v>80</v>
      </c>
      <c r="B46" t="s">
        <v>315</v>
      </c>
      <c r="C46" t="s">
        <v>2070</v>
      </c>
      <c r="D46">
        <v>21</v>
      </c>
    </row>
    <row r="47" spans="1:4" x14ac:dyDescent="0.25">
      <c r="A47" t="s">
        <v>80</v>
      </c>
      <c r="B47" t="s">
        <v>1442</v>
      </c>
      <c r="C47" t="s">
        <v>3061</v>
      </c>
      <c r="D47">
        <v>19</v>
      </c>
    </row>
    <row r="48" spans="1:4" x14ac:dyDescent="0.25">
      <c r="A48" t="s">
        <v>80</v>
      </c>
      <c r="B48" t="s">
        <v>924</v>
      </c>
      <c r="C48" t="s">
        <v>2787</v>
      </c>
      <c r="D48">
        <v>16</v>
      </c>
    </row>
    <row r="49" spans="1:4" x14ac:dyDescent="0.25">
      <c r="A49" t="s">
        <v>80</v>
      </c>
      <c r="B49" t="s">
        <v>1335</v>
      </c>
      <c r="C49" t="s">
        <v>3868</v>
      </c>
      <c r="D49">
        <v>17</v>
      </c>
    </row>
    <row r="50" spans="1:4" x14ac:dyDescent="0.25">
      <c r="A50" t="s">
        <v>80</v>
      </c>
      <c r="B50" t="s">
        <v>1335</v>
      </c>
      <c r="C50" t="s">
        <v>3064</v>
      </c>
      <c r="D50">
        <v>18</v>
      </c>
    </row>
    <row r="51" spans="1:4" x14ac:dyDescent="0.25">
      <c r="A51" t="s">
        <v>80</v>
      </c>
      <c r="B51" t="s">
        <v>31</v>
      </c>
      <c r="C51" t="s">
        <v>4028</v>
      </c>
      <c r="D51">
        <v>20</v>
      </c>
    </row>
    <row r="52" spans="1:4" x14ac:dyDescent="0.25">
      <c r="A52" t="s">
        <v>80</v>
      </c>
      <c r="B52" t="s">
        <v>233</v>
      </c>
      <c r="C52" t="s">
        <v>3133</v>
      </c>
      <c r="D52">
        <v>17</v>
      </c>
    </row>
    <row r="53" spans="1:4" x14ac:dyDescent="0.25">
      <c r="A53" t="s">
        <v>80</v>
      </c>
      <c r="B53" t="s">
        <v>1733</v>
      </c>
      <c r="C53" t="s">
        <v>3686</v>
      </c>
      <c r="D53">
        <v>16</v>
      </c>
    </row>
    <row r="54" spans="1:4" x14ac:dyDescent="0.25">
      <c r="A54" t="s">
        <v>80</v>
      </c>
      <c r="B54" t="s">
        <v>1733</v>
      </c>
      <c r="C54" t="s">
        <v>1685</v>
      </c>
      <c r="D54">
        <v>15</v>
      </c>
    </row>
    <row r="55" spans="1:4" x14ac:dyDescent="0.25">
      <c r="A55" t="s">
        <v>80</v>
      </c>
      <c r="B55" t="s">
        <v>38</v>
      </c>
      <c r="C55" t="s">
        <v>1686</v>
      </c>
      <c r="D55">
        <v>13</v>
      </c>
    </row>
    <row r="56" spans="1:4" x14ac:dyDescent="0.25">
      <c r="A56" t="s">
        <v>80</v>
      </c>
      <c r="B56" t="s">
        <v>38</v>
      </c>
      <c r="C56" t="s">
        <v>3066</v>
      </c>
      <c r="D56">
        <v>12</v>
      </c>
    </row>
    <row r="57" spans="1:4" x14ac:dyDescent="0.25">
      <c r="A57" t="s">
        <v>123</v>
      </c>
      <c r="B57" t="s">
        <v>1022</v>
      </c>
      <c r="C57" t="s">
        <v>1687</v>
      </c>
      <c r="D57">
        <v>10</v>
      </c>
    </row>
    <row r="58" spans="1:4" x14ac:dyDescent="0.25">
      <c r="A58" t="s">
        <v>123</v>
      </c>
      <c r="B58" t="s">
        <v>1493</v>
      </c>
      <c r="C58" t="s">
        <v>2937</v>
      </c>
      <c r="D58">
        <v>12</v>
      </c>
    </row>
    <row r="59" spans="1:4" x14ac:dyDescent="0.25">
      <c r="A59" t="s">
        <v>123</v>
      </c>
      <c r="B59" t="s">
        <v>832</v>
      </c>
      <c r="C59" t="s">
        <v>3664</v>
      </c>
      <c r="D59">
        <v>11</v>
      </c>
    </row>
    <row r="60" spans="1:4" x14ac:dyDescent="0.25">
      <c r="A60" t="s">
        <v>123</v>
      </c>
      <c r="B60" t="s">
        <v>832</v>
      </c>
      <c r="C60" t="s">
        <v>3724</v>
      </c>
      <c r="D60">
        <v>10</v>
      </c>
    </row>
    <row r="61" spans="1:4" x14ac:dyDescent="0.25">
      <c r="A61" t="s">
        <v>123</v>
      </c>
      <c r="B61" t="s">
        <v>802</v>
      </c>
      <c r="C61" t="s">
        <v>1956</v>
      </c>
      <c r="D61">
        <v>7</v>
      </c>
    </row>
    <row r="62" spans="1:4" x14ac:dyDescent="0.25">
      <c r="A62" t="s">
        <v>123</v>
      </c>
      <c r="B62" t="s">
        <v>17</v>
      </c>
      <c r="C62" t="s">
        <v>2673</v>
      </c>
      <c r="D62">
        <v>10</v>
      </c>
    </row>
    <row r="63" spans="1:4" x14ac:dyDescent="0.25">
      <c r="A63" t="s">
        <v>123</v>
      </c>
      <c r="B63" t="s">
        <v>370</v>
      </c>
      <c r="C63" t="s">
        <v>2674</v>
      </c>
      <c r="D63">
        <v>13</v>
      </c>
    </row>
    <row r="64" spans="1:4" x14ac:dyDescent="0.25">
      <c r="A64" t="s">
        <v>123</v>
      </c>
      <c r="B64" t="s">
        <v>762</v>
      </c>
      <c r="C64" t="s">
        <v>2869</v>
      </c>
      <c r="D64">
        <v>11</v>
      </c>
    </row>
    <row r="65" spans="1:4" x14ac:dyDescent="0.25">
      <c r="A65" t="s">
        <v>123</v>
      </c>
      <c r="B65" t="s">
        <v>284</v>
      </c>
      <c r="C65" t="s">
        <v>2991</v>
      </c>
      <c r="D65">
        <v>13</v>
      </c>
    </row>
    <row r="66" spans="1:4" x14ac:dyDescent="0.25">
      <c r="A66" t="s">
        <v>123</v>
      </c>
      <c r="B66" t="s">
        <v>114</v>
      </c>
      <c r="C66" t="s">
        <v>1471</v>
      </c>
      <c r="D66">
        <v>12</v>
      </c>
    </row>
    <row r="67" spans="1:4" x14ac:dyDescent="0.25">
      <c r="A67" t="s">
        <v>123</v>
      </c>
      <c r="B67" t="s">
        <v>1882</v>
      </c>
      <c r="C67" t="s">
        <v>2992</v>
      </c>
      <c r="D67">
        <v>10</v>
      </c>
    </row>
    <row r="68" spans="1:4" x14ac:dyDescent="0.25">
      <c r="A68" t="s">
        <v>123</v>
      </c>
      <c r="B68" t="s">
        <v>1129</v>
      </c>
      <c r="C68" t="s">
        <v>3443</v>
      </c>
      <c r="D68">
        <v>12</v>
      </c>
    </row>
    <row r="69" spans="1:4" x14ac:dyDescent="0.25">
      <c r="A69" t="s">
        <v>123</v>
      </c>
      <c r="B69" t="s">
        <v>1076</v>
      </c>
      <c r="C69" t="s">
        <v>2280</v>
      </c>
      <c r="D69">
        <v>9</v>
      </c>
    </row>
    <row r="70" spans="1:4" x14ac:dyDescent="0.25">
      <c r="A70" t="s">
        <v>123</v>
      </c>
      <c r="B70" t="s">
        <v>1180</v>
      </c>
      <c r="C70" t="s">
        <v>2281</v>
      </c>
      <c r="D70">
        <v>11</v>
      </c>
    </row>
    <row r="71" spans="1:4" x14ac:dyDescent="0.25">
      <c r="A71" t="s">
        <v>123</v>
      </c>
      <c r="B71" t="s">
        <v>683</v>
      </c>
      <c r="C71" t="s">
        <v>2282</v>
      </c>
      <c r="D71">
        <v>13</v>
      </c>
    </row>
    <row r="72" spans="1:4" x14ac:dyDescent="0.25">
      <c r="A72" t="s">
        <v>123</v>
      </c>
      <c r="B72" t="s">
        <v>38</v>
      </c>
      <c r="C72" t="s">
        <v>416</v>
      </c>
      <c r="D72">
        <v>10</v>
      </c>
    </row>
    <row r="74" spans="1:4" x14ac:dyDescent="0.25">
      <c r="A74" s="2" t="s">
        <v>157</v>
      </c>
    </row>
    <row r="75" spans="1:4" x14ac:dyDescent="0.25">
      <c r="A75" t="s">
        <v>158</v>
      </c>
      <c r="D75">
        <f>AVERAGE(D2:D72)</f>
        <v>8.76056338028169</v>
      </c>
    </row>
    <row r="76" spans="1:4" x14ac:dyDescent="0.25">
      <c r="A76" t="s">
        <v>159</v>
      </c>
      <c r="D76">
        <f>MAX(D2:D72)</f>
        <v>21</v>
      </c>
    </row>
    <row r="77" spans="1:4" x14ac:dyDescent="0.25">
      <c r="A77" t="s">
        <v>160</v>
      </c>
      <c r="D77">
        <f>MIN(D2:D72)</f>
        <v>-3</v>
      </c>
    </row>
    <row r="78" spans="1:4" x14ac:dyDescent="0.25">
      <c r="A78" t="s">
        <v>161</v>
      </c>
      <c r="D78">
        <f>COUNTIF(D2:D72,"&gt;0")</f>
        <v>56</v>
      </c>
    </row>
    <row r="79" spans="1:4" x14ac:dyDescent="0.25">
      <c r="A79" t="s">
        <v>162</v>
      </c>
      <c r="D79">
        <f>COUNTIF(D2:D72,"=0")</f>
        <v>1</v>
      </c>
    </row>
    <row r="80" spans="1:4" x14ac:dyDescent="0.25">
      <c r="A80" t="s">
        <v>1740</v>
      </c>
      <c r="D80">
        <f>COUNTIF(D2:D72,"&lt;0")</f>
        <v>14</v>
      </c>
    </row>
    <row r="82" spans="1:4" x14ac:dyDescent="0.25">
      <c r="A82" s="2" t="s">
        <v>164</v>
      </c>
    </row>
    <row r="83" spans="1:4" x14ac:dyDescent="0.25">
      <c r="A83" t="s">
        <v>165</v>
      </c>
      <c r="D83">
        <f>AVERAGE(D2,D3,D4,D5,D6,D7,D8,D9,D10,D11,D12,D13,D14,D15,D16,D17,D18)</f>
        <v>-0.29411764705882354</v>
      </c>
    </row>
    <row r="84" spans="1:4" x14ac:dyDescent="0.25">
      <c r="A84" t="s">
        <v>166</v>
      </c>
      <c r="D84">
        <f>AVERAGE(D19,D20,D21,D22,D23,D24,D25,D26,D27,D28,D29,D30,D31,D32,D33,D34,D35,D36)</f>
        <v>6.1111111111111107</v>
      </c>
    </row>
    <row r="85" spans="1:4" x14ac:dyDescent="0.25">
      <c r="A85" t="s">
        <v>167</v>
      </c>
      <c r="D85">
        <f>AVERAGE(D37,D38,D39,D40,D41,D42,D43,D44,D45,D46,D47,D48,D49,D50,D51,D52,D53,D54,D55,D56)</f>
        <v>17.149999999999999</v>
      </c>
    </row>
    <row r="86" spans="1:4" x14ac:dyDescent="0.25">
      <c r="A86" t="s">
        <v>168</v>
      </c>
      <c r="D86">
        <f>AVERAGE(D57,D58,D59,D60,D61,D62,D63,D64,D65,D66,D67,D68,D69,D70,D71,D72)</f>
        <v>10.875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1024</v>
      </c>
      <c r="C2" t="s">
        <v>6</v>
      </c>
      <c r="D2">
        <v>2</v>
      </c>
    </row>
    <row r="3" spans="1:4" x14ac:dyDescent="0.25">
      <c r="A3" t="s">
        <v>4</v>
      </c>
      <c r="B3" t="s">
        <v>1346</v>
      </c>
      <c r="C3" t="s">
        <v>8</v>
      </c>
      <c r="D3">
        <v>0</v>
      </c>
    </row>
    <row r="4" spans="1:4" x14ac:dyDescent="0.25">
      <c r="A4" t="s">
        <v>4</v>
      </c>
      <c r="B4" t="s">
        <v>83</v>
      </c>
      <c r="C4" t="s">
        <v>1347</v>
      </c>
      <c r="D4">
        <v>3</v>
      </c>
    </row>
    <row r="5" spans="1:4" x14ac:dyDescent="0.25">
      <c r="A5" t="s">
        <v>4</v>
      </c>
      <c r="B5" t="s">
        <v>355</v>
      </c>
      <c r="C5" t="s">
        <v>2592</v>
      </c>
      <c r="D5">
        <v>5</v>
      </c>
    </row>
    <row r="6" spans="1:4" x14ac:dyDescent="0.25">
      <c r="A6" t="s">
        <v>4</v>
      </c>
      <c r="B6" t="s">
        <v>497</v>
      </c>
      <c r="C6" t="s">
        <v>1348</v>
      </c>
      <c r="D6">
        <v>3</v>
      </c>
    </row>
    <row r="7" spans="1:4" x14ac:dyDescent="0.25">
      <c r="A7" t="s">
        <v>4</v>
      </c>
      <c r="B7" t="s">
        <v>804</v>
      </c>
      <c r="C7" t="s">
        <v>182</v>
      </c>
      <c r="D7">
        <v>5</v>
      </c>
    </row>
    <row r="8" spans="1:4" x14ac:dyDescent="0.25">
      <c r="A8" t="s">
        <v>4</v>
      </c>
      <c r="B8" t="s">
        <v>1817</v>
      </c>
      <c r="C8" t="s">
        <v>2645</v>
      </c>
      <c r="D8">
        <v>7</v>
      </c>
    </row>
    <row r="9" spans="1:4" x14ac:dyDescent="0.25">
      <c r="A9" t="s">
        <v>4</v>
      </c>
      <c r="B9" t="s">
        <v>2250</v>
      </c>
      <c r="C9" t="s">
        <v>2646</v>
      </c>
      <c r="D9">
        <v>9</v>
      </c>
    </row>
    <row r="10" spans="1:4" x14ac:dyDescent="0.25">
      <c r="A10" t="s">
        <v>4</v>
      </c>
      <c r="B10" t="s">
        <v>1503</v>
      </c>
      <c r="C10" t="s">
        <v>4029</v>
      </c>
      <c r="D10">
        <v>11</v>
      </c>
    </row>
    <row r="11" spans="1:4" x14ac:dyDescent="0.25">
      <c r="A11" t="s">
        <v>4</v>
      </c>
      <c r="B11" t="s">
        <v>288</v>
      </c>
      <c r="C11" t="s">
        <v>4030</v>
      </c>
      <c r="D11">
        <v>13</v>
      </c>
    </row>
    <row r="12" spans="1:4" x14ac:dyDescent="0.25">
      <c r="A12" t="s">
        <v>4</v>
      </c>
      <c r="B12" t="s">
        <v>876</v>
      </c>
      <c r="C12" t="s">
        <v>4031</v>
      </c>
      <c r="D12">
        <v>15</v>
      </c>
    </row>
    <row r="13" spans="1:4" x14ac:dyDescent="0.25">
      <c r="A13" t="s">
        <v>4</v>
      </c>
      <c r="B13" t="s">
        <v>1843</v>
      </c>
      <c r="C13" t="s">
        <v>2515</v>
      </c>
      <c r="D13">
        <v>12</v>
      </c>
    </row>
    <row r="14" spans="1:4" x14ac:dyDescent="0.25">
      <c r="A14" t="s">
        <v>4</v>
      </c>
      <c r="B14" t="s">
        <v>996</v>
      </c>
      <c r="C14" t="s">
        <v>2516</v>
      </c>
      <c r="D14">
        <v>11</v>
      </c>
    </row>
    <row r="15" spans="1:4" x14ac:dyDescent="0.25">
      <c r="A15" t="s">
        <v>4</v>
      </c>
      <c r="B15" t="s">
        <v>554</v>
      </c>
      <c r="C15" t="s">
        <v>2921</v>
      </c>
      <c r="D15">
        <v>8</v>
      </c>
    </row>
    <row r="16" spans="1:4" x14ac:dyDescent="0.25">
      <c r="A16" t="s">
        <v>4</v>
      </c>
      <c r="B16" t="s">
        <v>298</v>
      </c>
      <c r="C16" t="s">
        <v>1357</v>
      </c>
      <c r="D16">
        <v>9</v>
      </c>
    </row>
    <row r="17" spans="1:4" x14ac:dyDescent="0.25">
      <c r="A17" t="s">
        <v>4</v>
      </c>
      <c r="B17" t="s">
        <v>298</v>
      </c>
      <c r="C17" t="s">
        <v>1358</v>
      </c>
      <c r="D17">
        <v>10</v>
      </c>
    </row>
    <row r="18" spans="1:4" x14ac:dyDescent="0.25">
      <c r="A18" t="s">
        <v>4</v>
      </c>
      <c r="B18" t="s">
        <v>683</v>
      </c>
      <c r="C18" t="s">
        <v>328</v>
      </c>
      <c r="D18">
        <v>7</v>
      </c>
    </row>
    <row r="19" spans="1:4" x14ac:dyDescent="0.25">
      <c r="A19" t="s">
        <v>40</v>
      </c>
      <c r="B19" t="s">
        <v>1055</v>
      </c>
      <c r="C19" t="s">
        <v>2924</v>
      </c>
      <c r="D19">
        <v>10</v>
      </c>
    </row>
    <row r="20" spans="1:4" x14ac:dyDescent="0.25">
      <c r="A20" t="s">
        <v>40</v>
      </c>
      <c r="B20" t="s">
        <v>170</v>
      </c>
      <c r="C20" t="s">
        <v>2540</v>
      </c>
      <c r="D20">
        <v>8</v>
      </c>
    </row>
    <row r="21" spans="1:4" x14ac:dyDescent="0.25">
      <c r="A21" t="s">
        <v>40</v>
      </c>
      <c r="B21" t="s">
        <v>273</v>
      </c>
      <c r="C21" t="s">
        <v>206</v>
      </c>
      <c r="D21">
        <v>6</v>
      </c>
    </row>
    <row r="22" spans="1:4" x14ac:dyDescent="0.25">
      <c r="A22" t="s">
        <v>40</v>
      </c>
      <c r="B22" t="s">
        <v>721</v>
      </c>
      <c r="C22" t="s">
        <v>1025</v>
      </c>
      <c r="D22">
        <v>8</v>
      </c>
    </row>
    <row r="23" spans="1:4" x14ac:dyDescent="0.25">
      <c r="A23" t="s">
        <v>40</v>
      </c>
      <c r="B23" t="s">
        <v>211</v>
      </c>
      <c r="C23" t="s">
        <v>1582</v>
      </c>
      <c r="D23">
        <v>9</v>
      </c>
    </row>
    <row r="24" spans="1:4" x14ac:dyDescent="0.25">
      <c r="A24" t="s">
        <v>40</v>
      </c>
      <c r="B24" t="s">
        <v>211</v>
      </c>
      <c r="C24" t="s">
        <v>1026</v>
      </c>
      <c r="D24">
        <v>10</v>
      </c>
    </row>
    <row r="25" spans="1:4" x14ac:dyDescent="0.25">
      <c r="A25" t="s">
        <v>40</v>
      </c>
      <c r="B25" t="s">
        <v>1119</v>
      </c>
      <c r="C25" t="s">
        <v>2648</v>
      </c>
      <c r="D25">
        <v>11</v>
      </c>
    </row>
    <row r="26" spans="1:4" x14ac:dyDescent="0.25">
      <c r="A26" t="s">
        <v>40</v>
      </c>
      <c r="B26" t="s">
        <v>1119</v>
      </c>
      <c r="C26" t="s">
        <v>1028</v>
      </c>
      <c r="D26">
        <v>12</v>
      </c>
    </row>
    <row r="27" spans="1:4" x14ac:dyDescent="0.25">
      <c r="A27" t="s">
        <v>40</v>
      </c>
      <c r="B27" t="s">
        <v>1146</v>
      </c>
      <c r="C27" t="s">
        <v>3088</v>
      </c>
      <c r="D27">
        <v>10</v>
      </c>
    </row>
    <row r="28" spans="1:4" x14ac:dyDescent="0.25">
      <c r="A28" t="s">
        <v>40</v>
      </c>
      <c r="B28" t="s">
        <v>91</v>
      </c>
      <c r="C28" t="s">
        <v>1031</v>
      </c>
      <c r="D28">
        <v>13</v>
      </c>
    </row>
    <row r="29" spans="1:4" x14ac:dyDescent="0.25">
      <c r="A29" t="s">
        <v>40</v>
      </c>
      <c r="B29" t="s">
        <v>254</v>
      </c>
      <c r="C29" t="s">
        <v>3122</v>
      </c>
      <c r="D29">
        <v>10</v>
      </c>
    </row>
    <row r="30" spans="1:4" x14ac:dyDescent="0.25">
      <c r="A30" t="s">
        <v>40</v>
      </c>
      <c r="B30" t="s">
        <v>2170</v>
      </c>
      <c r="C30" t="s">
        <v>2527</v>
      </c>
      <c r="D30">
        <v>7</v>
      </c>
    </row>
    <row r="31" spans="1:4" x14ac:dyDescent="0.25">
      <c r="A31" t="s">
        <v>40</v>
      </c>
      <c r="B31" t="s">
        <v>374</v>
      </c>
      <c r="C31" t="s">
        <v>2528</v>
      </c>
      <c r="D31">
        <v>9</v>
      </c>
    </row>
    <row r="32" spans="1:4" x14ac:dyDescent="0.25">
      <c r="A32" t="s">
        <v>40</v>
      </c>
      <c r="B32" t="s">
        <v>467</v>
      </c>
      <c r="C32" t="s">
        <v>2704</v>
      </c>
      <c r="D32">
        <v>6</v>
      </c>
    </row>
    <row r="33" spans="1:4" x14ac:dyDescent="0.25">
      <c r="A33" t="s">
        <v>40</v>
      </c>
      <c r="B33" t="s">
        <v>2048</v>
      </c>
      <c r="C33" t="s">
        <v>1215</v>
      </c>
      <c r="D33">
        <v>8</v>
      </c>
    </row>
    <row r="34" spans="1:4" x14ac:dyDescent="0.25">
      <c r="A34" t="s">
        <v>40</v>
      </c>
      <c r="B34" t="s">
        <v>788</v>
      </c>
      <c r="C34" t="s">
        <v>3124</v>
      </c>
      <c r="D34">
        <v>10</v>
      </c>
    </row>
    <row r="35" spans="1:4" x14ac:dyDescent="0.25">
      <c r="A35" t="s">
        <v>40</v>
      </c>
      <c r="B35" t="s">
        <v>1874</v>
      </c>
      <c r="C35" t="s">
        <v>3027</v>
      </c>
      <c r="D35">
        <v>9</v>
      </c>
    </row>
    <row r="36" spans="1:4" x14ac:dyDescent="0.25">
      <c r="A36" t="s">
        <v>40</v>
      </c>
      <c r="B36" t="s">
        <v>1874</v>
      </c>
      <c r="C36" t="s">
        <v>942</v>
      </c>
      <c r="D36">
        <v>8</v>
      </c>
    </row>
    <row r="37" spans="1:4" x14ac:dyDescent="0.25">
      <c r="A37" t="s">
        <v>40</v>
      </c>
      <c r="B37" t="s">
        <v>1874</v>
      </c>
      <c r="C37" t="s">
        <v>2565</v>
      </c>
      <c r="D37">
        <v>7</v>
      </c>
    </row>
    <row r="38" spans="1:4" x14ac:dyDescent="0.25">
      <c r="A38" t="s">
        <v>40</v>
      </c>
      <c r="B38" t="s">
        <v>1002</v>
      </c>
      <c r="C38" t="s">
        <v>2980</v>
      </c>
      <c r="D38">
        <v>9</v>
      </c>
    </row>
    <row r="39" spans="1:4" x14ac:dyDescent="0.25">
      <c r="A39" t="s">
        <v>80</v>
      </c>
      <c r="B39" t="s">
        <v>239</v>
      </c>
      <c r="C39" t="s">
        <v>1670</v>
      </c>
      <c r="D39">
        <v>7</v>
      </c>
    </row>
    <row r="40" spans="1:4" x14ac:dyDescent="0.25">
      <c r="A40" t="s">
        <v>80</v>
      </c>
      <c r="B40" t="s">
        <v>1210</v>
      </c>
      <c r="C40" t="s">
        <v>2270</v>
      </c>
      <c r="D40">
        <v>5</v>
      </c>
    </row>
    <row r="41" spans="1:4" x14ac:dyDescent="0.25">
      <c r="A41" t="s">
        <v>80</v>
      </c>
      <c r="B41" t="s">
        <v>1143</v>
      </c>
      <c r="C41" t="s">
        <v>1142</v>
      </c>
      <c r="D41">
        <v>8</v>
      </c>
    </row>
    <row r="42" spans="1:4" x14ac:dyDescent="0.25">
      <c r="A42" t="s">
        <v>80</v>
      </c>
      <c r="B42" t="s">
        <v>1011</v>
      </c>
      <c r="C42" t="s">
        <v>3683</v>
      </c>
      <c r="D42">
        <v>10</v>
      </c>
    </row>
    <row r="43" spans="1:4" x14ac:dyDescent="0.25">
      <c r="A43" t="s">
        <v>80</v>
      </c>
      <c r="B43" t="s">
        <v>1498</v>
      </c>
      <c r="C43" t="s">
        <v>1944</v>
      </c>
      <c r="D43">
        <v>11</v>
      </c>
    </row>
    <row r="44" spans="1:4" x14ac:dyDescent="0.25">
      <c r="A44" t="s">
        <v>80</v>
      </c>
      <c r="B44" t="s">
        <v>1498</v>
      </c>
      <c r="C44" t="s">
        <v>2784</v>
      </c>
      <c r="D44">
        <v>12</v>
      </c>
    </row>
    <row r="45" spans="1:4" x14ac:dyDescent="0.25">
      <c r="A45" t="s">
        <v>80</v>
      </c>
      <c r="B45" t="s">
        <v>700</v>
      </c>
      <c r="C45" t="s">
        <v>2981</v>
      </c>
      <c r="D45">
        <v>15</v>
      </c>
    </row>
    <row r="46" spans="1:4" x14ac:dyDescent="0.25">
      <c r="A46" t="s">
        <v>80</v>
      </c>
      <c r="B46" t="s">
        <v>890</v>
      </c>
      <c r="C46" t="s">
        <v>3995</v>
      </c>
      <c r="D46">
        <v>14</v>
      </c>
    </row>
    <row r="47" spans="1:4" x14ac:dyDescent="0.25">
      <c r="A47" t="s">
        <v>80</v>
      </c>
      <c r="B47" t="s">
        <v>890</v>
      </c>
      <c r="C47" t="s">
        <v>1677</v>
      </c>
      <c r="D47">
        <v>13</v>
      </c>
    </row>
    <row r="48" spans="1:4" x14ac:dyDescent="0.25">
      <c r="A48" t="s">
        <v>80</v>
      </c>
      <c r="B48" t="s">
        <v>1940</v>
      </c>
      <c r="C48" t="s">
        <v>1149</v>
      </c>
      <c r="D48">
        <v>11</v>
      </c>
    </row>
    <row r="49" spans="1:4" x14ac:dyDescent="0.25">
      <c r="A49" t="s">
        <v>80</v>
      </c>
      <c r="B49" t="s">
        <v>612</v>
      </c>
      <c r="C49" t="s">
        <v>2599</v>
      </c>
      <c r="D49">
        <v>8</v>
      </c>
    </row>
    <row r="50" spans="1:4" x14ac:dyDescent="0.25">
      <c r="A50" t="s">
        <v>80</v>
      </c>
      <c r="B50" t="s">
        <v>1990</v>
      </c>
      <c r="C50" t="s">
        <v>2600</v>
      </c>
      <c r="D50">
        <v>10</v>
      </c>
    </row>
    <row r="51" spans="1:4" x14ac:dyDescent="0.25">
      <c r="A51" t="s">
        <v>80</v>
      </c>
      <c r="B51" t="s">
        <v>78</v>
      </c>
      <c r="C51" t="s">
        <v>1682</v>
      </c>
      <c r="D51">
        <v>12</v>
      </c>
    </row>
    <row r="52" spans="1:4" x14ac:dyDescent="0.25">
      <c r="A52" t="s">
        <v>123</v>
      </c>
      <c r="B52" t="s">
        <v>325</v>
      </c>
      <c r="C52" t="s">
        <v>2666</v>
      </c>
      <c r="D52">
        <v>14</v>
      </c>
    </row>
    <row r="53" spans="1:4" x14ac:dyDescent="0.25">
      <c r="A53" t="s">
        <v>123</v>
      </c>
      <c r="B53" t="s">
        <v>2570</v>
      </c>
      <c r="C53" t="s">
        <v>3065</v>
      </c>
      <c r="D53">
        <v>16</v>
      </c>
    </row>
    <row r="54" spans="1:4" x14ac:dyDescent="0.25">
      <c r="A54" t="s">
        <v>123</v>
      </c>
      <c r="B54" t="s">
        <v>490</v>
      </c>
      <c r="C54" t="s">
        <v>1684</v>
      </c>
      <c r="D54">
        <v>13</v>
      </c>
    </row>
    <row r="55" spans="1:4" x14ac:dyDescent="0.25">
      <c r="A55" t="s">
        <v>123</v>
      </c>
      <c r="B55" t="s">
        <v>1666</v>
      </c>
      <c r="C55" t="s">
        <v>2985</v>
      </c>
      <c r="D55">
        <v>16</v>
      </c>
    </row>
    <row r="56" spans="1:4" x14ac:dyDescent="0.25">
      <c r="A56" t="s">
        <v>123</v>
      </c>
      <c r="B56" t="s">
        <v>87</v>
      </c>
      <c r="C56" t="s">
        <v>2986</v>
      </c>
      <c r="D56">
        <v>14</v>
      </c>
    </row>
    <row r="57" spans="1:4" x14ac:dyDescent="0.25">
      <c r="A57" t="s">
        <v>123</v>
      </c>
      <c r="B57" t="s">
        <v>250</v>
      </c>
      <c r="C57" t="s">
        <v>1467</v>
      </c>
      <c r="D57">
        <v>11</v>
      </c>
    </row>
    <row r="58" spans="1:4" x14ac:dyDescent="0.25">
      <c r="A58" t="s">
        <v>123</v>
      </c>
      <c r="B58" t="s">
        <v>213</v>
      </c>
      <c r="C58" t="s">
        <v>4032</v>
      </c>
      <c r="D58">
        <v>13</v>
      </c>
    </row>
    <row r="59" spans="1:4" x14ac:dyDescent="0.25">
      <c r="A59" t="s">
        <v>123</v>
      </c>
      <c r="B59" t="s">
        <v>58</v>
      </c>
      <c r="C59" t="s">
        <v>2938</v>
      </c>
      <c r="D59">
        <v>14</v>
      </c>
    </row>
    <row r="60" spans="1:4" x14ac:dyDescent="0.25">
      <c r="A60" t="s">
        <v>123</v>
      </c>
      <c r="B60" t="s">
        <v>58</v>
      </c>
      <c r="C60" t="s">
        <v>2939</v>
      </c>
      <c r="D60">
        <v>15</v>
      </c>
    </row>
    <row r="61" spans="1:4" x14ac:dyDescent="0.25">
      <c r="A61" t="s">
        <v>123</v>
      </c>
      <c r="B61" t="s">
        <v>1775</v>
      </c>
      <c r="C61" t="s">
        <v>2940</v>
      </c>
      <c r="D61">
        <v>17</v>
      </c>
    </row>
    <row r="62" spans="1:4" x14ac:dyDescent="0.25">
      <c r="A62" t="s">
        <v>123</v>
      </c>
      <c r="B62" t="s">
        <v>872</v>
      </c>
      <c r="C62" t="s">
        <v>3182</v>
      </c>
      <c r="D62">
        <v>18</v>
      </c>
    </row>
    <row r="63" spans="1:4" x14ac:dyDescent="0.25">
      <c r="A63" t="s">
        <v>123</v>
      </c>
      <c r="B63" t="s">
        <v>872</v>
      </c>
      <c r="C63" t="s">
        <v>974</v>
      </c>
      <c r="D63">
        <v>19</v>
      </c>
    </row>
    <row r="64" spans="1:4" x14ac:dyDescent="0.25">
      <c r="A64" t="s">
        <v>123</v>
      </c>
      <c r="B64" t="s">
        <v>519</v>
      </c>
      <c r="C64" t="s">
        <v>975</v>
      </c>
      <c r="D64">
        <v>21</v>
      </c>
    </row>
    <row r="65" spans="1:4" x14ac:dyDescent="0.25">
      <c r="A65" t="s">
        <v>123</v>
      </c>
      <c r="B65" t="s">
        <v>339</v>
      </c>
      <c r="C65" t="s">
        <v>2376</v>
      </c>
      <c r="D65">
        <v>18</v>
      </c>
    </row>
    <row r="66" spans="1:4" x14ac:dyDescent="0.25">
      <c r="A66" t="s">
        <v>123</v>
      </c>
      <c r="B66" t="s">
        <v>747</v>
      </c>
      <c r="C66" t="s">
        <v>3852</v>
      </c>
      <c r="D66">
        <v>20</v>
      </c>
    </row>
    <row r="67" spans="1:4" x14ac:dyDescent="0.25">
      <c r="A67" t="s">
        <v>123</v>
      </c>
      <c r="B67" t="s">
        <v>142</v>
      </c>
      <c r="C67" t="s">
        <v>978</v>
      </c>
      <c r="D67">
        <v>18</v>
      </c>
    </row>
    <row r="68" spans="1:4" x14ac:dyDescent="0.25">
      <c r="A68" t="s">
        <v>123</v>
      </c>
      <c r="B68" t="s">
        <v>142</v>
      </c>
      <c r="C68" t="s">
        <v>4006</v>
      </c>
      <c r="D68">
        <v>17</v>
      </c>
    </row>
    <row r="69" spans="1:4" x14ac:dyDescent="0.25">
      <c r="A69" t="s">
        <v>123</v>
      </c>
      <c r="B69" t="s">
        <v>544</v>
      </c>
      <c r="C69" t="s">
        <v>2840</v>
      </c>
      <c r="D69">
        <v>20</v>
      </c>
    </row>
    <row r="70" spans="1:4" x14ac:dyDescent="0.25">
      <c r="A70" t="s">
        <v>123</v>
      </c>
      <c r="B70" t="s">
        <v>444</v>
      </c>
      <c r="C70" t="s">
        <v>2093</v>
      </c>
      <c r="D70">
        <v>22</v>
      </c>
    </row>
    <row r="71" spans="1:4" x14ac:dyDescent="0.25">
      <c r="A71" t="s">
        <v>123</v>
      </c>
      <c r="B71" t="s">
        <v>788</v>
      </c>
      <c r="C71" t="s">
        <v>3415</v>
      </c>
      <c r="D71">
        <v>24</v>
      </c>
    </row>
    <row r="72" spans="1:4" x14ac:dyDescent="0.25">
      <c r="A72" t="s">
        <v>123</v>
      </c>
      <c r="B72" t="s">
        <v>29</v>
      </c>
      <c r="C72" t="s">
        <v>4033</v>
      </c>
      <c r="D72">
        <v>26</v>
      </c>
    </row>
    <row r="73" spans="1:4" x14ac:dyDescent="0.25">
      <c r="A73" t="s">
        <v>123</v>
      </c>
      <c r="B73" t="s">
        <v>1115</v>
      </c>
      <c r="C73" t="s">
        <v>3416</v>
      </c>
      <c r="D73">
        <v>29</v>
      </c>
    </row>
    <row r="74" spans="1:4" x14ac:dyDescent="0.25">
      <c r="A74" t="s">
        <v>123</v>
      </c>
      <c r="B74" t="s">
        <v>584</v>
      </c>
      <c r="C74" t="s">
        <v>4034</v>
      </c>
      <c r="D74">
        <v>26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11.876712328767123</v>
      </c>
    </row>
    <row r="78" spans="1:4" x14ac:dyDescent="0.25">
      <c r="A78" t="s">
        <v>159</v>
      </c>
      <c r="D78">
        <f>MAX(D2:D74)</f>
        <v>29</v>
      </c>
    </row>
    <row r="79" spans="1:4" x14ac:dyDescent="0.25">
      <c r="A79" t="s">
        <v>160</v>
      </c>
      <c r="D79">
        <f>MIN(D2:D74)</f>
        <v>0</v>
      </c>
    </row>
    <row r="80" spans="1:4" x14ac:dyDescent="0.25">
      <c r="A80" t="s">
        <v>161</v>
      </c>
      <c r="D80">
        <f>COUNTIF(D2:D74,"&gt;0")</f>
        <v>72</v>
      </c>
    </row>
    <row r="81" spans="1:4" x14ac:dyDescent="0.25">
      <c r="A81" t="s">
        <v>162</v>
      </c>
      <c r="D81">
        <f>COUNTIF(D2:D74,"=0")</f>
        <v>1</v>
      </c>
    </row>
    <row r="82" spans="1:4" x14ac:dyDescent="0.25">
      <c r="A82" t="s">
        <v>1428</v>
      </c>
      <c r="D82">
        <f>COUNTIF(D2:D74,"&lt;0")</f>
        <v>0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AVERAGE(D2,D3,D4,D5,D6,D7,D8,D9,D10,D11,D12,D13,D14,D15,D16,D17,D18)</f>
        <v>7.6470588235294121</v>
      </c>
    </row>
    <row r="86" spans="1:4" x14ac:dyDescent="0.25">
      <c r="A86" t="s">
        <v>166</v>
      </c>
      <c r="D86">
        <f>AVERAGE(D19,D20,D21,D22,D23,D24,D25,D26,D27,D28,D29,D30,D31,D32,D33,D34,D35,D36,D37,D38)</f>
        <v>9</v>
      </c>
    </row>
    <row r="87" spans="1:4" x14ac:dyDescent="0.25">
      <c r="A87" t="s">
        <v>167</v>
      </c>
      <c r="D87">
        <f>AVERAGE(D39,D40,D41,D42,D43,D44,D45,D46,D47,D48,D49,D50,D51)</f>
        <v>10.461538461538462</v>
      </c>
    </row>
    <row r="88" spans="1:4" x14ac:dyDescent="0.25">
      <c r="A88" t="s">
        <v>168</v>
      </c>
      <c r="D88">
        <f>AVERAGE(D52,D53,D54,D55,D56,D57,D58,D59,D60,D61,D62,D63,D64,D65,D66,D67,D68,D69,D70,D71,D72,D73,D74)</f>
        <v>18.304347826086957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1430</v>
      </c>
      <c r="C2" t="s">
        <v>6</v>
      </c>
      <c r="D2">
        <v>2</v>
      </c>
    </row>
    <row r="3" spans="1:4" x14ac:dyDescent="0.25">
      <c r="A3" t="s">
        <v>4</v>
      </c>
      <c r="B3" t="s">
        <v>128</v>
      </c>
      <c r="C3" t="s">
        <v>8</v>
      </c>
      <c r="D3">
        <v>0</v>
      </c>
    </row>
    <row r="4" spans="1:4" x14ac:dyDescent="0.25">
      <c r="A4" t="s">
        <v>4</v>
      </c>
      <c r="B4" t="s">
        <v>2151</v>
      </c>
      <c r="C4" t="s">
        <v>564</v>
      </c>
      <c r="D4">
        <v>2</v>
      </c>
    </row>
    <row r="5" spans="1:4" x14ac:dyDescent="0.25">
      <c r="A5" t="s">
        <v>4</v>
      </c>
      <c r="B5" t="s">
        <v>208</v>
      </c>
      <c r="C5" t="s">
        <v>176</v>
      </c>
      <c r="D5">
        <v>4</v>
      </c>
    </row>
    <row r="6" spans="1:4" x14ac:dyDescent="0.25">
      <c r="A6" t="s">
        <v>4</v>
      </c>
      <c r="B6" t="s">
        <v>1146</v>
      </c>
      <c r="C6" t="s">
        <v>178</v>
      </c>
      <c r="D6">
        <v>2</v>
      </c>
    </row>
    <row r="7" spans="1:4" x14ac:dyDescent="0.25">
      <c r="A7" t="s">
        <v>4</v>
      </c>
      <c r="B7" t="s">
        <v>13</v>
      </c>
      <c r="C7" t="s">
        <v>180</v>
      </c>
      <c r="D7">
        <v>4</v>
      </c>
    </row>
    <row r="8" spans="1:4" x14ac:dyDescent="0.25">
      <c r="A8" t="s">
        <v>4</v>
      </c>
      <c r="B8" t="s">
        <v>1069</v>
      </c>
      <c r="C8" t="s">
        <v>183</v>
      </c>
      <c r="D8">
        <v>6</v>
      </c>
    </row>
    <row r="9" spans="1:4" x14ac:dyDescent="0.25">
      <c r="A9" t="s">
        <v>4</v>
      </c>
      <c r="B9" t="s">
        <v>1775</v>
      </c>
      <c r="C9" t="s">
        <v>1351</v>
      </c>
      <c r="D9">
        <v>3</v>
      </c>
    </row>
    <row r="10" spans="1:4" x14ac:dyDescent="0.25">
      <c r="A10" t="s">
        <v>4</v>
      </c>
      <c r="B10" t="s">
        <v>223</v>
      </c>
      <c r="C10" t="s">
        <v>1352</v>
      </c>
      <c r="D10">
        <v>4</v>
      </c>
    </row>
    <row r="11" spans="1:4" x14ac:dyDescent="0.25">
      <c r="A11" t="s">
        <v>4</v>
      </c>
      <c r="B11" t="s">
        <v>2120</v>
      </c>
      <c r="C11" t="s">
        <v>2647</v>
      </c>
      <c r="D11">
        <v>6</v>
      </c>
    </row>
    <row r="12" spans="1:4" x14ac:dyDescent="0.25">
      <c r="A12" t="s">
        <v>4</v>
      </c>
      <c r="B12" t="s">
        <v>144</v>
      </c>
      <c r="C12" t="s">
        <v>1014</v>
      </c>
      <c r="D12">
        <v>8</v>
      </c>
    </row>
    <row r="13" spans="1:4" x14ac:dyDescent="0.25">
      <c r="A13" t="s">
        <v>4</v>
      </c>
      <c r="B13" t="s">
        <v>813</v>
      </c>
      <c r="C13" t="s">
        <v>1273</v>
      </c>
      <c r="D13">
        <v>10</v>
      </c>
    </row>
    <row r="14" spans="1:4" x14ac:dyDescent="0.25">
      <c r="A14" t="s">
        <v>4</v>
      </c>
      <c r="B14" t="s">
        <v>1339</v>
      </c>
      <c r="C14" t="s">
        <v>3043</v>
      </c>
      <c r="D14">
        <v>13</v>
      </c>
    </row>
    <row r="15" spans="1:4" x14ac:dyDescent="0.25">
      <c r="A15" t="s">
        <v>4</v>
      </c>
      <c r="B15" t="s">
        <v>552</v>
      </c>
      <c r="C15" t="s">
        <v>1017</v>
      </c>
      <c r="D15">
        <v>12</v>
      </c>
    </row>
    <row r="16" spans="1:4" x14ac:dyDescent="0.25">
      <c r="A16" t="s">
        <v>4</v>
      </c>
      <c r="B16" t="s">
        <v>1115</v>
      </c>
      <c r="C16" t="s">
        <v>3371</v>
      </c>
      <c r="D16">
        <v>14</v>
      </c>
    </row>
    <row r="17" spans="1:4" x14ac:dyDescent="0.25">
      <c r="A17" t="s">
        <v>4</v>
      </c>
      <c r="B17" t="s">
        <v>394</v>
      </c>
      <c r="C17" t="s">
        <v>2893</v>
      </c>
      <c r="D17">
        <v>12</v>
      </c>
    </row>
    <row r="18" spans="1:4" x14ac:dyDescent="0.25">
      <c r="A18" t="s">
        <v>4</v>
      </c>
      <c r="B18" t="s">
        <v>76</v>
      </c>
      <c r="C18" t="s">
        <v>4035</v>
      </c>
      <c r="D18">
        <v>15</v>
      </c>
    </row>
    <row r="19" spans="1:4" x14ac:dyDescent="0.25">
      <c r="A19" t="s">
        <v>40</v>
      </c>
      <c r="B19" t="s">
        <v>1055</v>
      </c>
      <c r="C19" t="s">
        <v>3730</v>
      </c>
      <c r="D19">
        <v>13</v>
      </c>
    </row>
    <row r="20" spans="1:4" x14ac:dyDescent="0.25">
      <c r="A20" t="s">
        <v>40</v>
      </c>
      <c r="B20" t="s">
        <v>81</v>
      </c>
      <c r="C20" t="s">
        <v>2897</v>
      </c>
      <c r="D20">
        <v>15</v>
      </c>
    </row>
    <row r="21" spans="1:4" x14ac:dyDescent="0.25">
      <c r="A21" t="s">
        <v>40</v>
      </c>
      <c r="B21" t="s">
        <v>1138</v>
      </c>
      <c r="C21" t="s">
        <v>3227</v>
      </c>
      <c r="D21">
        <v>13</v>
      </c>
    </row>
    <row r="22" spans="1:4" x14ac:dyDescent="0.25">
      <c r="A22" t="s">
        <v>40</v>
      </c>
      <c r="B22" t="s">
        <v>2443</v>
      </c>
      <c r="C22" t="s">
        <v>3228</v>
      </c>
      <c r="D22">
        <v>15</v>
      </c>
    </row>
    <row r="23" spans="1:4" x14ac:dyDescent="0.25">
      <c r="A23" t="s">
        <v>40</v>
      </c>
      <c r="B23" t="s">
        <v>2405</v>
      </c>
      <c r="C23" t="s">
        <v>1365</v>
      </c>
      <c r="D23">
        <v>17</v>
      </c>
    </row>
    <row r="24" spans="1:4" x14ac:dyDescent="0.25">
      <c r="A24" t="s">
        <v>40</v>
      </c>
      <c r="B24" t="s">
        <v>1029</v>
      </c>
      <c r="C24" t="s">
        <v>4036</v>
      </c>
      <c r="D24">
        <v>20</v>
      </c>
    </row>
    <row r="25" spans="1:4" x14ac:dyDescent="0.25">
      <c r="A25" t="s">
        <v>40</v>
      </c>
      <c r="B25" t="s">
        <v>1169</v>
      </c>
      <c r="C25" t="s">
        <v>4037</v>
      </c>
      <c r="D25">
        <v>18</v>
      </c>
    </row>
    <row r="26" spans="1:4" x14ac:dyDescent="0.25">
      <c r="A26" t="s">
        <v>40</v>
      </c>
      <c r="B26" t="s">
        <v>1836</v>
      </c>
      <c r="C26" t="s">
        <v>1291</v>
      </c>
      <c r="D26">
        <v>20</v>
      </c>
    </row>
    <row r="27" spans="1:4" x14ac:dyDescent="0.25">
      <c r="A27" t="s">
        <v>40</v>
      </c>
      <c r="B27" t="s">
        <v>93</v>
      </c>
      <c r="C27" t="s">
        <v>4038</v>
      </c>
      <c r="D27">
        <v>22</v>
      </c>
    </row>
    <row r="28" spans="1:4" x14ac:dyDescent="0.25">
      <c r="A28" t="s">
        <v>40</v>
      </c>
      <c r="B28" t="s">
        <v>312</v>
      </c>
      <c r="C28" t="s">
        <v>4039</v>
      </c>
      <c r="D28">
        <v>23</v>
      </c>
    </row>
    <row r="29" spans="1:4" x14ac:dyDescent="0.25">
      <c r="A29" t="s">
        <v>40</v>
      </c>
      <c r="B29" t="s">
        <v>312</v>
      </c>
      <c r="C29" t="s">
        <v>4040</v>
      </c>
      <c r="D29">
        <v>24</v>
      </c>
    </row>
    <row r="30" spans="1:4" x14ac:dyDescent="0.25">
      <c r="A30" t="s">
        <v>40</v>
      </c>
      <c r="B30" t="s">
        <v>263</v>
      </c>
      <c r="C30" t="s">
        <v>1372</v>
      </c>
      <c r="D30">
        <v>22</v>
      </c>
    </row>
    <row r="31" spans="1:4" x14ac:dyDescent="0.25">
      <c r="A31" t="s">
        <v>40</v>
      </c>
      <c r="B31" t="s">
        <v>764</v>
      </c>
      <c r="C31" t="s">
        <v>4041</v>
      </c>
      <c r="D31">
        <v>24</v>
      </c>
    </row>
    <row r="32" spans="1:4" x14ac:dyDescent="0.25">
      <c r="A32" t="s">
        <v>40</v>
      </c>
      <c r="B32" t="s">
        <v>467</v>
      </c>
      <c r="C32" t="s">
        <v>4042</v>
      </c>
      <c r="D32">
        <v>27</v>
      </c>
    </row>
    <row r="33" spans="1:4" x14ac:dyDescent="0.25">
      <c r="A33" t="s">
        <v>40</v>
      </c>
      <c r="B33" t="s">
        <v>631</v>
      </c>
      <c r="C33" t="s">
        <v>4043</v>
      </c>
      <c r="D33">
        <v>28</v>
      </c>
    </row>
    <row r="34" spans="1:4" x14ac:dyDescent="0.25">
      <c r="A34" t="s">
        <v>40</v>
      </c>
      <c r="B34" t="s">
        <v>631</v>
      </c>
      <c r="C34" t="s">
        <v>4044</v>
      </c>
      <c r="D34">
        <v>29</v>
      </c>
    </row>
    <row r="35" spans="1:4" x14ac:dyDescent="0.25">
      <c r="A35" t="s">
        <v>40</v>
      </c>
      <c r="B35" t="s">
        <v>2390</v>
      </c>
      <c r="C35" t="s">
        <v>3486</v>
      </c>
      <c r="D35">
        <v>31</v>
      </c>
    </row>
    <row r="36" spans="1:4" x14ac:dyDescent="0.25">
      <c r="A36" t="s">
        <v>40</v>
      </c>
      <c r="B36" t="s">
        <v>793</v>
      </c>
      <c r="C36" t="s">
        <v>4045</v>
      </c>
      <c r="D36">
        <v>29</v>
      </c>
    </row>
    <row r="37" spans="1:4" x14ac:dyDescent="0.25">
      <c r="A37" t="s">
        <v>80</v>
      </c>
      <c r="B37" t="s">
        <v>857</v>
      </c>
      <c r="C37" t="s">
        <v>4046</v>
      </c>
      <c r="D37">
        <v>26</v>
      </c>
    </row>
    <row r="38" spans="1:4" x14ac:dyDescent="0.25">
      <c r="A38" t="s">
        <v>80</v>
      </c>
      <c r="B38" t="s">
        <v>1083</v>
      </c>
      <c r="C38" t="s">
        <v>4047</v>
      </c>
      <c r="D38">
        <v>28</v>
      </c>
    </row>
    <row r="39" spans="1:4" x14ac:dyDescent="0.25">
      <c r="A39" t="s">
        <v>80</v>
      </c>
      <c r="B39" t="s">
        <v>490</v>
      </c>
      <c r="C39" t="s">
        <v>4048</v>
      </c>
      <c r="D39">
        <v>26</v>
      </c>
    </row>
    <row r="40" spans="1:4" x14ac:dyDescent="0.25">
      <c r="A40" t="s">
        <v>80</v>
      </c>
      <c r="B40" t="s">
        <v>1029</v>
      </c>
      <c r="C40" t="s">
        <v>4049</v>
      </c>
      <c r="D40">
        <v>27</v>
      </c>
    </row>
    <row r="41" spans="1:4" x14ac:dyDescent="0.25">
      <c r="A41" t="s">
        <v>80</v>
      </c>
      <c r="B41" t="s">
        <v>1119</v>
      </c>
      <c r="C41" t="s">
        <v>4050</v>
      </c>
      <c r="D41">
        <v>29</v>
      </c>
    </row>
    <row r="42" spans="1:4" x14ac:dyDescent="0.25">
      <c r="A42" t="s">
        <v>80</v>
      </c>
      <c r="B42" t="s">
        <v>460</v>
      </c>
      <c r="C42" t="s">
        <v>1385</v>
      </c>
      <c r="D42">
        <v>31</v>
      </c>
    </row>
    <row r="43" spans="1:4" x14ac:dyDescent="0.25">
      <c r="A43" t="s">
        <v>80</v>
      </c>
      <c r="B43" t="s">
        <v>213</v>
      </c>
      <c r="C43" t="s">
        <v>3308</v>
      </c>
      <c r="D43">
        <v>29</v>
      </c>
    </row>
    <row r="44" spans="1:4" x14ac:dyDescent="0.25">
      <c r="A44" t="s">
        <v>80</v>
      </c>
      <c r="B44" t="s">
        <v>2431</v>
      </c>
      <c r="C44" t="s">
        <v>3309</v>
      </c>
      <c r="D44">
        <v>32</v>
      </c>
    </row>
    <row r="45" spans="1:4" x14ac:dyDescent="0.25">
      <c r="A45" t="s">
        <v>80</v>
      </c>
      <c r="B45" t="s">
        <v>872</v>
      </c>
      <c r="C45" t="s">
        <v>3310</v>
      </c>
      <c r="D45">
        <v>35</v>
      </c>
    </row>
    <row r="46" spans="1:4" x14ac:dyDescent="0.25">
      <c r="A46" t="s">
        <v>80</v>
      </c>
      <c r="B46" t="s">
        <v>541</v>
      </c>
      <c r="C46" t="s">
        <v>4051</v>
      </c>
      <c r="D46">
        <v>36</v>
      </c>
    </row>
    <row r="47" spans="1:4" x14ac:dyDescent="0.25">
      <c r="A47" t="s">
        <v>80</v>
      </c>
      <c r="B47" t="s">
        <v>411</v>
      </c>
      <c r="C47" t="s">
        <v>4052</v>
      </c>
      <c r="D47">
        <v>38</v>
      </c>
    </row>
    <row r="48" spans="1:4" x14ac:dyDescent="0.25">
      <c r="A48" t="s">
        <v>80</v>
      </c>
      <c r="B48" t="s">
        <v>317</v>
      </c>
      <c r="C48" t="s">
        <v>3498</v>
      </c>
      <c r="D48">
        <v>36</v>
      </c>
    </row>
    <row r="49" spans="1:4" x14ac:dyDescent="0.25">
      <c r="A49" t="s">
        <v>80</v>
      </c>
      <c r="B49" t="s">
        <v>116</v>
      </c>
      <c r="C49" t="s">
        <v>4053</v>
      </c>
      <c r="D49">
        <v>35</v>
      </c>
    </row>
    <row r="50" spans="1:4" x14ac:dyDescent="0.25">
      <c r="A50" t="s">
        <v>80</v>
      </c>
      <c r="B50" t="s">
        <v>116</v>
      </c>
      <c r="C50" t="s">
        <v>4054</v>
      </c>
      <c r="D50">
        <v>34</v>
      </c>
    </row>
    <row r="51" spans="1:4" x14ac:dyDescent="0.25">
      <c r="A51" t="s">
        <v>80</v>
      </c>
      <c r="B51" t="s">
        <v>477</v>
      </c>
      <c r="C51" t="s">
        <v>2012</v>
      </c>
      <c r="D51">
        <v>31</v>
      </c>
    </row>
    <row r="52" spans="1:4" x14ac:dyDescent="0.25">
      <c r="A52" t="s">
        <v>80</v>
      </c>
      <c r="B52" t="s">
        <v>581</v>
      </c>
      <c r="C52" t="s">
        <v>4055</v>
      </c>
      <c r="D52">
        <v>34</v>
      </c>
    </row>
    <row r="53" spans="1:4" x14ac:dyDescent="0.25">
      <c r="A53" t="s">
        <v>80</v>
      </c>
      <c r="B53" t="s">
        <v>483</v>
      </c>
      <c r="C53" t="s">
        <v>4056</v>
      </c>
      <c r="D53">
        <v>36</v>
      </c>
    </row>
    <row r="54" spans="1:4" x14ac:dyDescent="0.25">
      <c r="A54" t="s">
        <v>80</v>
      </c>
      <c r="B54" t="s">
        <v>537</v>
      </c>
      <c r="C54" t="s">
        <v>3503</v>
      </c>
      <c r="D54">
        <v>34</v>
      </c>
    </row>
    <row r="55" spans="1:4" x14ac:dyDescent="0.25">
      <c r="A55" t="s">
        <v>123</v>
      </c>
      <c r="B55" t="s">
        <v>907</v>
      </c>
      <c r="C55" t="s">
        <v>2077</v>
      </c>
      <c r="D55">
        <v>32</v>
      </c>
    </row>
    <row r="56" spans="1:4" x14ac:dyDescent="0.25">
      <c r="A56" t="s">
        <v>123</v>
      </c>
      <c r="B56" t="s">
        <v>325</v>
      </c>
      <c r="C56" t="s">
        <v>1318</v>
      </c>
      <c r="D56">
        <v>35</v>
      </c>
    </row>
    <row r="57" spans="1:4" x14ac:dyDescent="0.25">
      <c r="A57" t="s">
        <v>123</v>
      </c>
      <c r="B57" t="s">
        <v>2151</v>
      </c>
      <c r="C57" t="s">
        <v>4057</v>
      </c>
      <c r="D57">
        <v>32</v>
      </c>
    </row>
    <row r="58" spans="1:4" x14ac:dyDescent="0.25">
      <c r="A58" t="s">
        <v>123</v>
      </c>
      <c r="B58" t="s">
        <v>355</v>
      </c>
      <c r="C58" t="s">
        <v>4058</v>
      </c>
      <c r="D58">
        <v>29</v>
      </c>
    </row>
    <row r="59" spans="1:4" x14ac:dyDescent="0.25">
      <c r="A59" t="s">
        <v>123</v>
      </c>
      <c r="B59" t="s">
        <v>332</v>
      </c>
      <c r="C59" t="s">
        <v>2833</v>
      </c>
      <c r="D59">
        <v>26</v>
      </c>
    </row>
    <row r="60" spans="1:4" x14ac:dyDescent="0.25">
      <c r="A60" t="s">
        <v>123</v>
      </c>
      <c r="B60" t="s">
        <v>568</v>
      </c>
      <c r="C60" t="s">
        <v>3252</v>
      </c>
      <c r="D60">
        <v>29</v>
      </c>
    </row>
    <row r="61" spans="1:4" x14ac:dyDescent="0.25">
      <c r="A61" t="s">
        <v>123</v>
      </c>
      <c r="B61" t="s">
        <v>177</v>
      </c>
      <c r="C61" t="s">
        <v>4059</v>
      </c>
      <c r="D61">
        <v>27</v>
      </c>
    </row>
    <row r="62" spans="1:4" x14ac:dyDescent="0.25">
      <c r="A62" t="s">
        <v>123</v>
      </c>
      <c r="B62" t="s">
        <v>1683</v>
      </c>
      <c r="C62" t="s">
        <v>3140</v>
      </c>
      <c r="D62">
        <v>28</v>
      </c>
    </row>
    <row r="63" spans="1:4" x14ac:dyDescent="0.25">
      <c r="A63" t="s">
        <v>123</v>
      </c>
      <c r="B63" t="s">
        <v>1683</v>
      </c>
      <c r="C63" t="s">
        <v>4060</v>
      </c>
      <c r="D63">
        <v>29</v>
      </c>
    </row>
    <row r="64" spans="1:4" x14ac:dyDescent="0.25">
      <c r="A64" t="s">
        <v>123</v>
      </c>
      <c r="B64" t="s">
        <v>56</v>
      </c>
      <c r="C64" t="s">
        <v>3678</v>
      </c>
      <c r="D64">
        <v>27</v>
      </c>
    </row>
    <row r="65" spans="1:4" x14ac:dyDescent="0.25">
      <c r="A65" t="s">
        <v>123</v>
      </c>
      <c r="B65" t="s">
        <v>870</v>
      </c>
      <c r="C65" t="s">
        <v>4061</v>
      </c>
      <c r="D65">
        <v>29</v>
      </c>
    </row>
    <row r="66" spans="1:4" x14ac:dyDescent="0.25">
      <c r="A66" t="s">
        <v>123</v>
      </c>
      <c r="B66" t="s">
        <v>729</v>
      </c>
      <c r="C66" t="s">
        <v>3143</v>
      </c>
      <c r="D66">
        <v>26</v>
      </c>
    </row>
    <row r="67" spans="1:4" x14ac:dyDescent="0.25">
      <c r="A67" t="s">
        <v>123</v>
      </c>
      <c r="B67" t="s">
        <v>285</v>
      </c>
      <c r="C67" t="s">
        <v>4062</v>
      </c>
      <c r="D67">
        <v>27</v>
      </c>
    </row>
    <row r="68" spans="1:4" x14ac:dyDescent="0.25">
      <c r="A68" t="s">
        <v>123</v>
      </c>
      <c r="B68" t="s">
        <v>2120</v>
      </c>
      <c r="C68" t="s">
        <v>3415</v>
      </c>
      <c r="D68">
        <v>24</v>
      </c>
    </row>
    <row r="69" spans="1:4" x14ac:dyDescent="0.25">
      <c r="A69" t="s">
        <v>123</v>
      </c>
      <c r="B69" t="s">
        <v>1335</v>
      </c>
      <c r="C69" t="s">
        <v>4063</v>
      </c>
      <c r="D69">
        <v>22</v>
      </c>
    </row>
    <row r="70" spans="1:4" x14ac:dyDescent="0.25">
      <c r="A70" t="s">
        <v>123</v>
      </c>
      <c r="B70" t="s">
        <v>503</v>
      </c>
      <c r="C70" t="s">
        <v>2841</v>
      </c>
      <c r="D70">
        <v>19</v>
      </c>
    </row>
    <row r="71" spans="1:4" x14ac:dyDescent="0.25">
      <c r="A71" t="s">
        <v>123</v>
      </c>
      <c r="B71" t="s">
        <v>1177</v>
      </c>
      <c r="C71" t="s">
        <v>2386</v>
      </c>
      <c r="D71">
        <v>22</v>
      </c>
    </row>
    <row r="72" spans="1:4" x14ac:dyDescent="0.25">
      <c r="A72" t="s">
        <v>123</v>
      </c>
      <c r="B72" t="s">
        <v>710</v>
      </c>
      <c r="C72" t="s">
        <v>2844</v>
      </c>
      <c r="D72">
        <v>21</v>
      </c>
    </row>
    <row r="73" spans="1:4" x14ac:dyDescent="0.25">
      <c r="A73" t="s">
        <v>123</v>
      </c>
      <c r="B73" t="s">
        <v>710</v>
      </c>
      <c r="C73" t="s">
        <v>3689</v>
      </c>
      <c r="D73">
        <v>20</v>
      </c>
    </row>
    <row r="74" spans="1:4" x14ac:dyDescent="0.25">
      <c r="A74" t="s">
        <v>123</v>
      </c>
      <c r="B74" t="s">
        <v>972</v>
      </c>
      <c r="C74" t="s">
        <v>3690</v>
      </c>
      <c r="D74">
        <v>22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22.054794520547944</v>
      </c>
    </row>
    <row r="78" spans="1:4" x14ac:dyDescent="0.25">
      <c r="A78" t="s">
        <v>159</v>
      </c>
      <c r="D78">
        <f>MAX(D2:D74)</f>
        <v>38</v>
      </c>
    </row>
    <row r="79" spans="1:4" x14ac:dyDescent="0.25">
      <c r="A79" t="s">
        <v>160</v>
      </c>
      <c r="D79">
        <f>MIN(D2:D74)</f>
        <v>0</v>
      </c>
    </row>
    <row r="80" spans="1:4" x14ac:dyDescent="0.25">
      <c r="A80" t="s">
        <v>161</v>
      </c>
      <c r="D80">
        <f>COUNTIF(D2:D74,"&gt;0")</f>
        <v>72</v>
      </c>
    </row>
    <row r="81" spans="1:4" x14ac:dyDescent="0.25">
      <c r="A81" t="s">
        <v>162</v>
      </c>
      <c r="D81">
        <f>COUNTIF(D2:D74,"=0")</f>
        <v>1</v>
      </c>
    </row>
    <row r="82" spans="1:4" x14ac:dyDescent="0.25">
      <c r="A82" t="s">
        <v>1186</v>
      </c>
      <c r="D82">
        <f>COUNTIF(D2:D74,"&lt;0")</f>
        <v>0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AVERAGE(D2,D3,D4,D5,D6,D7,D8,D9,D10,D11,D12,D13,D14,D15,D16,D17,D18)</f>
        <v>6.882352941176471</v>
      </c>
    </row>
    <row r="86" spans="1:4" x14ac:dyDescent="0.25">
      <c r="A86" t="s">
        <v>166</v>
      </c>
      <c r="D86">
        <f>AVERAGE(D19,D20,D21,D22,D23,D24,D25,D26,D27,D28,D29,D30,D31,D32,D33,D34,D35,D36)</f>
        <v>21.666666666666668</v>
      </c>
    </row>
    <row r="87" spans="1:4" x14ac:dyDescent="0.25">
      <c r="A87" t="s">
        <v>167</v>
      </c>
      <c r="D87">
        <f>AVERAGE(D37,D38,D39,D40,D41,D42,D43,D44,D45,D46,D47,D48,D49,D50,D51,D52,D53,D54)</f>
        <v>32.055555555555557</v>
      </c>
    </row>
    <row r="88" spans="1:4" x14ac:dyDescent="0.25">
      <c r="A88" t="s">
        <v>168</v>
      </c>
      <c r="D88">
        <f>AVERAGE(D55,D56,D57,D58,D59,D60,D61,D62,D63,D64,D65,D66,D67,D68,D69,D70,D71,D72,D73,D74)</f>
        <v>26.3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170</v>
      </c>
      <c r="C2" t="s">
        <v>2536</v>
      </c>
      <c r="D2">
        <v>-1</v>
      </c>
    </row>
    <row r="3" spans="1:4" x14ac:dyDescent="0.25">
      <c r="A3" t="s">
        <v>4</v>
      </c>
      <c r="B3" t="s">
        <v>170</v>
      </c>
      <c r="C3" t="s">
        <v>908</v>
      </c>
      <c r="D3">
        <v>-2</v>
      </c>
    </row>
    <row r="4" spans="1:4" x14ac:dyDescent="0.25">
      <c r="A4" t="s">
        <v>4</v>
      </c>
      <c r="B4" t="s">
        <v>1027</v>
      </c>
      <c r="C4" t="s">
        <v>1692</v>
      </c>
      <c r="D4">
        <v>-4</v>
      </c>
    </row>
    <row r="5" spans="1:4" x14ac:dyDescent="0.25">
      <c r="A5" t="s">
        <v>4</v>
      </c>
      <c r="B5" t="s">
        <v>693</v>
      </c>
      <c r="C5" t="s">
        <v>10</v>
      </c>
      <c r="D5">
        <v>-2</v>
      </c>
    </row>
    <row r="6" spans="1:4" x14ac:dyDescent="0.25">
      <c r="A6" t="s">
        <v>4</v>
      </c>
      <c r="B6" t="s">
        <v>332</v>
      </c>
      <c r="C6" t="s">
        <v>1106</v>
      </c>
      <c r="D6">
        <v>1</v>
      </c>
    </row>
    <row r="7" spans="1:4" x14ac:dyDescent="0.25">
      <c r="A7" t="s">
        <v>4</v>
      </c>
      <c r="B7" t="s">
        <v>497</v>
      </c>
      <c r="C7" t="s">
        <v>1348</v>
      </c>
      <c r="D7">
        <v>3</v>
      </c>
    </row>
    <row r="8" spans="1:4" x14ac:dyDescent="0.25">
      <c r="A8" t="s">
        <v>4</v>
      </c>
      <c r="B8" t="s">
        <v>1693</v>
      </c>
      <c r="C8" t="s">
        <v>311</v>
      </c>
      <c r="D8">
        <v>1</v>
      </c>
    </row>
    <row r="9" spans="1:4" x14ac:dyDescent="0.25">
      <c r="A9" t="s">
        <v>4</v>
      </c>
      <c r="B9" t="s">
        <v>181</v>
      </c>
      <c r="C9" t="s">
        <v>185</v>
      </c>
      <c r="D9">
        <v>4</v>
      </c>
    </row>
    <row r="10" spans="1:4" x14ac:dyDescent="0.25">
      <c r="A10" t="s">
        <v>4</v>
      </c>
      <c r="B10" t="s">
        <v>368</v>
      </c>
      <c r="C10" t="s">
        <v>2560</v>
      </c>
      <c r="D10">
        <v>5</v>
      </c>
    </row>
    <row r="11" spans="1:4" x14ac:dyDescent="0.25">
      <c r="A11" t="s">
        <v>4</v>
      </c>
      <c r="B11" t="s">
        <v>368</v>
      </c>
      <c r="C11" t="s">
        <v>314</v>
      </c>
      <c r="D11">
        <v>6</v>
      </c>
    </row>
    <row r="12" spans="1:4" x14ac:dyDescent="0.25">
      <c r="A12" t="s">
        <v>4</v>
      </c>
      <c r="B12" t="s">
        <v>1817</v>
      </c>
      <c r="C12" t="s">
        <v>784</v>
      </c>
      <c r="D12">
        <v>5</v>
      </c>
    </row>
    <row r="13" spans="1:4" x14ac:dyDescent="0.25">
      <c r="A13" t="s">
        <v>4</v>
      </c>
      <c r="B13" t="s">
        <v>887</v>
      </c>
      <c r="C13" t="s">
        <v>1196</v>
      </c>
      <c r="D13">
        <v>7</v>
      </c>
    </row>
    <row r="14" spans="1:4" x14ac:dyDescent="0.25">
      <c r="A14" t="s">
        <v>4</v>
      </c>
      <c r="B14" t="s">
        <v>1698</v>
      </c>
      <c r="C14" t="s">
        <v>1871</v>
      </c>
      <c r="D14">
        <v>5</v>
      </c>
    </row>
    <row r="15" spans="1:4" x14ac:dyDescent="0.25">
      <c r="A15" t="s">
        <v>4</v>
      </c>
      <c r="B15" t="s">
        <v>1700</v>
      </c>
      <c r="C15" t="s">
        <v>1355</v>
      </c>
      <c r="D15">
        <v>6</v>
      </c>
    </row>
    <row r="16" spans="1:4" x14ac:dyDescent="0.25">
      <c r="A16" t="s">
        <v>4</v>
      </c>
      <c r="B16" t="s">
        <v>1700</v>
      </c>
      <c r="C16" t="s">
        <v>3195</v>
      </c>
      <c r="D16">
        <v>7</v>
      </c>
    </row>
    <row r="17" spans="1:4" x14ac:dyDescent="0.25">
      <c r="A17" t="s">
        <v>4</v>
      </c>
      <c r="B17" t="s">
        <v>704</v>
      </c>
      <c r="C17" t="s">
        <v>3026</v>
      </c>
      <c r="D17">
        <v>5</v>
      </c>
    </row>
    <row r="18" spans="1:4" x14ac:dyDescent="0.25">
      <c r="A18" t="s">
        <v>4</v>
      </c>
      <c r="B18" t="s">
        <v>70</v>
      </c>
      <c r="C18" t="s">
        <v>1873</v>
      </c>
      <c r="D18">
        <v>4</v>
      </c>
    </row>
    <row r="19" spans="1:4" x14ac:dyDescent="0.25">
      <c r="A19" t="s">
        <v>4</v>
      </c>
      <c r="B19" t="s">
        <v>894</v>
      </c>
      <c r="C19" t="s">
        <v>446</v>
      </c>
      <c r="D19">
        <v>1</v>
      </c>
    </row>
    <row r="20" spans="1:4" x14ac:dyDescent="0.25">
      <c r="A20" t="s">
        <v>4</v>
      </c>
      <c r="B20" t="s">
        <v>1940</v>
      </c>
      <c r="C20" t="s">
        <v>1876</v>
      </c>
      <c r="D20">
        <v>3</v>
      </c>
    </row>
    <row r="21" spans="1:4" x14ac:dyDescent="0.25">
      <c r="A21" t="s">
        <v>4</v>
      </c>
      <c r="B21" t="s">
        <v>1940</v>
      </c>
      <c r="C21" t="s">
        <v>1201</v>
      </c>
      <c r="D21">
        <v>4</v>
      </c>
    </row>
    <row r="22" spans="1:4" x14ac:dyDescent="0.25">
      <c r="A22" t="s">
        <v>4</v>
      </c>
      <c r="B22" t="s">
        <v>675</v>
      </c>
      <c r="C22" t="s">
        <v>449</v>
      </c>
      <c r="D22">
        <v>2</v>
      </c>
    </row>
    <row r="23" spans="1:4" x14ac:dyDescent="0.25">
      <c r="A23" t="s">
        <v>4</v>
      </c>
      <c r="B23" t="s">
        <v>1135</v>
      </c>
      <c r="C23" t="s">
        <v>585</v>
      </c>
      <c r="D23">
        <v>0</v>
      </c>
    </row>
    <row r="24" spans="1:4" x14ac:dyDescent="0.25">
      <c r="A24" t="s">
        <v>40</v>
      </c>
      <c r="B24" t="s">
        <v>563</v>
      </c>
      <c r="C24" t="s">
        <v>44</v>
      </c>
      <c r="D24">
        <v>-2</v>
      </c>
    </row>
    <row r="25" spans="1:4" x14ac:dyDescent="0.25">
      <c r="A25" t="s">
        <v>40</v>
      </c>
      <c r="B25" t="s">
        <v>932</v>
      </c>
      <c r="C25" t="s">
        <v>1509</v>
      </c>
      <c r="D25">
        <v>-4</v>
      </c>
    </row>
    <row r="26" spans="1:4" x14ac:dyDescent="0.25">
      <c r="A26" t="s">
        <v>40</v>
      </c>
      <c r="B26" t="s">
        <v>1009</v>
      </c>
      <c r="C26" t="s">
        <v>2328</v>
      </c>
      <c r="D26">
        <v>-2</v>
      </c>
    </row>
    <row r="27" spans="1:4" x14ac:dyDescent="0.25">
      <c r="A27" t="s">
        <v>40</v>
      </c>
      <c r="B27" t="s">
        <v>1789</v>
      </c>
      <c r="C27" t="s">
        <v>3721</v>
      </c>
      <c r="D27">
        <v>0</v>
      </c>
    </row>
    <row r="28" spans="1:4" x14ac:dyDescent="0.25">
      <c r="A28" t="s">
        <v>40</v>
      </c>
      <c r="B28" t="s">
        <v>1408</v>
      </c>
      <c r="C28" t="s">
        <v>456</v>
      </c>
      <c r="D28">
        <v>-2</v>
      </c>
    </row>
    <row r="29" spans="1:4" x14ac:dyDescent="0.25">
      <c r="A29" t="s">
        <v>40</v>
      </c>
      <c r="B29" t="s">
        <v>431</v>
      </c>
      <c r="C29" t="s">
        <v>2357</v>
      </c>
      <c r="D29">
        <v>1</v>
      </c>
    </row>
    <row r="30" spans="1:4" x14ac:dyDescent="0.25">
      <c r="A30" t="s">
        <v>40</v>
      </c>
      <c r="B30" t="s">
        <v>802</v>
      </c>
      <c r="C30" t="s">
        <v>1124</v>
      </c>
      <c r="D30">
        <v>2</v>
      </c>
    </row>
    <row r="31" spans="1:4" x14ac:dyDescent="0.25">
      <c r="A31" t="s">
        <v>40</v>
      </c>
      <c r="B31" t="s">
        <v>2170</v>
      </c>
      <c r="C31" t="s">
        <v>3962</v>
      </c>
      <c r="D31">
        <v>-1</v>
      </c>
    </row>
    <row r="32" spans="1:4" x14ac:dyDescent="0.25">
      <c r="A32" t="s">
        <v>40</v>
      </c>
      <c r="B32" t="s">
        <v>870</v>
      </c>
      <c r="C32" t="s">
        <v>2484</v>
      </c>
      <c r="D32">
        <v>1</v>
      </c>
    </row>
    <row r="33" spans="1:4" x14ac:dyDescent="0.25">
      <c r="A33" t="s">
        <v>40</v>
      </c>
      <c r="B33" t="s">
        <v>19</v>
      </c>
      <c r="C33" t="s">
        <v>2332</v>
      </c>
      <c r="D33">
        <v>-1</v>
      </c>
    </row>
    <row r="34" spans="1:4" x14ac:dyDescent="0.25">
      <c r="A34" t="s">
        <v>40</v>
      </c>
      <c r="B34" t="s">
        <v>807</v>
      </c>
      <c r="C34" t="s">
        <v>1663</v>
      </c>
      <c r="D34">
        <v>-3</v>
      </c>
    </row>
    <row r="35" spans="1:4" x14ac:dyDescent="0.25">
      <c r="A35" t="s">
        <v>40</v>
      </c>
      <c r="B35" t="s">
        <v>887</v>
      </c>
      <c r="C35" t="s">
        <v>466</v>
      </c>
      <c r="D35">
        <v>0</v>
      </c>
    </row>
    <row r="36" spans="1:4" x14ac:dyDescent="0.25">
      <c r="A36" t="s">
        <v>40</v>
      </c>
      <c r="B36" t="s">
        <v>812</v>
      </c>
      <c r="C36" t="s">
        <v>1827</v>
      </c>
      <c r="D36">
        <v>-2</v>
      </c>
    </row>
    <row r="37" spans="1:4" x14ac:dyDescent="0.25">
      <c r="A37" t="s">
        <v>40</v>
      </c>
      <c r="B37" t="s">
        <v>503</v>
      </c>
      <c r="C37" t="s">
        <v>2762</v>
      </c>
      <c r="D37">
        <v>-4</v>
      </c>
    </row>
    <row r="38" spans="1:4" x14ac:dyDescent="0.25">
      <c r="A38" t="s">
        <v>40</v>
      </c>
      <c r="B38" t="s">
        <v>118</v>
      </c>
      <c r="C38" t="s">
        <v>1828</v>
      </c>
      <c r="D38">
        <v>-2</v>
      </c>
    </row>
    <row r="39" spans="1:4" x14ac:dyDescent="0.25">
      <c r="A39" t="s">
        <v>40</v>
      </c>
      <c r="B39" t="s">
        <v>72</v>
      </c>
      <c r="C39" t="s">
        <v>232</v>
      </c>
      <c r="D39">
        <v>0</v>
      </c>
    </row>
    <row r="40" spans="1:4" x14ac:dyDescent="0.25">
      <c r="A40" t="s">
        <v>40</v>
      </c>
      <c r="B40" t="s">
        <v>72</v>
      </c>
      <c r="C40" t="s">
        <v>2486</v>
      </c>
      <c r="D40">
        <v>1</v>
      </c>
    </row>
    <row r="41" spans="1:4" x14ac:dyDescent="0.25">
      <c r="A41" t="s">
        <v>40</v>
      </c>
      <c r="B41" t="s">
        <v>999</v>
      </c>
      <c r="C41" t="s">
        <v>4064</v>
      </c>
      <c r="D41">
        <v>-2</v>
      </c>
    </row>
    <row r="42" spans="1:4" x14ac:dyDescent="0.25">
      <c r="A42" t="s">
        <v>40</v>
      </c>
      <c r="B42" t="s">
        <v>298</v>
      </c>
      <c r="C42" t="s">
        <v>1221</v>
      </c>
      <c r="D42">
        <v>0</v>
      </c>
    </row>
    <row r="43" spans="1:4" x14ac:dyDescent="0.25">
      <c r="A43" t="s">
        <v>40</v>
      </c>
      <c r="B43" t="s">
        <v>817</v>
      </c>
      <c r="C43" t="s">
        <v>479</v>
      </c>
      <c r="D43">
        <v>2</v>
      </c>
    </row>
    <row r="44" spans="1:4" x14ac:dyDescent="0.25">
      <c r="A44" t="s">
        <v>80</v>
      </c>
      <c r="B44" t="s">
        <v>126</v>
      </c>
      <c r="C44" t="s">
        <v>2336</v>
      </c>
      <c r="D44">
        <v>5</v>
      </c>
    </row>
    <row r="45" spans="1:4" x14ac:dyDescent="0.25">
      <c r="A45" t="s">
        <v>80</v>
      </c>
      <c r="B45" t="s">
        <v>565</v>
      </c>
      <c r="C45" t="s">
        <v>3698</v>
      </c>
      <c r="D45">
        <v>8</v>
      </c>
    </row>
    <row r="46" spans="1:4" x14ac:dyDescent="0.25">
      <c r="A46" t="s">
        <v>80</v>
      </c>
      <c r="B46" t="s">
        <v>2355</v>
      </c>
      <c r="C46" t="s">
        <v>1595</v>
      </c>
      <c r="D46">
        <v>9</v>
      </c>
    </row>
    <row r="47" spans="1:4" x14ac:dyDescent="0.25">
      <c r="A47" t="s">
        <v>80</v>
      </c>
      <c r="B47" t="s">
        <v>862</v>
      </c>
      <c r="C47" t="s">
        <v>1596</v>
      </c>
      <c r="D47">
        <v>10</v>
      </c>
    </row>
    <row r="48" spans="1:4" x14ac:dyDescent="0.25">
      <c r="A48" t="s">
        <v>80</v>
      </c>
      <c r="B48" t="s">
        <v>800</v>
      </c>
      <c r="C48" t="s">
        <v>1597</v>
      </c>
      <c r="D48">
        <v>8</v>
      </c>
    </row>
    <row r="49" spans="1:4" x14ac:dyDescent="0.25">
      <c r="A49" t="s">
        <v>80</v>
      </c>
      <c r="B49" t="s">
        <v>256</v>
      </c>
      <c r="C49" t="s">
        <v>2171</v>
      </c>
      <c r="D49">
        <v>6</v>
      </c>
    </row>
    <row r="50" spans="1:4" x14ac:dyDescent="0.25">
      <c r="A50" t="s">
        <v>80</v>
      </c>
      <c r="B50" t="s">
        <v>2170</v>
      </c>
      <c r="C50" t="s">
        <v>2599</v>
      </c>
      <c r="D50">
        <v>8</v>
      </c>
    </row>
    <row r="51" spans="1:4" x14ac:dyDescent="0.25">
      <c r="A51" t="s">
        <v>80</v>
      </c>
      <c r="B51" t="s">
        <v>312</v>
      </c>
      <c r="C51" t="s">
        <v>3439</v>
      </c>
      <c r="D51">
        <v>9</v>
      </c>
    </row>
    <row r="52" spans="1:4" x14ac:dyDescent="0.25">
      <c r="A52" t="s">
        <v>80</v>
      </c>
      <c r="B52" t="s">
        <v>312</v>
      </c>
      <c r="C52" t="s">
        <v>2600</v>
      </c>
      <c r="D52">
        <v>10</v>
      </c>
    </row>
    <row r="53" spans="1:4" x14ac:dyDescent="0.25">
      <c r="A53" t="s">
        <v>80</v>
      </c>
      <c r="B53" t="s">
        <v>1288</v>
      </c>
      <c r="C53" t="s">
        <v>2913</v>
      </c>
      <c r="D53">
        <v>8</v>
      </c>
    </row>
    <row r="54" spans="1:4" x14ac:dyDescent="0.25">
      <c r="A54" t="s">
        <v>80</v>
      </c>
      <c r="B54" t="s">
        <v>221</v>
      </c>
      <c r="C54" t="s">
        <v>1526</v>
      </c>
      <c r="D54">
        <v>5</v>
      </c>
    </row>
    <row r="55" spans="1:4" x14ac:dyDescent="0.25">
      <c r="A55" t="s">
        <v>80</v>
      </c>
      <c r="B55" t="s">
        <v>541</v>
      </c>
      <c r="C55" t="s">
        <v>1528</v>
      </c>
      <c r="D55">
        <v>3</v>
      </c>
    </row>
    <row r="56" spans="1:4" x14ac:dyDescent="0.25">
      <c r="A56" t="s">
        <v>80</v>
      </c>
      <c r="B56" t="s">
        <v>1016</v>
      </c>
      <c r="C56" t="s">
        <v>495</v>
      </c>
      <c r="D56">
        <v>5</v>
      </c>
    </row>
    <row r="57" spans="1:4" x14ac:dyDescent="0.25">
      <c r="A57" t="s">
        <v>80</v>
      </c>
      <c r="B57" t="s">
        <v>110</v>
      </c>
      <c r="C57" t="s">
        <v>383</v>
      </c>
      <c r="D57">
        <v>2</v>
      </c>
    </row>
    <row r="58" spans="1:4" x14ac:dyDescent="0.25">
      <c r="A58" t="s">
        <v>80</v>
      </c>
      <c r="B58" t="s">
        <v>1396</v>
      </c>
      <c r="C58" t="s">
        <v>2493</v>
      </c>
      <c r="D58">
        <v>1</v>
      </c>
    </row>
    <row r="59" spans="1:4" x14ac:dyDescent="0.25">
      <c r="A59" t="s">
        <v>80</v>
      </c>
      <c r="B59" t="s">
        <v>1396</v>
      </c>
      <c r="C59" t="s">
        <v>385</v>
      </c>
      <c r="D59">
        <v>0</v>
      </c>
    </row>
    <row r="60" spans="1:4" x14ac:dyDescent="0.25">
      <c r="A60" t="s">
        <v>80</v>
      </c>
      <c r="B60" t="s">
        <v>1882</v>
      </c>
      <c r="C60" t="s">
        <v>838</v>
      </c>
      <c r="D60">
        <v>-3</v>
      </c>
    </row>
    <row r="61" spans="1:4" x14ac:dyDescent="0.25">
      <c r="A61" t="s">
        <v>80</v>
      </c>
      <c r="B61" t="s">
        <v>228</v>
      </c>
      <c r="C61" t="s">
        <v>388</v>
      </c>
      <c r="D61">
        <v>-1</v>
      </c>
    </row>
    <row r="62" spans="1:4" x14ac:dyDescent="0.25">
      <c r="A62" t="s">
        <v>80</v>
      </c>
      <c r="B62" t="s">
        <v>2147</v>
      </c>
      <c r="C62" t="s">
        <v>2181</v>
      </c>
      <c r="D62">
        <v>2</v>
      </c>
    </row>
    <row r="63" spans="1:4" x14ac:dyDescent="0.25">
      <c r="A63" t="s">
        <v>80</v>
      </c>
      <c r="B63" t="s">
        <v>1019</v>
      </c>
      <c r="C63" t="s">
        <v>842</v>
      </c>
      <c r="D63">
        <v>-1</v>
      </c>
    </row>
    <row r="64" spans="1:4" x14ac:dyDescent="0.25">
      <c r="A64" t="s">
        <v>80</v>
      </c>
      <c r="B64" t="s">
        <v>76</v>
      </c>
      <c r="C64" t="s">
        <v>2232</v>
      </c>
      <c r="D64">
        <v>-3</v>
      </c>
    </row>
    <row r="65" spans="1:4" x14ac:dyDescent="0.25">
      <c r="A65" t="s">
        <v>80</v>
      </c>
      <c r="B65" t="s">
        <v>817</v>
      </c>
      <c r="C65" t="s">
        <v>4065</v>
      </c>
      <c r="D65">
        <v>-6</v>
      </c>
    </row>
    <row r="66" spans="1:4" x14ac:dyDescent="0.25">
      <c r="A66" t="s">
        <v>123</v>
      </c>
      <c r="B66" t="s">
        <v>2355</v>
      </c>
      <c r="C66" t="s">
        <v>2768</v>
      </c>
      <c r="D66">
        <v>-4</v>
      </c>
    </row>
    <row r="67" spans="1:4" x14ac:dyDescent="0.25">
      <c r="A67" t="s">
        <v>123</v>
      </c>
      <c r="B67" t="s">
        <v>827</v>
      </c>
      <c r="C67" t="s">
        <v>510</v>
      </c>
      <c r="D67">
        <v>-1</v>
      </c>
    </row>
    <row r="68" spans="1:4" x14ac:dyDescent="0.25">
      <c r="A68" t="s">
        <v>123</v>
      </c>
      <c r="B68" t="s">
        <v>641</v>
      </c>
      <c r="C68" t="s">
        <v>2238</v>
      </c>
      <c r="D68">
        <v>-4</v>
      </c>
    </row>
    <row r="69" spans="1:4" x14ac:dyDescent="0.25">
      <c r="A69" t="s">
        <v>123</v>
      </c>
      <c r="B69" t="s">
        <v>1549</v>
      </c>
      <c r="C69" t="s">
        <v>3032</v>
      </c>
      <c r="D69">
        <v>-2</v>
      </c>
    </row>
    <row r="70" spans="1:4" x14ac:dyDescent="0.25">
      <c r="A70" t="s">
        <v>123</v>
      </c>
      <c r="B70" t="s">
        <v>177</v>
      </c>
      <c r="C70" t="s">
        <v>2241</v>
      </c>
      <c r="D70">
        <v>-4</v>
      </c>
    </row>
    <row r="71" spans="1:4" x14ac:dyDescent="0.25">
      <c r="A71" t="s">
        <v>123</v>
      </c>
      <c r="B71" t="s">
        <v>462</v>
      </c>
      <c r="C71" t="s">
        <v>3034</v>
      </c>
      <c r="D71">
        <v>-2</v>
      </c>
    </row>
    <row r="72" spans="1:4" x14ac:dyDescent="0.25">
      <c r="A72" t="s">
        <v>123</v>
      </c>
      <c r="B72" t="s">
        <v>408</v>
      </c>
      <c r="C72" t="s">
        <v>660</v>
      </c>
      <c r="D72">
        <v>1</v>
      </c>
    </row>
    <row r="73" spans="1:4" x14ac:dyDescent="0.25">
      <c r="A73" t="s">
        <v>123</v>
      </c>
      <c r="B73" t="s">
        <v>961</v>
      </c>
      <c r="C73" t="s">
        <v>2734</v>
      </c>
      <c r="D73">
        <v>3</v>
      </c>
    </row>
    <row r="74" spans="1:4" x14ac:dyDescent="0.25">
      <c r="A74" t="s">
        <v>123</v>
      </c>
      <c r="B74" t="s">
        <v>104</v>
      </c>
      <c r="C74" t="s">
        <v>3578</v>
      </c>
      <c r="D74">
        <v>2</v>
      </c>
    </row>
    <row r="75" spans="1:4" x14ac:dyDescent="0.25">
      <c r="A75" t="s">
        <v>123</v>
      </c>
      <c r="B75" t="s">
        <v>987</v>
      </c>
      <c r="C75" t="s">
        <v>2245</v>
      </c>
      <c r="D75">
        <v>0</v>
      </c>
    </row>
    <row r="76" spans="1:4" x14ac:dyDescent="0.25">
      <c r="A76" t="s">
        <v>123</v>
      </c>
      <c r="B76" t="s">
        <v>2048</v>
      </c>
      <c r="C76" t="s">
        <v>669</v>
      </c>
      <c r="D76">
        <v>3</v>
      </c>
    </row>
    <row r="77" spans="1:4" x14ac:dyDescent="0.25">
      <c r="A77" t="s">
        <v>123</v>
      </c>
      <c r="B77" t="s">
        <v>475</v>
      </c>
      <c r="C77" t="s">
        <v>670</v>
      </c>
      <c r="D77">
        <v>4</v>
      </c>
    </row>
    <row r="78" spans="1:4" x14ac:dyDescent="0.25">
      <c r="A78" t="s">
        <v>123</v>
      </c>
      <c r="B78" t="s">
        <v>529</v>
      </c>
      <c r="C78" t="s">
        <v>672</v>
      </c>
      <c r="D78">
        <v>2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1.6233766233766234</v>
      </c>
    </row>
    <row r="82" spans="1:4" x14ac:dyDescent="0.25">
      <c r="A82" t="s">
        <v>159</v>
      </c>
      <c r="D82">
        <f>MAX(D2:D78)</f>
        <v>10</v>
      </c>
    </row>
    <row r="83" spans="1:4" x14ac:dyDescent="0.25">
      <c r="A83" t="s">
        <v>160</v>
      </c>
      <c r="D83">
        <f>MIN(D2:D78)</f>
        <v>-6</v>
      </c>
    </row>
    <row r="84" spans="1:4" x14ac:dyDescent="0.25">
      <c r="A84" t="s">
        <v>161</v>
      </c>
      <c r="D84">
        <f>COUNTIF(D2:D78,"&gt;0")</f>
        <v>44</v>
      </c>
    </row>
    <row r="85" spans="1:4" x14ac:dyDescent="0.25">
      <c r="A85" t="s">
        <v>162</v>
      </c>
      <c r="D85">
        <f>COUNTIF(D2:D78,"=0")</f>
        <v>7</v>
      </c>
    </row>
    <row r="86" spans="1:4" x14ac:dyDescent="0.25">
      <c r="A86" t="s">
        <v>1633</v>
      </c>
      <c r="D86">
        <f>COUNTIF(D2:D78,"&lt;0")</f>
        <v>26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AVERAGE(D2,D3,D4,D5,D6,D7,D8,D9,D10,D11,D12,D13,D14,D15,D16,D17,D18,D19,D20,D21,D22,D23)</f>
        <v>2.7272727272727271</v>
      </c>
    </row>
    <row r="90" spans="1:4" x14ac:dyDescent="0.25">
      <c r="A90" t="s">
        <v>166</v>
      </c>
      <c r="D90">
        <f>AVERAGE(D24,D25,D26,D27,D28,D29,D30,D31,D32,D33,D34,D35,D36,D37,D38,D39,D40,D41,D42,D43)</f>
        <v>-0.9</v>
      </c>
    </row>
    <row r="91" spans="1:4" x14ac:dyDescent="0.25">
      <c r="A91" t="s">
        <v>167</v>
      </c>
      <c r="D91">
        <f>AVERAGE(D44,D45,D46,D47,D48,D49,D50,D51,D52,D53,D54,D55,D56,D57,D58,D59,D60,D61,D62,D63,D64,D65)</f>
        <v>3.8636363636363638</v>
      </c>
    </row>
    <row r="92" spans="1:4" x14ac:dyDescent="0.25">
      <c r="A92" t="s">
        <v>168</v>
      </c>
      <c r="D92">
        <f>AVERAGE(D66,D67,D68,D69,D70,D71,D72,D73,D74,D75,D76,D77,D78)</f>
        <v>-0.15384615384615385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237</v>
      </c>
      <c r="C2" t="s">
        <v>1008</v>
      </c>
      <c r="D2">
        <v>-3</v>
      </c>
    </row>
    <row r="3" spans="1:4" x14ac:dyDescent="0.25">
      <c r="A3" t="s">
        <v>4</v>
      </c>
      <c r="B3" t="s">
        <v>1680</v>
      </c>
      <c r="C3" t="s">
        <v>306</v>
      </c>
      <c r="D3">
        <v>-1</v>
      </c>
    </row>
    <row r="4" spans="1:4" x14ac:dyDescent="0.25">
      <c r="A4" t="s">
        <v>4</v>
      </c>
      <c r="B4" t="s">
        <v>487</v>
      </c>
      <c r="C4" t="s">
        <v>10</v>
      </c>
      <c r="D4">
        <v>-2</v>
      </c>
    </row>
    <row r="5" spans="1:4" x14ac:dyDescent="0.25">
      <c r="A5" t="s">
        <v>4</v>
      </c>
      <c r="B5" t="s">
        <v>487</v>
      </c>
      <c r="C5" t="s">
        <v>1869</v>
      </c>
      <c r="D5">
        <v>-3</v>
      </c>
    </row>
    <row r="6" spans="1:4" x14ac:dyDescent="0.25">
      <c r="A6" t="s">
        <v>4</v>
      </c>
      <c r="B6" t="s">
        <v>514</v>
      </c>
      <c r="C6" t="s">
        <v>910</v>
      </c>
      <c r="D6">
        <v>-2</v>
      </c>
    </row>
    <row r="7" spans="1:4" x14ac:dyDescent="0.25">
      <c r="A7" t="s">
        <v>4</v>
      </c>
      <c r="B7" t="s">
        <v>570</v>
      </c>
      <c r="C7" t="s">
        <v>2200</v>
      </c>
      <c r="D7">
        <v>-5</v>
      </c>
    </row>
    <row r="8" spans="1:4" x14ac:dyDescent="0.25">
      <c r="A8" t="s">
        <v>4</v>
      </c>
      <c r="B8" t="s">
        <v>1683</v>
      </c>
      <c r="C8" t="s">
        <v>4066</v>
      </c>
      <c r="D8">
        <v>-8</v>
      </c>
    </row>
    <row r="9" spans="1:4" x14ac:dyDescent="0.25">
      <c r="A9" t="s">
        <v>4</v>
      </c>
      <c r="B9" t="s">
        <v>2158</v>
      </c>
      <c r="C9" t="s">
        <v>3696</v>
      </c>
      <c r="D9">
        <v>-6</v>
      </c>
    </row>
    <row r="10" spans="1:4" x14ac:dyDescent="0.25">
      <c r="A10" t="s">
        <v>4</v>
      </c>
      <c r="B10" t="s">
        <v>1151</v>
      </c>
      <c r="C10" t="s">
        <v>4067</v>
      </c>
      <c r="D10">
        <v>-8</v>
      </c>
    </row>
    <row r="11" spans="1:4" x14ac:dyDescent="0.25">
      <c r="A11" t="s">
        <v>4</v>
      </c>
      <c r="B11" t="s">
        <v>1536</v>
      </c>
      <c r="C11" t="s">
        <v>1637</v>
      </c>
      <c r="D11">
        <v>-6</v>
      </c>
    </row>
    <row r="12" spans="1:4" x14ac:dyDescent="0.25">
      <c r="A12" t="s">
        <v>4</v>
      </c>
      <c r="B12" t="s">
        <v>285</v>
      </c>
      <c r="C12" t="s">
        <v>1639</v>
      </c>
      <c r="D12">
        <v>-8</v>
      </c>
    </row>
    <row r="13" spans="1:4" x14ac:dyDescent="0.25">
      <c r="A13" t="s">
        <v>4</v>
      </c>
      <c r="B13" t="s">
        <v>110</v>
      </c>
      <c r="C13" t="s">
        <v>2395</v>
      </c>
      <c r="D13">
        <v>-6</v>
      </c>
    </row>
    <row r="14" spans="1:4" x14ac:dyDescent="0.25">
      <c r="A14" t="s">
        <v>4</v>
      </c>
      <c r="B14" t="s">
        <v>1481</v>
      </c>
      <c r="C14" t="s">
        <v>1746</v>
      </c>
      <c r="D14">
        <v>-3</v>
      </c>
    </row>
    <row r="15" spans="1:4" x14ac:dyDescent="0.25">
      <c r="A15" t="s">
        <v>4</v>
      </c>
      <c r="B15" t="s">
        <v>503</v>
      </c>
      <c r="C15" t="s">
        <v>3667</v>
      </c>
      <c r="D15">
        <v>-4</v>
      </c>
    </row>
    <row r="16" spans="1:4" x14ac:dyDescent="0.25">
      <c r="A16" t="s">
        <v>4</v>
      </c>
      <c r="B16" t="s">
        <v>503</v>
      </c>
      <c r="C16" t="s">
        <v>2203</v>
      </c>
      <c r="D16">
        <v>-5</v>
      </c>
    </row>
    <row r="17" spans="1:4" x14ac:dyDescent="0.25">
      <c r="A17" t="s">
        <v>4</v>
      </c>
      <c r="B17" t="s">
        <v>448</v>
      </c>
      <c r="C17" t="s">
        <v>1703</v>
      </c>
      <c r="D17">
        <v>-7</v>
      </c>
    </row>
    <row r="18" spans="1:4" x14ac:dyDescent="0.25">
      <c r="A18" t="s">
        <v>4</v>
      </c>
      <c r="B18" t="s">
        <v>1484</v>
      </c>
      <c r="C18" t="s">
        <v>2699</v>
      </c>
      <c r="D18">
        <v>-4</v>
      </c>
    </row>
    <row r="19" spans="1:4" x14ac:dyDescent="0.25">
      <c r="A19" t="s">
        <v>4</v>
      </c>
      <c r="B19" t="s">
        <v>554</v>
      </c>
      <c r="C19" t="s">
        <v>1506</v>
      </c>
      <c r="D19">
        <v>-5</v>
      </c>
    </row>
    <row r="20" spans="1:4" x14ac:dyDescent="0.25">
      <c r="A20" t="s">
        <v>4</v>
      </c>
      <c r="B20" t="s">
        <v>554</v>
      </c>
      <c r="C20" t="s">
        <v>2700</v>
      </c>
      <c r="D20">
        <v>-6</v>
      </c>
    </row>
    <row r="21" spans="1:4" x14ac:dyDescent="0.25">
      <c r="A21" t="s">
        <v>4</v>
      </c>
      <c r="B21" t="s">
        <v>681</v>
      </c>
      <c r="C21" t="s">
        <v>2722</v>
      </c>
      <c r="D21">
        <v>-3</v>
      </c>
    </row>
    <row r="22" spans="1:4" x14ac:dyDescent="0.25">
      <c r="A22" t="s">
        <v>4</v>
      </c>
      <c r="B22" t="s">
        <v>770</v>
      </c>
      <c r="C22" t="s">
        <v>2404</v>
      </c>
      <c r="D22">
        <v>-6</v>
      </c>
    </row>
    <row r="23" spans="1:4" x14ac:dyDescent="0.25">
      <c r="A23" t="s">
        <v>40</v>
      </c>
      <c r="B23" t="s">
        <v>907</v>
      </c>
      <c r="C23" t="s">
        <v>46</v>
      </c>
      <c r="D23">
        <v>-5</v>
      </c>
    </row>
    <row r="24" spans="1:4" x14ac:dyDescent="0.25">
      <c r="A24" t="s">
        <v>40</v>
      </c>
      <c r="B24" t="s">
        <v>269</v>
      </c>
      <c r="C24" t="s">
        <v>48</v>
      </c>
      <c r="D24">
        <v>-3</v>
      </c>
    </row>
    <row r="25" spans="1:4" x14ac:dyDescent="0.25">
      <c r="A25" t="s">
        <v>40</v>
      </c>
      <c r="B25" t="s">
        <v>1665</v>
      </c>
      <c r="C25" t="s">
        <v>2702</v>
      </c>
      <c r="D25">
        <v>-1</v>
      </c>
    </row>
    <row r="26" spans="1:4" x14ac:dyDescent="0.25">
      <c r="A26" t="s">
        <v>40</v>
      </c>
      <c r="B26" t="s">
        <v>797</v>
      </c>
      <c r="C26" t="s">
        <v>53</v>
      </c>
      <c r="D26">
        <v>-3</v>
      </c>
    </row>
    <row r="27" spans="1:4" x14ac:dyDescent="0.25">
      <c r="A27" t="s">
        <v>40</v>
      </c>
      <c r="B27" t="s">
        <v>1010</v>
      </c>
      <c r="C27" t="s">
        <v>593</v>
      </c>
      <c r="D27">
        <v>-1</v>
      </c>
    </row>
    <row r="28" spans="1:4" x14ac:dyDescent="0.25">
      <c r="A28" t="s">
        <v>40</v>
      </c>
      <c r="B28" t="s">
        <v>208</v>
      </c>
      <c r="C28" t="s">
        <v>459</v>
      </c>
      <c r="D28">
        <v>-3</v>
      </c>
    </row>
    <row r="29" spans="1:4" x14ac:dyDescent="0.25">
      <c r="A29" t="s">
        <v>40</v>
      </c>
      <c r="B29" t="s">
        <v>208</v>
      </c>
      <c r="C29" t="s">
        <v>57</v>
      </c>
      <c r="D29">
        <v>-4</v>
      </c>
    </row>
    <row r="30" spans="1:4" x14ac:dyDescent="0.25">
      <c r="A30" t="s">
        <v>40</v>
      </c>
      <c r="B30" t="s">
        <v>1280</v>
      </c>
      <c r="C30" t="s">
        <v>1512</v>
      </c>
      <c r="D30">
        <v>-2</v>
      </c>
    </row>
    <row r="31" spans="1:4" x14ac:dyDescent="0.25">
      <c r="A31" t="s">
        <v>40</v>
      </c>
      <c r="B31" t="s">
        <v>277</v>
      </c>
      <c r="C31" t="s">
        <v>1880</v>
      </c>
      <c r="D31">
        <v>-5</v>
      </c>
    </row>
    <row r="32" spans="1:4" x14ac:dyDescent="0.25">
      <c r="A32" t="s">
        <v>40</v>
      </c>
      <c r="B32" t="s">
        <v>2080</v>
      </c>
      <c r="C32" t="s">
        <v>65</v>
      </c>
      <c r="D32">
        <v>-2</v>
      </c>
    </row>
    <row r="33" spans="1:4" x14ac:dyDescent="0.25">
      <c r="A33" t="s">
        <v>40</v>
      </c>
      <c r="B33" t="s">
        <v>138</v>
      </c>
      <c r="C33" t="s">
        <v>466</v>
      </c>
      <c r="D33">
        <v>0</v>
      </c>
    </row>
    <row r="34" spans="1:4" x14ac:dyDescent="0.25">
      <c r="A34" t="s">
        <v>40</v>
      </c>
      <c r="B34" t="s">
        <v>2158</v>
      </c>
      <c r="C34" t="s">
        <v>2267</v>
      </c>
      <c r="D34">
        <v>3</v>
      </c>
    </row>
    <row r="35" spans="1:4" x14ac:dyDescent="0.25">
      <c r="A35" t="s">
        <v>40</v>
      </c>
      <c r="B35" t="s">
        <v>2962</v>
      </c>
      <c r="C35" t="s">
        <v>728</v>
      </c>
      <c r="D35">
        <v>2</v>
      </c>
    </row>
    <row r="36" spans="1:4" x14ac:dyDescent="0.25">
      <c r="A36" t="s">
        <v>40</v>
      </c>
      <c r="B36" t="s">
        <v>1819</v>
      </c>
      <c r="C36" t="s">
        <v>3682</v>
      </c>
      <c r="D36">
        <v>5</v>
      </c>
    </row>
    <row r="37" spans="1:4" x14ac:dyDescent="0.25">
      <c r="A37" t="s">
        <v>40</v>
      </c>
      <c r="B37" t="s">
        <v>339</v>
      </c>
      <c r="C37" t="s">
        <v>1590</v>
      </c>
      <c r="D37">
        <v>7</v>
      </c>
    </row>
    <row r="38" spans="1:4" x14ac:dyDescent="0.25">
      <c r="A38" t="s">
        <v>40</v>
      </c>
      <c r="B38" t="s">
        <v>577</v>
      </c>
      <c r="C38" t="s">
        <v>2269</v>
      </c>
      <c r="D38">
        <v>4</v>
      </c>
    </row>
    <row r="39" spans="1:4" x14ac:dyDescent="0.25">
      <c r="A39" t="s">
        <v>40</v>
      </c>
      <c r="B39" t="s">
        <v>749</v>
      </c>
      <c r="C39" t="s">
        <v>1672</v>
      </c>
      <c r="D39">
        <v>7</v>
      </c>
    </row>
    <row r="40" spans="1:4" x14ac:dyDescent="0.25">
      <c r="A40" t="s">
        <v>40</v>
      </c>
      <c r="B40" t="s">
        <v>1129</v>
      </c>
      <c r="C40" t="s">
        <v>2166</v>
      </c>
      <c r="D40">
        <v>6</v>
      </c>
    </row>
    <row r="41" spans="1:4" x14ac:dyDescent="0.25">
      <c r="A41" t="s">
        <v>40</v>
      </c>
      <c r="B41" t="s">
        <v>1129</v>
      </c>
      <c r="C41" t="s">
        <v>2305</v>
      </c>
      <c r="D41">
        <v>5</v>
      </c>
    </row>
    <row r="42" spans="1:4" x14ac:dyDescent="0.25">
      <c r="A42" t="s">
        <v>40</v>
      </c>
      <c r="B42" t="s">
        <v>198</v>
      </c>
      <c r="C42" t="s">
        <v>735</v>
      </c>
      <c r="D42">
        <v>3</v>
      </c>
    </row>
    <row r="43" spans="1:4" x14ac:dyDescent="0.25">
      <c r="A43" t="s">
        <v>40</v>
      </c>
      <c r="B43" t="s">
        <v>1988</v>
      </c>
      <c r="C43" t="s">
        <v>482</v>
      </c>
      <c r="D43">
        <v>1</v>
      </c>
    </row>
    <row r="44" spans="1:4" x14ac:dyDescent="0.25">
      <c r="A44" t="s">
        <v>40</v>
      </c>
      <c r="B44" t="s">
        <v>301</v>
      </c>
      <c r="C44" t="s">
        <v>484</v>
      </c>
      <c r="D44">
        <v>3</v>
      </c>
    </row>
    <row r="45" spans="1:4" x14ac:dyDescent="0.25">
      <c r="A45" t="s">
        <v>80</v>
      </c>
      <c r="B45" t="s">
        <v>1541</v>
      </c>
      <c r="C45" t="s">
        <v>736</v>
      </c>
      <c r="D45">
        <v>1</v>
      </c>
    </row>
    <row r="46" spans="1:4" x14ac:dyDescent="0.25">
      <c r="A46" t="s">
        <v>80</v>
      </c>
      <c r="B46" t="s">
        <v>170</v>
      </c>
      <c r="C46" t="s">
        <v>486</v>
      </c>
      <c r="D46">
        <v>4</v>
      </c>
    </row>
    <row r="47" spans="1:4" x14ac:dyDescent="0.25">
      <c r="A47" t="s">
        <v>80</v>
      </c>
      <c r="B47" t="s">
        <v>244</v>
      </c>
      <c r="C47" t="s">
        <v>2610</v>
      </c>
      <c r="D47">
        <v>3</v>
      </c>
    </row>
    <row r="48" spans="1:4" x14ac:dyDescent="0.25">
      <c r="A48" t="s">
        <v>80</v>
      </c>
      <c r="B48" t="s">
        <v>244</v>
      </c>
      <c r="C48" t="s">
        <v>2611</v>
      </c>
      <c r="D48">
        <v>2</v>
      </c>
    </row>
    <row r="49" spans="1:4" x14ac:dyDescent="0.25">
      <c r="A49" t="s">
        <v>80</v>
      </c>
      <c r="B49" t="s">
        <v>1192</v>
      </c>
      <c r="C49" t="s">
        <v>489</v>
      </c>
      <c r="D49">
        <v>4</v>
      </c>
    </row>
    <row r="50" spans="1:4" x14ac:dyDescent="0.25">
      <c r="A50" t="s">
        <v>80</v>
      </c>
      <c r="B50" t="s">
        <v>778</v>
      </c>
      <c r="C50" t="s">
        <v>2880</v>
      </c>
      <c r="D50">
        <v>1</v>
      </c>
    </row>
    <row r="51" spans="1:4" x14ac:dyDescent="0.25">
      <c r="A51" t="s">
        <v>80</v>
      </c>
      <c r="B51" t="s">
        <v>1143</v>
      </c>
      <c r="C51" t="s">
        <v>2174</v>
      </c>
      <c r="D51">
        <v>3</v>
      </c>
    </row>
    <row r="52" spans="1:4" x14ac:dyDescent="0.25">
      <c r="A52" t="s">
        <v>80</v>
      </c>
      <c r="B52" t="s">
        <v>621</v>
      </c>
      <c r="C52" t="s">
        <v>2273</v>
      </c>
      <c r="D52">
        <v>5</v>
      </c>
    </row>
    <row r="53" spans="1:4" x14ac:dyDescent="0.25">
      <c r="A53" t="s">
        <v>80</v>
      </c>
      <c r="B53" t="s">
        <v>1958</v>
      </c>
      <c r="C53" t="s">
        <v>3030</v>
      </c>
      <c r="D53">
        <v>3</v>
      </c>
    </row>
    <row r="54" spans="1:4" x14ac:dyDescent="0.25">
      <c r="A54" t="s">
        <v>80</v>
      </c>
      <c r="B54" t="s">
        <v>1417</v>
      </c>
      <c r="C54" t="s">
        <v>2914</v>
      </c>
      <c r="D54">
        <v>5</v>
      </c>
    </row>
    <row r="55" spans="1:4" x14ac:dyDescent="0.25">
      <c r="A55" t="s">
        <v>80</v>
      </c>
      <c r="B55" t="s">
        <v>93</v>
      </c>
      <c r="C55" t="s">
        <v>2276</v>
      </c>
      <c r="D55">
        <v>7</v>
      </c>
    </row>
    <row r="56" spans="1:4" x14ac:dyDescent="0.25">
      <c r="A56" t="s">
        <v>80</v>
      </c>
      <c r="B56" t="s">
        <v>1775</v>
      </c>
      <c r="C56" t="s">
        <v>2277</v>
      </c>
      <c r="D56">
        <v>9</v>
      </c>
    </row>
    <row r="57" spans="1:4" x14ac:dyDescent="0.25">
      <c r="A57" t="s">
        <v>80</v>
      </c>
      <c r="B57" t="s">
        <v>2962</v>
      </c>
      <c r="C57" t="s">
        <v>1467</v>
      </c>
      <c r="D57">
        <v>11</v>
      </c>
    </row>
    <row r="58" spans="1:4" x14ac:dyDescent="0.25">
      <c r="A58" t="s">
        <v>80</v>
      </c>
      <c r="B58" t="s">
        <v>1503</v>
      </c>
      <c r="C58" t="s">
        <v>2882</v>
      </c>
      <c r="D58">
        <v>10</v>
      </c>
    </row>
    <row r="59" spans="1:4" x14ac:dyDescent="0.25">
      <c r="A59" t="s">
        <v>80</v>
      </c>
      <c r="B59" t="s">
        <v>577</v>
      </c>
      <c r="C59" t="s">
        <v>3664</v>
      </c>
      <c r="D59">
        <v>11</v>
      </c>
    </row>
    <row r="60" spans="1:4" x14ac:dyDescent="0.25">
      <c r="A60" t="s">
        <v>80</v>
      </c>
      <c r="B60" t="s">
        <v>924</v>
      </c>
      <c r="C60" t="s">
        <v>2987</v>
      </c>
      <c r="D60">
        <v>13</v>
      </c>
    </row>
    <row r="61" spans="1:4" x14ac:dyDescent="0.25">
      <c r="A61" t="s">
        <v>80</v>
      </c>
      <c r="B61" t="s">
        <v>27</v>
      </c>
      <c r="C61" t="s">
        <v>4018</v>
      </c>
      <c r="D61">
        <v>16</v>
      </c>
    </row>
    <row r="62" spans="1:4" x14ac:dyDescent="0.25">
      <c r="A62" t="s">
        <v>80</v>
      </c>
      <c r="B62" t="s">
        <v>389</v>
      </c>
      <c r="C62" t="s">
        <v>2867</v>
      </c>
      <c r="D62">
        <v>15</v>
      </c>
    </row>
    <row r="63" spans="1:4" x14ac:dyDescent="0.25">
      <c r="A63" t="s">
        <v>80</v>
      </c>
      <c r="B63" t="s">
        <v>389</v>
      </c>
      <c r="C63" t="s">
        <v>3734</v>
      </c>
      <c r="D63">
        <v>14</v>
      </c>
    </row>
    <row r="64" spans="1:4" x14ac:dyDescent="0.25">
      <c r="A64" t="s">
        <v>80</v>
      </c>
      <c r="B64" t="s">
        <v>31</v>
      </c>
      <c r="C64" t="s">
        <v>3382</v>
      </c>
      <c r="D64">
        <v>16</v>
      </c>
    </row>
    <row r="65" spans="1:4" x14ac:dyDescent="0.25">
      <c r="A65" t="s">
        <v>80</v>
      </c>
      <c r="B65" t="s">
        <v>483</v>
      </c>
      <c r="C65" t="s">
        <v>3349</v>
      </c>
      <c r="D65">
        <v>15</v>
      </c>
    </row>
    <row r="66" spans="1:4" x14ac:dyDescent="0.25">
      <c r="A66" t="s">
        <v>80</v>
      </c>
      <c r="B66" t="s">
        <v>1733</v>
      </c>
      <c r="C66" t="s">
        <v>2944</v>
      </c>
      <c r="D66">
        <v>17</v>
      </c>
    </row>
    <row r="67" spans="1:4" x14ac:dyDescent="0.25">
      <c r="A67" t="s">
        <v>123</v>
      </c>
      <c r="B67" t="s">
        <v>5</v>
      </c>
      <c r="C67" t="s">
        <v>4068</v>
      </c>
      <c r="D67">
        <v>20</v>
      </c>
    </row>
    <row r="68" spans="1:4" x14ac:dyDescent="0.25">
      <c r="A68" t="s">
        <v>123</v>
      </c>
      <c r="B68" t="s">
        <v>242</v>
      </c>
      <c r="C68" t="s">
        <v>3853</v>
      </c>
      <c r="D68">
        <v>18</v>
      </c>
    </row>
    <row r="69" spans="1:4" x14ac:dyDescent="0.25">
      <c r="A69" t="s">
        <v>123</v>
      </c>
      <c r="B69" t="s">
        <v>1431</v>
      </c>
      <c r="C69" t="s">
        <v>3186</v>
      </c>
      <c r="D69">
        <v>17</v>
      </c>
    </row>
    <row r="70" spans="1:4" x14ac:dyDescent="0.25">
      <c r="A70" t="s">
        <v>123</v>
      </c>
      <c r="B70" t="s">
        <v>859</v>
      </c>
      <c r="C70" t="s">
        <v>981</v>
      </c>
      <c r="D70">
        <v>19</v>
      </c>
    </row>
    <row r="71" spans="1:4" x14ac:dyDescent="0.25">
      <c r="A71" t="s">
        <v>123</v>
      </c>
      <c r="B71" t="s">
        <v>1194</v>
      </c>
      <c r="C71" t="s">
        <v>1476</v>
      </c>
      <c r="D71">
        <v>17</v>
      </c>
    </row>
    <row r="72" spans="1:4" x14ac:dyDescent="0.25">
      <c r="A72" t="s">
        <v>123</v>
      </c>
      <c r="B72" t="s">
        <v>56</v>
      </c>
      <c r="C72" t="s">
        <v>2094</v>
      </c>
      <c r="D72">
        <v>19</v>
      </c>
    </row>
    <row r="73" spans="1:4" x14ac:dyDescent="0.25">
      <c r="A73" t="s">
        <v>123</v>
      </c>
      <c r="B73" t="s">
        <v>56</v>
      </c>
      <c r="C73" t="s">
        <v>2095</v>
      </c>
      <c r="D73">
        <v>20</v>
      </c>
    </row>
    <row r="74" spans="1:4" x14ac:dyDescent="0.25">
      <c r="A74" t="s">
        <v>123</v>
      </c>
      <c r="B74" t="s">
        <v>836</v>
      </c>
      <c r="C74" t="s">
        <v>1479</v>
      </c>
      <c r="D74">
        <v>18</v>
      </c>
    </row>
    <row r="75" spans="1:4" x14ac:dyDescent="0.25">
      <c r="A75" t="s">
        <v>123</v>
      </c>
      <c r="B75" t="s">
        <v>284</v>
      </c>
      <c r="C75" t="s">
        <v>2384</v>
      </c>
      <c r="D75">
        <v>20</v>
      </c>
    </row>
    <row r="76" spans="1:4" x14ac:dyDescent="0.25">
      <c r="A76" t="s">
        <v>123</v>
      </c>
      <c r="B76" t="s">
        <v>1016</v>
      </c>
      <c r="C76" t="s">
        <v>2385</v>
      </c>
      <c r="D76">
        <v>21</v>
      </c>
    </row>
    <row r="77" spans="1:4" x14ac:dyDescent="0.25">
      <c r="A77" t="s">
        <v>123</v>
      </c>
      <c r="B77" t="s">
        <v>577</v>
      </c>
      <c r="C77" t="s">
        <v>4069</v>
      </c>
      <c r="D77">
        <v>19</v>
      </c>
    </row>
    <row r="78" spans="1:4" x14ac:dyDescent="0.25">
      <c r="A78" t="s">
        <v>123</v>
      </c>
      <c r="B78" t="s">
        <v>1217</v>
      </c>
      <c r="C78" t="s">
        <v>3689</v>
      </c>
      <c r="D78">
        <v>20</v>
      </c>
    </row>
    <row r="79" spans="1:4" x14ac:dyDescent="0.25">
      <c r="A79" t="s">
        <v>123</v>
      </c>
      <c r="B79" t="s">
        <v>1422</v>
      </c>
      <c r="C79" t="s">
        <v>2845</v>
      </c>
      <c r="D79">
        <v>19</v>
      </c>
    </row>
    <row r="80" spans="1:4" x14ac:dyDescent="0.25">
      <c r="A80" t="s">
        <v>123</v>
      </c>
      <c r="B80" t="s">
        <v>1422</v>
      </c>
      <c r="C80" t="s">
        <v>3189</v>
      </c>
      <c r="D80">
        <v>18</v>
      </c>
    </row>
    <row r="81" spans="1:4" x14ac:dyDescent="0.25">
      <c r="A81" t="s">
        <v>123</v>
      </c>
      <c r="B81" t="s">
        <v>611</v>
      </c>
      <c r="C81" t="s">
        <v>2950</v>
      </c>
      <c r="D81">
        <v>20</v>
      </c>
    </row>
    <row r="82" spans="1:4" x14ac:dyDescent="0.25">
      <c r="A82" t="s">
        <v>123</v>
      </c>
      <c r="B82" t="s">
        <v>1112</v>
      </c>
      <c r="C82" t="s">
        <v>3191</v>
      </c>
      <c r="D82">
        <v>18</v>
      </c>
    </row>
    <row r="83" spans="1:4" x14ac:dyDescent="0.25">
      <c r="A83" t="s">
        <v>123</v>
      </c>
      <c r="B83" t="s">
        <v>1112</v>
      </c>
      <c r="C83" t="s">
        <v>3855</v>
      </c>
      <c r="D83">
        <v>17</v>
      </c>
    </row>
    <row r="84" spans="1:4" x14ac:dyDescent="0.25">
      <c r="A84" t="s">
        <v>123</v>
      </c>
      <c r="B84" t="s">
        <v>1019</v>
      </c>
      <c r="C84" t="s">
        <v>3693</v>
      </c>
      <c r="D84">
        <v>19</v>
      </c>
    </row>
    <row r="85" spans="1:4" x14ac:dyDescent="0.25">
      <c r="A85" t="s">
        <v>123</v>
      </c>
      <c r="B85" t="s">
        <v>1019</v>
      </c>
      <c r="C85" t="s">
        <v>3192</v>
      </c>
      <c r="D85">
        <v>20</v>
      </c>
    </row>
    <row r="86" spans="1:4" x14ac:dyDescent="0.25">
      <c r="A86" t="s">
        <v>123</v>
      </c>
      <c r="B86" t="s">
        <v>1437</v>
      </c>
      <c r="C86" t="s">
        <v>3193</v>
      </c>
      <c r="D86">
        <v>18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5.6235294117647054</v>
      </c>
    </row>
    <row r="90" spans="1:4" x14ac:dyDescent="0.25">
      <c r="A90" t="s">
        <v>159</v>
      </c>
      <c r="D90">
        <f>MAX(D2:D86)</f>
        <v>21</v>
      </c>
    </row>
    <row r="91" spans="1:4" x14ac:dyDescent="0.25">
      <c r="A91" t="s">
        <v>160</v>
      </c>
      <c r="D91">
        <f>MIN(D2:D86)</f>
        <v>-8</v>
      </c>
    </row>
    <row r="92" spans="1:4" x14ac:dyDescent="0.25">
      <c r="A92" t="s">
        <v>161</v>
      </c>
      <c r="D92">
        <f>COUNTIF(D2:D86,"&gt;0")</f>
        <v>53</v>
      </c>
    </row>
    <row r="93" spans="1:4" x14ac:dyDescent="0.25">
      <c r="A93" t="s">
        <v>162</v>
      </c>
      <c r="D93">
        <f>COUNTIF(D2:D86,"=0")</f>
        <v>1</v>
      </c>
    </row>
    <row r="94" spans="1:4" x14ac:dyDescent="0.25">
      <c r="A94" t="s">
        <v>775</v>
      </c>
      <c r="D94">
        <f>COUNTIF(D2:D86,"&lt;0")</f>
        <v>31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AVERAGE(D2,D3,D4,D5,D6,D7,D8,D9,D10,D11,D12,D13,D14,D15,D16,D17,D18,D19,D20,D21,D22)</f>
        <v>-4.8095238095238093</v>
      </c>
    </row>
    <row r="98" spans="1:4" x14ac:dyDescent="0.25">
      <c r="A98" t="s">
        <v>166</v>
      </c>
      <c r="D98">
        <f>AVERAGE(D23,D24,D25,D26,D27,D28,D29,D30,D31,D32,D33,D34,D35,D36,D37,D38,D39,D40,D41,D42,D43,D44)</f>
        <v>0.77272727272727271</v>
      </c>
    </row>
    <row r="99" spans="1:4" x14ac:dyDescent="0.25">
      <c r="A99" t="s">
        <v>167</v>
      </c>
      <c r="D99">
        <f>AVERAGE(D45,D46,D47,D48,D49,D50,D51,D52,D53,D54,D55,D56,D57,D58,D59,D60,D61,D62,D63,D64,D65,D66)</f>
        <v>8.4090909090909083</v>
      </c>
    </row>
    <row r="100" spans="1:4" x14ac:dyDescent="0.25">
      <c r="A100" t="s">
        <v>168</v>
      </c>
      <c r="D100">
        <f>AVERAGE(D67,D68,D69,D70,D71,D72,D73,D74,D75,D76,D77,D78,D79,D80,D81,D82,D83,D84,D85,D86)</f>
        <v>18.850000000000001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8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237</v>
      </c>
      <c r="C2" t="s">
        <v>1008</v>
      </c>
      <c r="D2">
        <v>-3</v>
      </c>
    </row>
    <row r="3" spans="1:4" x14ac:dyDescent="0.25">
      <c r="A3" t="s">
        <v>4</v>
      </c>
      <c r="B3" t="s">
        <v>1680</v>
      </c>
      <c r="C3" t="s">
        <v>306</v>
      </c>
      <c r="D3">
        <v>-1</v>
      </c>
    </row>
    <row r="4" spans="1:4" x14ac:dyDescent="0.25">
      <c r="A4" t="s">
        <v>4</v>
      </c>
      <c r="B4" t="s">
        <v>400</v>
      </c>
      <c r="C4" t="s">
        <v>10</v>
      </c>
      <c r="D4">
        <v>-2</v>
      </c>
    </row>
    <row r="5" spans="1:4" x14ac:dyDescent="0.25">
      <c r="A5" t="s">
        <v>4</v>
      </c>
      <c r="B5" t="s">
        <v>400</v>
      </c>
      <c r="C5" t="s">
        <v>1869</v>
      </c>
      <c r="D5">
        <v>-3</v>
      </c>
    </row>
    <row r="6" spans="1:4" x14ac:dyDescent="0.25">
      <c r="A6" t="s">
        <v>4</v>
      </c>
      <c r="B6" t="s">
        <v>2074</v>
      </c>
      <c r="C6" t="s">
        <v>309</v>
      </c>
      <c r="D6">
        <v>-1</v>
      </c>
    </row>
    <row r="7" spans="1:4" x14ac:dyDescent="0.25">
      <c r="A7" t="s">
        <v>4</v>
      </c>
      <c r="B7" t="s">
        <v>621</v>
      </c>
      <c r="C7" t="s">
        <v>1193</v>
      </c>
      <c r="D7">
        <v>1</v>
      </c>
    </row>
    <row r="8" spans="1:4" x14ac:dyDescent="0.25">
      <c r="A8" t="s">
        <v>4</v>
      </c>
      <c r="B8" t="s">
        <v>1069</v>
      </c>
      <c r="C8" t="s">
        <v>695</v>
      </c>
      <c r="D8">
        <v>3</v>
      </c>
    </row>
    <row r="9" spans="1:4" x14ac:dyDescent="0.25">
      <c r="A9" t="s">
        <v>4</v>
      </c>
      <c r="B9" t="s">
        <v>1475</v>
      </c>
      <c r="C9" t="s">
        <v>20</v>
      </c>
      <c r="D9">
        <v>0</v>
      </c>
    </row>
    <row r="10" spans="1:4" x14ac:dyDescent="0.25">
      <c r="A10" t="s">
        <v>4</v>
      </c>
      <c r="B10" t="s">
        <v>2250</v>
      </c>
      <c r="C10" t="s">
        <v>22</v>
      </c>
      <c r="D10">
        <v>2</v>
      </c>
    </row>
    <row r="11" spans="1:4" x14ac:dyDescent="0.25">
      <c r="A11" t="s">
        <v>4</v>
      </c>
      <c r="B11" t="s">
        <v>1698</v>
      </c>
      <c r="C11" t="s">
        <v>1110</v>
      </c>
      <c r="D11">
        <v>0</v>
      </c>
    </row>
    <row r="12" spans="1:4" x14ac:dyDescent="0.25">
      <c r="A12" t="s">
        <v>4</v>
      </c>
      <c r="B12" t="s">
        <v>1700</v>
      </c>
      <c r="C12" t="s">
        <v>917</v>
      </c>
      <c r="D12">
        <v>2</v>
      </c>
    </row>
    <row r="13" spans="1:4" x14ac:dyDescent="0.25">
      <c r="A13" t="s">
        <v>4</v>
      </c>
      <c r="B13" t="s">
        <v>2363</v>
      </c>
      <c r="C13" t="s">
        <v>2155</v>
      </c>
      <c r="D13">
        <v>0</v>
      </c>
    </row>
    <row r="14" spans="1:4" x14ac:dyDescent="0.25">
      <c r="A14" t="s">
        <v>4</v>
      </c>
      <c r="B14" t="s">
        <v>392</v>
      </c>
      <c r="C14" t="s">
        <v>919</v>
      </c>
      <c r="D14">
        <v>1</v>
      </c>
    </row>
    <row r="15" spans="1:4" x14ac:dyDescent="0.25">
      <c r="A15" t="s">
        <v>4</v>
      </c>
      <c r="B15" t="s">
        <v>392</v>
      </c>
      <c r="C15" t="s">
        <v>1872</v>
      </c>
      <c r="D15">
        <v>2</v>
      </c>
    </row>
    <row r="16" spans="1:4" x14ac:dyDescent="0.25">
      <c r="A16" t="s">
        <v>4</v>
      </c>
      <c r="B16" t="s">
        <v>346</v>
      </c>
      <c r="C16" t="s">
        <v>34</v>
      </c>
      <c r="D16">
        <v>0</v>
      </c>
    </row>
    <row r="17" spans="1:4" x14ac:dyDescent="0.25">
      <c r="A17" t="s">
        <v>4</v>
      </c>
      <c r="B17" t="s">
        <v>1990</v>
      </c>
      <c r="C17" t="s">
        <v>921</v>
      </c>
      <c r="D17">
        <v>1</v>
      </c>
    </row>
    <row r="18" spans="1:4" x14ac:dyDescent="0.25">
      <c r="A18" t="s">
        <v>4</v>
      </c>
      <c r="B18" t="s">
        <v>930</v>
      </c>
      <c r="C18" t="s">
        <v>705</v>
      </c>
      <c r="D18">
        <v>-1</v>
      </c>
    </row>
    <row r="19" spans="1:4" x14ac:dyDescent="0.25">
      <c r="A19" t="s">
        <v>4</v>
      </c>
      <c r="B19" t="s">
        <v>78</v>
      </c>
      <c r="C19" t="s">
        <v>707</v>
      </c>
      <c r="D19">
        <v>1</v>
      </c>
    </row>
    <row r="20" spans="1:4" x14ac:dyDescent="0.25">
      <c r="A20" t="s">
        <v>40</v>
      </c>
      <c r="B20" t="s">
        <v>714</v>
      </c>
      <c r="C20" t="s">
        <v>708</v>
      </c>
      <c r="D20">
        <v>3</v>
      </c>
    </row>
    <row r="21" spans="1:4" x14ac:dyDescent="0.25">
      <c r="A21" t="s">
        <v>40</v>
      </c>
      <c r="B21" t="s">
        <v>1116</v>
      </c>
      <c r="C21" t="s">
        <v>330</v>
      </c>
      <c r="D21">
        <v>5</v>
      </c>
    </row>
    <row r="22" spans="1:4" x14ac:dyDescent="0.25">
      <c r="A22" t="s">
        <v>40</v>
      </c>
      <c r="B22" t="s">
        <v>1789</v>
      </c>
      <c r="C22" t="s">
        <v>923</v>
      </c>
      <c r="D22">
        <v>7</v>
      </c>
    </row>
    <row r="23" spans="1:4" x14ac:dyDescent="0.25">
      <c r="A23" t="s">
        <v>40</v>
      </c>
      <c r="B23" t="s">
        <v>400</v>
      </c>
      <c r="C23" t="s">
        <v>1207</v>
      </c>
      <c r="D23">
        <v>5</v>
      </c>
    </row>
    <row r="24" spans="1:4" x14ac:dyDescent="0.25">
      <c r="A24" t="s">
        <v>40</v>
      </c>
      <c r="B24" t="s">
        <v>1246</v>
      </c>
      <c r="C24" t="s">
        <v>206</v>
      </c>
      <c r="D24">
        <v>6</v>
      </c>
    </row>
    <row r="25" spans="1:4" x14ac:dyDescent="0.25">
      <c r="A25" t="s">
        <v>40</v>
      </c>
      <c r="B25" t="s">
        <v>1246</v>
      </c>
      <c r="C25" t="s">
        <v>1581</v>
      </c>
      <c r="D25">
        <v>7</v>
      </c>
    </row>
    <row r="26" spans="1:4" x14ac:dyDescent="0.25">
      <c r="A26" t="s">
        <v>40</v>
      </c>
      <c r="B26" t="s">
        <v>13</v>
      </c>
      <c r="C26" t="s">
        <v>1582</v>
      </c>
      <c r="D26">
        <v>9</v>
      </c>
    </row>
    <row r="27" spans="1:4" x14ac:dyDescent="0.25">
      <c r="A27" t="s">
        <v>40</v>
      </c>
      <c r="B27" t="s">
        <v>462</v>
      </c>
      <c r="C27" t="s">
        <v>715</v>
      </c>
      <c r="D27">
        <v>7</v>
      </c>
    </row>
    <row r="28" spans="1:4" x14ac:dyDescent="0.25">
      <c r="A28" t="s">
        <v>40</v>
      </c>
      <c r="B28" t="s">
        <v>217</v>
      </c>
      <c r="C28" t="s">
        <v>2541</v>
      </c>
      <c r="D28">
        <v>9</v>
      </c>
    </row>
    <row r="29" spans="1:4" x14ac:dyDescent="0.25">
      <c r="A29" t="s">
        <v>40</v>
      </c>
      <c r="B29" t="s">
        <v>188</v>
      </c>
      <c r="C29" t="s">
        <v>3088</v>
      </c>
      <c r="D29">
        <v>10</v>
      </c>
    </row>
    <row r="30" spans="1:4" x14ac:dyDescent="0.25">
      <c r="A30" t="s">
        <v>40</v>
      </c>
      <c r="B30" t="s">
        <v>188</v>
      </c>
      <c r="C30" t="s">
        <v>2524</v>
      </c>
      <c r="D30">
        <v>11</v>
      </c>
    </row>
    <row r="31" spans="1:4" x14ac:dyDescent="0.25">
      <c r="A31" t="s">
        <v>40</v>
      </c>
      <c r="B31" t="s">
        <v>663</v>
      </c>
      <c r="C31" t="s">
        <v>1031</v>
      </c>
      <c r="D31">
        <v>13</v>
      </c>
    </row>
    <row r="32" spans="1:4" x14ac:dyDescent="0.25">
      <c r="A32" t="s">
        <v>40</v>
      </c>
      <c r="B32" t="s">
        <v>1016</v>
      </c>
      <c r="C32" t="s">
        <v>2526</v>
      </c>
      <c r="D32">
        <v>11</v>
      </c>
    </row>
    <row r="33" spans="1:4" x14ac:dyDescent="0.25">
      <c r="A33" t="s">
        <v>40</v>
      </c>
      <c r="B33" t="s">
        <v>25</v>
      </c>
      <c r="C33" t="s">
        <v>1934</v>
      </c>
      <c r="D33">
        <v>9</v>
      </c>
    </row>
    <row r="34" spans="1:4" x14ac:dyDescent="0.25">
      <c r="A34" t="s">
        <v>40</v>
      </c>
      <c r="B34" t="s">
        <v>1739</v>
      </c>
      <c r="C34" t="s">
        <v>3008</v>
      </c>
      <c r="D34">
        <v>11</v>
      </c>
    </row>
    <row r="35" spans="1:4" x14ac:dyDescent="0.25">
      <c r="A35" t="s">
        <v>40</v>
      </c>
      <c r="B35" t="s">
        <v>417</v>
      </c>
      <c r="C35" t="s">
        <v>2528</v>
      </c>
      <c r="D35">
        <v>9</v>
      </c>
    </row>
    <row r="36" spans="1:4" x14ac:dyDescent="0.25">
      <c r="A36" t="s">
        <v>40</v>
      </c>
      <c r="B36" t="s">
        <v>552</v>
      </c>
      <c r="C36" t="s">
        <v>2542</v>
      </c>
      <c r="D36">
        <v>11</v>
      </c>
    </row>
    <row r="37" spans="1:4" x14ac:dyDescent="0.25">
      <c r="A37" t="s">
        <v>40</v>
      </c>
      <c r="B37" t="s">
        <v>817</v>
      </c>
      <c r="C37" t="s">
        <v>3434</v>
      </c>
      <c r="D37">
        <v>13</v>
      </c>
    </row>
    <row r="38" spans="1:4" x14ac:dyDescent="0.25">
      <c r="A38" t="s">
        <v>80</v>
      </c>
      <c r="B38" t="s">
        <v>352</v>
      </c>
      <c r="C38" t="s">
        <v>2815</v>
      </c>
      <c r="D38">
        <v>11</v>
      </c>
    </row>
    <row r="39" spans="1:4" x14ac:dyDescent="0.25">
      <c r="A39" t="s">
        <v>80</v>
      </c>
      <c r="B39" t="s">
        <v>128</v>
      </c>
      <c r="C39" t="s">
        <v>2978</v>
      </c>
      <c r="D39">
        <v>13</v>
      </c>
    </row>
    <row r="40" spans="1:4" x14ac:dyDescent="0.25">
      <c r="A40" t="s">
        <v>80</v>
      </c>
      <c r="B40" t="s">
        <v>565</v>
      </c>
      <c r="C40" t="s">
        <v>3866</v>
      </c>
      <c r="D40">
        <v>16</v>
      </c>
    </row>
    <row r="41" spans="1:4" x14ac:dyDescent="0.25">
      <c r="A41" t="s">
        <v>80</v>
      </c>
      <c r="B41" t="s">
        <v>398</v>
      </c>
      <c r="C41" t="s">
        <v>2657</v>
      </c>
      <c r="D41">
        <v>17</v>
      </c>
    </row>
    <row r="42" spans="1:4" x14ac:dyDescent="0.25">
      <c r="A42" t="s">
        <v>80</v>
      </c>
      <c r="B42" t="s">
        <v>1851</v>
      </c>
      <c r="C42" t="s">
        <v>3012</v>
      </c>
      <c r="D42">
        <v>15</v>
      </c>
    </row>
    <row r="43" spans="1:4" x14ac:dyDescent="0.25">
      <c r="A43" t="s">
        <v>80</v>
      </c>
      <c r="B43" t="s">
        <v>89</v>
      </c>
      <c r="C43" t="s">
        <v>2659</v>
      </c>
      <c r="D43">
        <v>17</v>
      </c>
    </row>
    <row r="44" spans="1:4" x14ac:dyDescent="0.25">
      <c r="A44" t="s">
        <v>80</v>
      </c>
      <c r="B44" t="s">
        <v>1771</v>
      </c>
      <c r="C44" t="s">
        <v>2660</v>
      </c>
      <c r="D44">
        <v>15</v>
      </c>
    </row>
    <row r="45" spans="1:4" x14ac:dyDescent="0.25">
      <c r="A45" t="s">
        <v>80</v>
      </c>
      <c r="B45" t="s">
        <v>1013</v>
      </c>
      <c r="C45" t="s">
        <v>3341</v>
      </c>
      <c r="D45">
        <v>12</v>
      </c>
    </row>
    <row r="46" spans="1:4" x14ac:dyDescent="0.25">
      <c r="A46" t="s">
        <v>80</v>
      </c>
      <c r="B46" t="s">
        <v>1598</v>
      </c>
      <c r="C46" t="s">
        <v>3342</v>
      </c>
      <c r="D46">
        <v>10</v>
      </c>
    </row>
    <row r="47" spans="1:4" x14ac:dyDescent="0.25">
      <c r="A47" t="s">
        <v>80</v>
      </c>
      <c r="B47" t="s">
        <v>313</v>
      </c>
      <c r="C47" t="s">
        <v>1147</v>
      </c>
      <c r="D47">
        <v>7</v>
      </c>
    </row>
    <row r="48" spans="1:4" x14ac:dyDescent="0.25">
      <c r="A48" t="s">
        <v>80</v>
      </c>
      <c r="B48" t="s">
        <v>284</v>
      </c>
      <c r="C48" t="s">
        <v>4070</v>
      </c>
      <c r="D48">
        <v>10</v>
      </c>
    </row>
    <row r="49" spans="1:4" x14ac:dyDescent="0.25">
      <c r="A49" t="s">
        <v>80</v>
      </c>
      <c r="B49" t="s">
        <v>764</v>
      </c>
      <c r="C49" t="s">
        <v>2531</v>
      </c>
      <c r="D49">
        <v>7</v>
      </c>
    </row>
    <row r="50" spans="1:4" x14ac:dyDescent="0.25">
      <c r="A50" t="s">
        <v>80</v>
      </c>
      <c r="B50" t="s">
        <v>23</v>
      </c>
      <c r="C50" t="s">
        <v>2600</v>
      </c>
      <c r="D50">
        <v>10</v>
      </c>
    </row>
    <row r="51" spans="1:4" x14ac:dyDescent="0.25">
      <c r="A51" t="s">
        <v>80</v>
      </c>
      <c r="B51" t="s">
        <v>440</v>
      </c>
      <c r="C51" t="s">
        <v>1682</v>
      </c>
      <c r="D51">
        <v>12</v>
      </c>
    </row>
    <row r="52" spans="1:4" x14ac:dyDescent="0.25">
      <c r="A52" t="s">
        <v>80</v>
      </c>
      <c r="B52" t="s">
        <v>146</v>
      </c>
      <c r="C52" t="s">
        <v>2666</v>
      </c>
      <c r="D52">
        <v>14</v>
      </c>
    </row>
    <row r="53" spans="1:4" x14ac:dyDescent="0.25">
      <c r="A53" t="s">
        <v>80</v>
      </c>
      <c r="B53" t="s">
        <v>1622</v>
      </c>
      <c r="C53" t="s">
        <v>2366</v>
      </c>
      <c r="D53">
        <v>13</v>
      </c>
    </row>
    <row r="54" spans="1:4" x14ac:dyDescent="0.25">
      <c r="A54" t="s">
        <v>80</v>
      </c>
      <c r="B54" t="s">
        <v>1622</v>
      </c>
      <c r="C54" t="s">
        <v>1461</v>
      </c>
      <c r="D54">
        <v>12</v>
      </c>
    </row>
    <row r="55" spans="1:4" x14ac:dyDescent="0.25">
      <c r="A55" t="s">
        <v>80</v>
      </c>
      <c r="B55" t="s">
        <v>1874</v>
      </c>
      <c r="C55" t="s">
        <v>2789</v>
      </c>
      <c r="D55">
        <v>15</v>
      </c>
    </row>
    <row r="56" spans="1:4" x14ac:dyDescent="0.25">
      <c r="A56" t="s">
        <v>123</v>
      </c>
      <c r="B56" t="s">
        <v>1524</v>
      </c>
      <c r="C56" t="s">
        <v>3687</v>
      </c>
      <c r="D56">
        <v>18</v>
      </c>
    </row>
    <row r="57" spans="1:4" x14ac:dyDescent="0.25">
      <c r="A57" t="s">
        <v>123</v>
      </c>
      <c r="B57" t="s">
        <v>89</v>
      </c>
      <c r="C57" t="s">
        <v>4071</v>
      </c>
      <c r="D57">
        <v>20</v>
      </c>
    </row>
    <row r="58" spans="1:4" x14ac:dyDescent="0.25">
      <c r="A58" t="s">
        <v>123</v>
      </c>
      <c r="B58" t="s">
        <v>1495</v>
      </c>
      <c r="C58" t="s">
        <v>3346</v>
      </c>
      <c r="D58">
        <v>18</v>
      </c>
    </row>
    <row r="59" spans="1:4" x14ac:dyDescent="0.25">
      <c r="A59" t="s">
        <v>123</v>
      </c>
      <c r="B59" t="s">
        <v>914</v>
      </c>
      <c r="C59" t="s">
        <v>3347</v>
      </c>
      <c r="D59">
        <v>16</v>
      </c>
    </row>
    <row r="60" spans="1:4" x14ac:dyDescent="0.25">
      <c r="A60" t="s">
        <v>123</v>
      </c>
      <c r="B60" t="s">
        <v>651</v>
      </c>
      <c r="C60" t="s">
        <v>970</v>
      </c>
      <c r="D60">
        <v>17</v>
      </c>
    </row>
    <row r="61" spans="1:4" x14ac:dyDescent="0.25">
      <c r="A61" t="s">
        <v>123</v>
      </c>
      <c r="B61" t="s">
        <v>651</v>
      </c>
      <c r="C61" t="s">
        <v>3380</v>
      </c>
      <c r="D61">
        <v>18</v>
      </c>
    </row>
    <row r="62" spans="1:4" x14ac:dyDescent="0.25">
      <c r="A62" t="s">
        <v>123</v>
      </c>
      <c r="B62" t="s">
        <v>368</v>
      </c>
      <c r="C62" t="s">
        <v>4072</v>
      </c>
      <c r="D62">
        <v>17</v>
      </c>
    </row>
    <row r="63" spans="1:4" x14ac:dyDescent="0.25">
      <c r="A63" t="s">
        <v>123</v>
      </c>
      <c r="B63" t="s">
        <v>368</v>
      </c>
      <c r="C63" t="s">
        <v>3381</v>
      </c>
      <c r="D63">
        <v>16</v>
      </c>
    </row>
    <row r="64" spans="1:4" x14ac:dyDescent="0.25">
      <c r="A64" t="s">
        <v>123</v>
      </c>
      <c r="B64" t="s">
        <v>219</v>
      </c>
      <c r="C64" t="s">
        <v>2796</v>
      </c>
      <c r="D64">
        <v>13</v>
      </c>
    </row>
    <row r="65" spans="1:4" x14ac:dyDescent="0.25">
      <c r="A65" t="s">
        <v>123</v>
      </c>
      <c r="B65" t="s">
        <v>1092</v>
      </c>
      <c r="C65" t="s">
        <v>4005</v>
      </c>
      <c r="D65">
        <v>15</v>
      </c>
    </row>
    <row r="66" spans="1:4" x14ac:dyDescent="0.25">
      <c r="A66" t="s">
        <v>123</v>
      </c>
      <c r="B66" t="s">
        <v>319</v>
      </c>
      <c r="C66" t="s">
        <v>3184</v>
      </c>
      <c r="D66">
        <v>17</v>
      </c>
    </row>
    <row r="67" spans="1:4" x14ac:dyDescent="0.25">
      <c r="A67" t="s">
        <v>123</v>
      </c>
      <c r="B67" t="s">
        <v>503</v>
      </c>
      <c r="C67" t="s">
        <v>4073</v>
      </c>
      <c r="D67">
        <v>19</v>
      </c>
    </row>
    <row r="68" spans="1:4" x14ac:dyDescent="0.25">
      <c r="A68" t="s">
        <v>123</v>
      </c>
      <c r="B68" t="s">
        <v>503</v>
      </c>
      <c r="C68" t="s">
        <v>3852</v>
      </c>
      <c r="D68">
        <v>20</v>
      </c>
    </row>
    <row r="69" spans="1:4" x14ac:dyDescent="0.25">
      <c r="A69" t="s">
        <v>123</v>
      </c>
      <c r="B69" t="s">
        <v>148</v>
      </c>
      <c r="C69" t="s">
        <v>978</v>
      </c>
      <c r="D69">
        <v>18</v>
      </c>
    </row>
    <row r="70" spans="1:4" x14ac:dyDescent="0.25">
      <c r="A70" t="s">
        <v>123</v>
      </c>
      <c r="B70" t="s">
        <v>1177</v>
      </c>
      <c r="C70" t="s">
        <v>979</v>
      </c>
      <c r="D70">
        <v>20</v>
      </c>
    </row>
    <row r="71" spans="1:4" x14ac:dyDescent="0.25">
      <c r="A71" t="s">
        <v>123</v>
      </c>
      <c r="B71" t="s">
        <v>554</v>
      </c>
      <c r="C71" t="s">
        <v>3384</v>
      </c>
      <c r="D71">
        <v>22</v>
      </c>
    </row>
    <row r="72" spans="1:4" x14ac:dyDescent="0.25">
      <c r="A72" t="s">
        <v>123</v>
      </c>
      <c r="B72" t="s">
        <v>582</v>
      </c>
      <c r="C72" t="s">
        <v>3385</v>
      </c>
      <c r="D72">
        <v>20</v>
      </c>
    </row>
    <row r="74" spans="1:4" x14ac:dyDescent="0.25">
      <c r="A74" s="2" t="s">
        <v>157</v>
      </c>
    </row>
    <row r="75" spans="1:4" x14ac:dyDescent="0.25">
      <c r="A75" t="s">
        <v>158</v>
      </c>
      <c r="D75">
        <f>AVERAGE(D2:D72)</f>
        <v>9.6901408450704221</v>
      </c>
    </row>
    <row r="76" spans="1:4" x14ac:dyDescent="0.25">
      <c r="A76" t="s">
        <v>159</v>
      </c>
      <c r="D76">
        <f>MAX(D2:D72)</f>
        <v>22</v>
      </c>
    </row>
    <row r="77" spans="1:4" x14ac:dyDescent="0.25">
      <c r="A77" t="s">
        <v>160</v>
      </c>
      <c r="D77">
        <f>MIN(D2:D72)</f>
        <v>-3</v>
      </c>
    </row>
    <row r="78" spans="1:4" x14ac:dyDescent="0.25">
      <c r="A78" t="s">
        <v>161</v>
      </c>
      <c r="D78">
        <f>COUNTIF(D2:D72,"&gt;0")</f>
        <v>61</v>
      </c>
    </row>
    <row r="79" spans="1:4" x14ac:dyDescent="0.25">
      <c r="A79" t="s">
        <v>162</v>
      </c>
      <c r="D79">
        <f>COUNTIF(D2:D72,"=0")</f>
        <v>4</v>
      </c>
    </row>
    <row r="80" spans="1:4" x14ac:dyDescent="0.25">
      <c r="A80" t="s">
        <v>687</v>
      </c>
      <c r="D80">
        <f>COUNTIF(D2:D72,"&lt;0")</f>
        <v>6</v>
      </c>
    </row>
    <row r="82" spans="1:4" x14ac:dyDescent="0.25">
      <c r="A82" s="2" t="s">
        <v>164</v>
      </c>
    </row>
    <row r="83" spans="1:4" x14ac:dyDescent="0.25">
      <c r="A83" t="s">
        <v>165</v>
      </c>
      <c r="D83">
        <f>AVERAGE(D2,D3,D4,D5,D6,D7,D8,D9,D10,D11,D12,D13,D14,D15,D16,D17,D18,D19)</f>
        <v>0.1111111111111111</v>
      </c>
    </row>
    <row r="84" spans="1:4" x14ac:dyDescent="0.25">
      <c r="A84" t="s">
        <v>166</v>
      </c>
      <c r="D84">
        <f>AVERAGE(D20,D21,D22,D23,D24,D25,D26,D27,D28,D29,D30,D31,D32,D33,D34,D35,D36,D37)</f>
        <v>8.6666666666666661</v>
      </c>
    </row>
    <row r="85" spans="1:4" x14ac:dyDescent="0.25">
      <c r="A85" t="s">
        <v>167</v>
      </c>
      <c r="D85">
        <f>AVERAGE(D38,D39,D40,D41,D42,D43,D44,D45,D46,D47,D48,D49,D50,D51,D52,D53,D54,D55)</f>
        <v>12.555555555555555</v>
      </c>
    </row>
    <row r="86" spans="1:4" x14ac:dyDescent="0.25">
      <c r="A86" t="s">
        <v>168</v>
      </c>
      <c r="D86">
        <f>AVERAGE(D56,D57,D58,D59,D60,D61,D62,D63,D64,D65,D66,D67,D68,D69,D70,D71,D72)</f>
        <v>17.882352941176471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1431</v>
      </c>
      <c r="C2" t="s">
        <v>1008</v>
      </c>
      <c r="D2">
        <v>-3</v>
      </c>
    </row>
    <row r="3" spans="1:4" x14ac:dyDescent="0.25">
      <c r="A3" t="s">
        <v>4</v>
      </c>
      <c r="B3" t="s">
        <v>2355</v>
      </c>
      <c r="C3" t="s">
        <v>306</v>
      </c>
      <c r="D3">
        <v>-1</v>
      </c>
    </row>
    <row r="4" spans="1:4" x14ac:dyDescent="0.25">
      <c r="A4" t="s">
        <v>4</v>
      </c>
      <c r="B4" t="s">
        <v>11</v>
      </c>
      <c r="C4" t="s">
        <v>1869</v>
      </c>
      <c r="D4">
        <v>-3</v>
      </c>
    </row>
    <row r="5" spans="1:4" x14ac:dyDescent="0.25">
      <c r="A5" t="s">
        <v>4</v>
      </c>
      <c r="B5" t="s">
        <v>1169</v>
      </c>
      <c r="C5" t="s">
        <v>1870</v>
      </c>
      <c r="D5">
        <v>-5</v>
      </c>
    </row>
    <row r="6" spans="1:4" x14ac:dyDescent="0.25">
      <c r="A6" t="s">
        <v>4</v>
      </c>
      <c r="B6" t="s">
        <v>335</v>
      </c>
      <c r="C6" t="s">
        <v>14</v>
      </c>
      <c r="D6">
        <v>-3</v>
      </c>
    </row>
    <row r="7" spans="1:4" x14ac:dyDescent="0.25">
      <c r="A7" t="s">
        <v>4</v>
      </c>
      <c r="B7" t="s">
        <v>408</v>
      </c>
      <c r="C7" t="s">
        <v>16</v>
      </c>
      <c r="D7">
        <v>-1</v>
      </c>
    </row>
    <row r="8" spans="1:4" x14ac:dyDescent="0.25">
      <c r="A8" t="s">
        <v>4</v>
      </c>
      <c r="B8" t="s">
        <v>961</v>
      </c>
      <c r="C8" t="s">
        <v>1636</v>
      </c>
      <c r="D8">
        <v>-4</v>
      </c>
    </row>
    <row r="9" spans="1:4" x14ac:dyDescent="0.25">
      <c r="A9" t="s">
        <v>4</v>
      </c>
      <c r="B9" t="s">
        <v>600</v>
      </c>
      <c r="C9" t="s">
        <v>915</v>
      </c>
      <c r="D9">
        <v>-2</v>
      </c>
    </row>
    <row r="10" spans="1:4" x14ac:dyDescent="0.25">
      <c r="A10" t="s">
        <v>4</v>
      </c>
      <c r="B10" t="s">
        <v>2629</v>
      </c>
      <c r="C10" t="s">
        <v>1110</v>
      </c>
      <c r="D10">
        <v>0</v>
      </c>
    </row>
    <row r="11" spans="1:4" x14ac:dyDescent="0.25">
      <c r="A11" t="s">
        <v>4</v>
      </c>
      <c r="B11" t="s">
        <v>701</v>
      </c>
      <c r="C11" t="s">
        <v>1925</v>
      </c>
      <c r="D11">
        <v>-3</v>
      </c>
    </row>
    <row r="12" spans="1:4" x14ac:dyDescent="0.25">
      <c r="A12" t="s">
        <v>4</v>
      </c>
      <c r="B12" t="s">
        <v>706</v>
      </c>
      <c r="C12" t="s">
        <v>30</v>
      </c>
      <c r="D12">
        <v>-1</v>
      </c>
    </row>
    <row r="13" spans="1:4" x14ac:dyDescent="0.25">
      <c r="A13" t="s">
        <v>4</v>
      </c>
      <c r="B13" t="s">
        <v>2112</v>
      </c>
      <c r="C13" t="s">
        <v>1746</v>
      </c>
      <c r="D13">
        <v>-3</v>
      </c>
    </row>
    <row r="14" spans="1:4" x14ac:dyDescent="0.25">
      <c r="A14" t="s">
        <v>4</v>
      </c>
      <c r="B14" t="s">
        <v>671</v>
      </c>
      <c r="C14" t="s">
        <v>35</v>
      </c>
      <c r="D14">
        <v>-1</v>
      </c>
    </row>
    <row r="15" spans="1:4" x14ac:dyDescent="0.25">
      <c r="A15" t="s">
        <v>4</v>
      </c>
      <c r="B15" t="s">
        <v>198</v>
      </c>
      <c r="C15" t="s">
        <v>37</v>
      </c>
      <c r="D15">
        <v>-4</v>
      </c>
    </row>
    <row r="16" spans="1:4" x14ac:dyDescent="0.25">
      <c r="A16" t="s">
        <v>4</v>
      </c>
      <c r="B16" t="s">
        <v>152</v>
      </c>
      <c r="C16" t="s">
        <v>2156</v>
      </c>
      <c r="D16">
        <v>-2</v>
      </c>
    </row>
    <row r="17" spans="1:4" x14ac:dyDescent="0.25">
      <c r="A17" t="s">
        <v>4</v>
      </c>
      <c r="B17" t="s">
        <v>710</v>
      </c>
      <c r="C17" t="s">
        <v>39</v>
      </c>
      <c r="D17">
        <v>-1</v>
      </c>
    </row>
    <row r="18" spans="1:4" x14ac:dyDescent="0.25">
      <c r="A18" t="s">
        <v>4</v>
      </c>
      <c r="B18" t="s">
        <v>634</v>
      </c>
      <c r="C18" t="s">
        <v>583</v>
      </c>
      <c r="D18">
        <v>1</v>
      </c>
    </row>
    <row r="19" spans="1:4" x14ac:dyDescent="0.25">
      <c r="A19" t="s">
        <v>4</v>
      </c>
      <c r="B19" t="s">
        <v>78</v>
      </c>
      <c r="C19" t="s">
        <v>44</v>
      </c>
      <c r="D19">
        <v>-2</v>
      </c>
    </row>
    <row r="20" spans="1:4" x14ac:dyDescent="0.25">
      <c r="A20" t="s">
        <v>40</v>
      </c>
      <c r="B20" t="s">
        <v>1608</v>
      </c>
      <c r="C20" t="s">
        <v>1509</v>
      </c>
      <c r="D20">
        <v>-4</v>
      </c>
    </row>
    <row r="21" spans="1:4" x14ac:dyDescent="0.25">
      <c r="A21" t="s">
        <v>40</v>
      </c>
      <c r="B21" t="s">
        <v>41</v>
      </c>
      <c r="C21" t="s">
        <v>46</v>
      </c>
      <c r="D21">
        <v>-5</v>
      </c>
    </row>
    <row r="22" spans="1:4" x14ac:dyDescent="0.25">
      <c r="A22" t="s">
        <v>40</v>
      </c>
      <c r="B22" t="s">
        <v>1136</v>
      </c>
      <c r="C22" t="s">
        <v>796</v>
      </c>
      <c r="D22">
        <v>-4</v>
      </c>
    </row>
    <row r="23" spans="1:4" x14ac:dyDescent="0.25">
      <c r="A23" t="s">
        <v>40</v>
      </c>
      <c r="B23" t="s">
        <v>1136</v>
      </c>
      <c r="C23" t="s">
        <v>48</v>
      </c>
      <c r="D23">
        <v>-3</v>
      </c>
    </row>
    <row r="24" spans="1:4" x14ac:dyDescent="0.25">
      <c r="A24" t="s">
        <v>40</v>
      </c>
      <c r="B24" t="s">
        <v>1136</v>
      </c>
      <c r="C24" t="s">
        <v>1510</v>
      </c>
      <c r="D24">
        <v>-2</v>
      </c>
    </row>
    <row r="25" spans="1:4" x14ac:dyDescent="0.25">
      <c r="A25" t="s">
        <v>40</v>
      </c>
      <c r="B25" t="s">
        <v>130</v>
      </c>
      <c r="C25" t="s">
        <v>1713</v>
      </c>
      <c r="D25">
        <v>-5</v>
      </c>
    </row>
    <row r="26" spans="1:4" x14ac:dyDescent="0.25">
      <c r="A26" t="s">
        <v>40</v>
      </c>
      <c r="B26" t="s">
        <v>329</v>
      </c>
      <c r="C26" t="s">
        <v>4074</v>
      </c>
      <c r="D26">
        <v>-3</v>
      </c>
    </row>
    <row r="27" spans="1:4" x14ac:dyDescent="0.25">
      <c r="A27" t="s">
        <v>40</v>
      </c>
      <c r="B27" t="s">
        <v>1118</v>
      </c>
      <c r="C27" t="s">
        <v>3207</v>
      </c>
      <c r="D27">
        <v>0</v>
      </c>
    </row>
    <row r="28" spans="1:4" x14ac:dyDescent="0.25">
      <c r="A28" t="s">
        <v>40</v>
      </c>
      <c r="B28" t="s">
        <v>54</v>
      </c>
      <c r="C28" t="s">
        <v>2359</v>
      </c>
      <c r="D28">
        <v>2</v>
      </c>
    </row>
    <row r="29" spans="1:4" x14ac:dyDescent="0.25">
      <c r="A29" t="s">
        <v>40</v>
      </c>
      <c r="B29" t="s">
        <v>259</v>
      </c>
      <c r="C29" t="s">
        <v>2484</v>
      </c>
      <c r="D29">
        <v>1</v>
      </c>
    </row>
    <row r="30" spans="1:4" x14ac:dyDescent="0.25">
      <c r="A30" t="s">
        <v>40</v>
      </c>
      <c r="B30" t="s">
        <v>408</v>
      </c>
      <c r="C30" t="s">
        <v>343</v>
      </c>
      <c r="D30">
        <v>2</v>
      </c>
    </row>
    <row r="31" spans="1:4" x14ac:dyDescent="0.25">
      <c r="A31" t="s">
        <v>40</v>
      </c>
      <c r="B31" t="s">
        <v>21</v>
      </c>
      <c r="C31" t="s">
        <v>2563</v>
      </c>
      <c r="D31">
        <v>5</v>
      </c>
    </row>
    <row r="32" spans="1:4" x14ac:dyDescent="0.25">
      <c r="A32" t="s">
        <v>40</v>
      </c>
      <c r="B32" t="s">
        <v>2562</v>
      </c>
      <c r="C32" t="s">
        <v>1131</v>
      </c>
      <c r="D32">
        <v>3</v>
      </c>
    </row>
    <row r="33" spans="1:4" x14ac:dyDescent="0.25">
      <c r="A33" t="s">
        <v>40</v>
      </c>
      <c r="B33" t="s">
        <v>629</v>
      </c>
      <c r="C33" t="s">
        <v>347</v>
      </c>
      <c r="D33">
        <v>2</v>
      </c>
    </row>
    <row r="34" spans="1:4" x14ac:dyDescent="0.25">
      <c r="A34" t="s">
        <v>40</v>
      </c>
      <c r="B34" t="s">
        <v>629</v>
      </c>
      <c r="C34" t="s">
        <v>1133</v>
      </c>
      <c r="D34">
        <v>1</v>
      </c>
    </row>
    <row r="35" spans="1:4" x14ac:dyDescent="0.25">
      <c r="A35" t="s">
        <v>40</v>
      </c>
      <c r="B35" t="s">
        <v>417</v>
      </c>
      <c r="C35" t="s">
        <v>2267</v>
      </c>
      <c r="D35">
        <v>3</v>
      </c>
    </row>
    <row r="36" spans="1:4" x14ac:dyDescent="0.25">
      <c r="A36" t="s">
        <v>40</v>
      </c>
      <c r="B36" t="s">
        <v>1112</v>
      </c>
      <c r="C36" t="s">
        <v>730</v>
      </c>
      <c r="D36">
        <v>0</v>
      </c>
    </row>
    <row r="37" spans="1:4" x14ac:dyDescent="0.25">
      <c r="A37" t="s">
        <v>40</v>
      </c>
      <c r="B37" t="s">
        <v>902</v>
      </c>
      <c r="C37" t="s">
        <v>354</v>
      </c>
      <c r="D37">
        <v>1</v>
      </c>
    </row>
    <row r="38" spans="1:4" x14ac:dyDescent="0.25">
      <c r="A38" t="s">
        <v>80</v>
      </c>
      <c r="B38" t="s">
        <v>689</v>
      </c>
      <c r="C38" t="s">
        <v>1219</v>
      </c>
      <c r="D38">
        <v>4</v>
      </c>
    </row>
    <row r="39" spans="1:4" x14ac:dyDescent="0.25">
      <c r="A39" t="s">
        <v>80</v>
      </c>
      <c r="B39" t="s">
        <v>757</v>
      </c>
      <c r="C39" t="s">
        <v>358</v>
      </c>
      <c r="D39">
        <v>1</v>
      </c>
    </row>
    <row r="40" spans="1:4" x14ac:dyDescent="0.25">
      <c r="A40" t="s">
        <v>80</v>
      </c>
      <c r="B40" t="s">
        <v>1545</v>
      </c>
      <c r="C40" t="s">
        <v>2546</v>
      </c>
      <c r="D40">
        <v>4</v>
      </c>
    </row>
    <row r="41" spans="1:4" x14ac:dyDescent="0.25">
      <c r="A41" t="s">
        <v>80</v>
      </c>
      <c r="B41" t="s">
        <v>1118</v>
      </c>
      <c r="C41" t="s">
        <v>1224</v>
      </c>
      <c r="D41">
        <v>1</v>
      </c>
    </row>
    <row r="42" spans="1:4" x14ac:dyDescent="0.25">
      <c r="A42" t="s">
        <v>80</v>
      </c>
      <c r="B42" t="s">
        <v>1011</v>
      </c>
      <c r="C42" t="s">
        <v>2487</v>
      </c>
      <c r="D42">
        <v>3</v>
      </c>
    </row>
    <row r="43" spans="1:4" x14ac:dyDescent="0.25">
      <c r="A43" t="s">
        <v>80</v>
      </c>
      <c r="B43" t="s">
        <v>462</v>
      </c>
      <c r="C43" t="s">
        <v>1226</v>
      </c>
      <c r="D43">
        <v>1</v>
      </c>
    </row>
    <row r="44" spans="1:4" x14ac:dyDescent="0.25">
      <c r="A44" t="s">
        <v>80</v>
      </c>
      <c r="B44" t="s">
        <v>15</v>
      </c>
      <c r="C44" t="s">
        <v>252</v>
      </c>
      <c r="D44">
        <v>-1</v>
      </c>
    </row>
    <row r="45" spans="1:4" x14ac:dyDescent="0.25">
      <c r="A45" t="s">
        <v>80</v>
      </c>
      <c r="B45" t="s">
        <v>2266</v>
      </c>
      <c r="C45" t="s">
        <v>2416</v>
      </c>
      <c r="D45">
        <v>-3</v>
      </c>
    </row>
    <row r="46" spans="1:4" x14ac:dyDescent="0.25">
      <c r="A46" t="s">
        <v>80</v>
      </c>
      <c r="B46" t="s">
        <v>60</v>
      </c>
      <c r="C46" t="s">
        <v>626</v>
      </c>
      <c r="D46">
        <v>-5</v>
      </c>
    </row>
    <row r="47" spans="1:4" x14ac:dyDescent="0.25">
      <c r="A47" t="s">
        <v>80</v>
      </c>
      <c r="B47" t="s">
        <v>1170</v>
      </c>
      <c r="C47" t="s">
        <v>741</v>
      </c>
      <c r="D47">
        <v>-3</v>
      </c>
    </row>
    <row r="48" spans="1:4" x14ac:dyDescent="0.25">
      <c r="A48" t="s">
        <v>80</v>
      </c>
      <c r="B48" t="s">
        <v>1602</v>
      </c>
      <c r="C48" t="s">
        <v>627</v>
      </c>
      <c r="D48">
        <v>-5</v>
      </c>
    </row>
    <row r="49" spans="1:4" x14ac:dyDescent="0.25">
      <c r="A49" t="s">
        <v>80</v>
      </c>
      <c r="B49" t="s">
        <v>1700</v>
      </c>
      <c r="C49" t="s">
        <v>2445</v>
      </c>
      <c r="D49">
        <v>-3</v>
      </c>
    </row>
    <row r="50" spans="1:4" x14ac:dyDescent="0.25">
      <c r="A50" t="s">
        <v>80</v>
      </c>
      <c r="B50" t="s">
        <v>1396</v>
      </c>
      <c r="C50" t="s">
        <v>2491</v>
      </c>
      <c r="D50">
        <v>-1</v>
      </c>
    </row>
    <row r="51" spans="1:4" x14ac:dyDescent="0.25">
      <c r="A51" t="s">
        <v>80</v>
      </c>
      <c r="B51" t="s">
        <v>1335</v>
      </c>
      <c r="C51" t="s">
        <v>1729</v>
      </c>
      <c r="D51">
        <v>-2</v>
      </c>
    </row>
    <row r="52" spans="1:4" x14ac:dyDescent="0.25">
      <c r="A52" t="s">
        <v>80</v>
      </c>
      <c r="B52" t="s">
        <v>1335</v>
      </c>
      <c r="C52" t="s">
        <v>2765</v>
      </c>
      <c r="D52">
        <v>-3</v>
      </c>
    </row>
    <row r="53" spans="1:4" x14ac:dyDescent="0.25">
      <c r="A53" t="s">
        <v>80</v>
      </c>
      <c r="B53" t="s">
        <v>1640</v>
      </c>
      <c r="C53" t="s">
        <v>3984</v>
      </c>
      <c r="D53">
        <v>-4</v>
      </c>
    </row>
    <row r="54" spans="1:4" x14ac:dyDescent="0.25">
      <c r="A54" t="s">
        <v>80</v>
      </c>
      <c r="B54" t="s">
        <v>1640</v>
      </c>
      <c r="C54" t="s">
        <v>2227</v>
      </c>
      <c r="D54">
        <v>-5</v>
      </c>
    </row>
    <row r="55" spans="1:4" x14ac:dyDescent="0.25">
      <c r="A55" t="s">
        <v>80</v>
      </c>
      <c r="B55" t="s">
        <v>2317</v>
      </c>
      <c r="C55" t="s">
        <v>750</v>
      </c>
      <c r="D55">
        <v>-3</v>
      </c>
    </row>
    <row r="56" spans="1:4" x14ac:dyDescent="0.25">
      <c r="A56" t="s">
        <v>80</v>
      </c>
      <c r="B56" t="s">
        <v>1356</v>
      </c>
      <c r="C56" t="s">
        <v>751</v>
      </c>
      <c r="D56">
        <v>-1</v>
      </c>
    </row>
    <row r="57" spans="1:4" x14ac:dyDescent="0.25">
      <c r="A57" t="s">
        <v>80</v>
      </c>
      <c r="B57" t="s">
        <v>1988</v>
      </c>
      <c r="C57" t="s">
        <v>1774</v>
      </c>
      <c r="D57">
        <v>-4</v>
      </c>
    </row>
    <row r="58" spans="1:4" x14ac:dyDescent="0.25">
      <c r="A58" t="s">
        <v>80</v>
      </c>
      <c r="B58" t="s">
        <v>556</v>
      </c>
      <c r="C58" t="s">
        <v>388</v>
      </c>
      <c r="D58">
        <v>-1</v>
      </c>
    </row>
    <row r="59" spans="1:4" x14ac:dyDescent="0.25">
      <c r="A59" t="s">
        <v>123</v>
      </c>
      <c r="B59" t="s">
        <v>1009</v>
      </c>
      <c r="C59" t="s">
        <v>390</v>
      </c>
      <c r="D59">
        <v>0</v>
      </c>
    </row>
    <row r="60" spans="1:4" x14ac:dyDescent="0.25">
      <c r="A60" t="s">
        <v>123</v>
      </c>
      <c r="B60" t="s">
        <v>1009</v>
      </c>
      <c r="C60" t="s">
        <v>391</v>
      </c>
      <c r="D60">
        <v>1</v>
      </c>
    </row>
    <row r="61" spans="1:4" x14ac:dyDescent="0.25">
      <c r="A61" t="s">
        <v>123</v>
      </c>
      <c r="B61" t="s">
        <v>398</v>
      </c>
      <c r="C61" t="s">
        <v>2181</v>
      </c>
      <c r="D61">
        <v>2</v>
      </c>
    </row>
    <row r="62" spans="1:4" x14ac:dyDescent="0.25">
      <c r="A62" t="s">
        <v>123</v>
      </c>
      <c r="B62" t="s">
        <v>398</v>
      </c>
      <c r="C62" t="s">
        <v>393</v>
      </c>
      <c r="D62">
        <v>3</v>
      </c>
    </row>
    <row r="63" spans="1:4" x14ac:dyDescent="0.25">
      <c r="A63" t="s">
        <v>123</v>
      </c>
      <c r="B63" t="s">
        <v>643</v>
      </c>
      <c r="C63" t="s">
        <v>504</v>
      </c>
      <c r="D63">
        <v>1</v>
      </c>
    </row>
    <row r="64" spans="1:4" x14ac:dyDescent="0.25">
      <c r="A64" t="s">
        <v>123</v>
      </c>
      <c r="B64" t="s">
        <v>1529</v>
      </c>
      <c r="C64" t="s">
        <v>639</v>
      </c>
      <c r="D64">
        <v>2</v>
      </c>
    </row>
    <row r="65" spans="1:4" x14ac:dyDescent="0.25">
      <c r="A65" t="s">
        <v>123</v>
      </c>
      <c r="B65" t="s">
        <v>1529</v>
      </c>
      <c r="C65" t="s">
        <v>506</v>
      </c>
      <c r="D65">
        <v>3</v>
      </c>
    </row>
    <row r="66" spans="1:4" x14ac:dyDescent="0.25">
      <c r="A66" t="s">
        <v>123</v>
      </c>
      <c r="B66" t="s">
        <v>1033</v>
      </c>
      <c r="C66" t="s">
        <v>2183</v>
      </c>
      <c r="D66">
        <v>6</v>
      </c>
    </row>
    <row r="67" spans="1:4" x14ac:dyDescent="0.25">
      <c r="A67" t="s">
        <v>123</v>
      </c>
      <c r="B67" t="s">
        <v>2170</v>
      </c>
      <c r="C67" t="s">
        <v>1842</v>
      </c>
      <c r="D67">
        <v>5</v>
      </c>
    </row>
    <row r="68" spans="1:4" x14ac:dyDescent="0.25">
      <c r="A68" t="s">
        <v>123</v>
      </c>
      <c r="B68" t="s">
        <v>700</v>
      </c>
      <c r="C68" t="s">
        <v>646</v>
      </c>
      <c r="D68">
        <v>2</v>
      </c>
    </row>
    <row r="69" spans="1:4" x14ac:dyDescent="0.25">
      <c r="A69" t="s">
        <v>123</v>
      </c>
      <c r="B69" t="s">
        <v>661</v>
      </c>
      <c r="C69" t="s">
        <v>647</v>
      </c>
      <c r="D69">
        <v>4</v>
      </c>
    </row>
    <row r="70" spans="1:4" x14ac:dyDescent="0.25">
      <c r="A70" t="s">
        <v>123</v>
      </c>
      <c r="B70" t="s">
        <v>1503</v>
      </c>
      <c r="C70" t="s">
        <v>650</v>
      </c>
      <c r="D70">
        <v>2</v>
      </c>
    </row>
    <row r="71" spans="1:4" x14ac:dyDescent="0.25">
      <c r="A71" t="s">
        <v>123</v>
      </c>
      <c r="B71" t="s">
        <v>812</v>
      </c>
      <c r="C71" t="s">
        <v>1178</v>
      </c>
      <c r="D71">
        <v>4</v>
      </c>
    </row>
    <row r="72" spans="1:4" x14ac:dyDescent="0.25">
      <c r="A72" t="s">
        <v>123</v>
      </c>
      <c r="B72" t="s">
        <v>1619</v>
      </c>
      <c r="C72" t="s">
        <v>656</v>
      </c>
      <c r="D72">
        <v>2</v>
      </c>
    </row>
    <row r="73" spans="1:4" x14ac:dyDescent="0.25">
      <c r="A73" t="s">
        <v>123</v>
      </c>
      <c r="B73" t="s">
        <v>877</v>
      </c>
      <c r="C73" t="s">
        <v>3068</v>
      </c>
      <c r="D73">
        <v>4</v>
      </c>
    </row>
    <row r="74" spans="1:4" x14ac:dyDescent="0.25">
      <c r="A74" t="s">
        <v>123</v>
      </c>
      <c r="B74" t="s">
        <v>582</v>
      </c>
      <c r="C74" t="s">
        <v>1847</v>
      </c>
      <c r="D74">
        <v>5</v>
      </c>
    </row>
    <row r="75" spans="1:4" x14ac:dyDescent="0.25">
      <c r="A75" t="s">
        <v>123</v>
      </c>
      <c r="B75" t="s">
        <v>582</v>
      </c>
      <c r="C75" t="s">
        <v>3707</v>
      </c>
      <c r="D75">
        <v>6</v>
      </c>
    </row>
    <row r="76" spans="1:4" x14ac:dyDescent="0.25">
      <c r="A76" t="s">
        <v>123</v>
      </c>
      <c r="B76" t="s">
        <v>1135</v>
      </c>
      <c r="C76" t="s">
        <v>1181</v>
      </c>
      <c r="D76">
        <v>7</v>
      </c>
    </row>
    <row r="77" spans="1:4" x14ac:dyDescent="0.25">
      <c r="A77" t="s">
        <v>123</v>
      </c>
      <c r="B77" t="s">
        <v>1135</v>
      </c>
      <c r="C77" t="s">
        <v>1848</v>
      </c>
      <c r="D77">
        <v>8</v>
      </c>
    </row>
    <row r="78" spans="1:4" x14ac:dyDescent="0.25">
      <c r="A78" t="s">
        <v>123</v>
      </c>
      <c r="B78" t="s">
        <v>422</v>
      </c>
      <c r="C78" t="s">
        <v>2558</v>
      </c>
      <c r="D78">
        <v>9</v>
      </c>
    </row>
    <row r="79" spans="1:4" x14ac:dyDescent="0.25">
      <c r="A79" t="s">
        <v>123</v>
      </c>
      <c r="B79" t="s">
        <v>422</v>
      </c>
      <c r="C79" t="s">
        <v>2678</v>
      </c>
      <c r="D79">
        <v>10</v>
      </c>
    </row>
    <row r="80" spans="1:4" x14ac:dyDescent="0.25">
      <c r="A80" t="s">
        <v>123</v>
      </c>
      <c r="B80" t="s">
        <v>1568</v>
      </c>
      <c r="C80" t="s">
        <v>4075</v>
      </c>
      <c r="D80">
        <v>9</v>
      </c>
    </row>
    <row r="81" spans="1:4" x14ac:dyDescent="0.25">
      <c r="A81" t="s">
        <v>123</v>
      </c>
      <c r="B81" t="s">
        <v>1568</v>
      </c>
      <c r="C81" t="s">
        <v>1620</v>
      </c>
      <c r="D81">
        <v>8</v>
      </c>
    </row>
    <row r="82" spans="1:4" x14ac:dyDescent="0.25">
      <c r="A82" t="s">
        <v>123</v>
      </c>
      <c r="B82" t="s">
        <v>78</v>
      </c>
      <c r="C82" t="s">
        <v>2195</v>
      </c>
      <c r="D82">
        <v>11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0.49382716049382713</v>
      </c>
    </row>
    <row r="86" spans="1:4" x14ac:dyDescent="0.25">
      <c r="A86" t="s">
        <v>159</v>
      </c>
      <c r="D86">
        <f>MAX(D2:D82)</f>
        <v>11</v>
      </c>
    </row>
    <row r="87" spans="1:4" x14ac:dyDescent="0.25">
      <c r="A87" t="s">
        <v>160</v>
      </c>
      <c r="D87">
        <f>MIN(D2:D82)</f>
        <v>-5</v>
      </c>
    </row>
    <row r="88" spans="1:4" x14ac:dyDescent="0.25">
      <c r="A88" t="s">
        <v>161</v>
      </c>
      <c r="D88">
        <f>COUNTIF(D2:D82,"&gt;0")</f>
        <v>39</v>
      </c>
    </row>
    <row r="89" spans="1:4" x14ac:dyDescent="0.25">
      <c r="A89" t="s">
        <v>162</v>
      </c>
      <c r="D89">
        <f>COUNTIF(D2:D82,"=0")</f>
        <v>4</v>
      </c>
    </row>
    <row r="90" spans="1:4" x14ac:dyDescent="0.25">
      <c r="A90" t="s">
        <v>2150</v>
      </c>
      <c r="D90">
        <f>COUNTIF(D2:D82,"&lt;0")</f>
        <v>38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AVERAGE(D2,D3,D4,D5,D6,D7,D8,D9,D10,D11,D12,D13,D14,D15,D16,D17,D18,D19)</f>
        <v>-2.1111111111111112</v>
      </c>
    </row>
    <row r="94" spans="1:4" x14ac:dyDescent="0.25">
      <c r="A94" t="s">
        <v>166</v>
      </c>
      <c r="D94">
        <f>AVERAGE(D20,D21,D22,D23,D24,D25,D26,D27,D28,D29,D30,D31,D32,D33,D34,D35,D36,D37)</f>
        <v>-0.33333333333333331</v>
      </c>
    </row>
    <row r="95" spans="1:4" x14ac:dyDescent="0.25">
      <c r="A95" t="s">
        <v>167</v>
      </c>
      <c r="D95">
        <f>AVERAGE(D38,D39,D40,D41,D42,D43,D44,D45,D46,D47,D48,D49,D50,D51,D52,D53,D54,D55,D56,D57,D58)</f>
        <v>-1.4285714285714286</v>
      </c>
    </row>
    <row r="96" spans="1:4" x14ac:dyDescent="0.25">
      <c r="A96" t="s">
        <v>168</v>
      </c>
      <c r="D96">
        <f>AVERAGE(D59,D60,D61,D62,D63,D64,D65,D66,D67,D68,D69,D70,D71,D72,D73,D74,D75,D76,D77,D78,D79,D80,D81,D82)</f>
        <v>4.75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1024</v>
      </c>
      <c r="C2" t="s">
        <v>171</v>
      </c>
      <c r="D2">
        <v>3</v>
      </c>
    </row>
    <row r="3" spans="1:4" x14ac:dyDescent="0.25">
      <c r="A3" t="s">
        <v>4</v>
      </c>
      <c r="B3" t="s">
        <v>719</v>
      </c>
      <c r="C3" t="s">
        <v>690</v>
      </c>
      <c r="D3">
        <v>6</v>
      </c>
    </row>
    <row r="4" spans="1:4" x14ac:dyDescent="0.25">
      <c r="A4" t="s">
        <v>4</v>
      </c>
      <c r="B4" t="s">
        <v>87</v>
      </c>
      <c r="C4" t="s">
        <v>176</v>
      </c>
      <c r="D4">
        <v>4</v>
      </c>
    </row>
    <row r="5" spans="1:4" x14ac:dyDescent="0.25">
      <c r="A5" t="s">
        <v>4</v>
      </c>
      <c r="B5" t="s">
        <v>89</v>
      </c>
      <c r="C5" t="s">
        <v>1972</v>
      </c>
      <c r="D5">
        <v>6</v>
      </c>
    </row>
    <row r="6" spans="1:4" x14ac:dyDescent="0.25">
      <c r="A6" t="s">
        <v>4</v>
      </c>
      <c r="B6" t="s">
        <v>277</v>
      </c>
      <c r="C6" t="s">
        <v>3466</v>
      </c>
      <c r="D6">
        <v>8</v>
      </c>
    </row>
    <row r="7" spans="1:4" x14ac:dyDescent="0.25">
      <c r="A7" t="s">
        <v>4</v>
      </c>
      <c r="B7" t="s">
        <v>17</v>
      </c>
      <c r="C7" t="s">
        <v>1974</v>
      </c>
      <c r="D7">
        <v>5</v>
      </c>
    </row>
    <row r="8" spans="1:4" x14ac:dyDescent="0.25">
      <c r="A8" t="s">
        <v>4</v>
      </c>
      <c r="B8" t="s">
        <v>1170</v>
      </c>
      <c r="C8" t="s">
        <v>22</v>
      </c>
      <c r="D8">
        <v>2</v>
      </c>
    </row>
    <row r="9" spans="1:4" x14ac:dyDescent="0.25">
      <c r="A9" t="s">
        <v>4</v>
      </c>
      <c r="B9" t="s">
        <v>943</v>
      </c>
      <c r="C9" t="s">
        <v>24</v>
      </c>
      <c r="D9">
        <v>4</v>
      </c>
    </row>
    <row r="10" spans="1:4" x14ac:dyDescent="0.25">
      <c r="A10" t="s">
        <v>4</v>
      </c>
      <c r="B10" t="s">
        <v>746</v>
      </c>
      <c r="C10" t="s">
        <v>786</v>
      </c>
      <c r="D10">
        <v>7</v>
      </c>
    </row>
    <row r="11" spans="1:4" x14ac:dyDescent="0.25">
      <c r="A11" t="s">
        <v>4</v>
      </c>
      <c r="B11" t="s">
        <v>1436</v>
      </c>
      <c r="C11" t="s">
        <v>2537</v>
      </c>
      <c r="D11">
        <v>4</v>
      </c>
    </row>
    <row r="12" spans="1:4" x14ac:dyDescent="0.25">
      <c r="A12" t="s">
        <v>4</v>
      </c>
      <c r="B12" t="s">
        <v>605</v>
      </c>
      <c r="C12" t="s">
        <v>2479</v>
      </c>
      <c r="D12">
        <v>6</v>
      </c>
    </row>
    <row r="13" spans="1:4" x14ac:dyDescent="0.25">
      <c r="A13" t="s">
        <v>4</v>
      </c>
      <c r="B13" t="s">
        <v>144</v>
      </c>
      <c r="C13" t="s">
        <v>2921</v>
      </c>
      <c r="D13">
        <v>8</v>
      </c>
    </row>
    <row r="14" spans="1:4" x14ac:dyDescent="0.25">
      <c r="A14" t="s">
        <v>4</v>
      </c>
      <c r="B14" t="s">
        <v>876</v>
      </c>
      <c r="C14" t="s">
        <v>324</v>
      </c>
      <c r="D14">
        <v>7</v>
      </c>
    </row>
    <row r="15" spans="1:4" x14ac:dyDescent="0.25">
      <c r="A15" t="s">
        <v>4</v>
      </c>
      <c r="B15" t="s">
        <v>876</v>
      </c>
      <c r="C15" t="s">
        <v>1579</v>
      </c>
      <c r="D15">
        <v>6</v>
      </c>
    </row>
    <row r="16" spans="1:4" x14ac:dyDescent="0.25">
      <c r="A16" t="s">
        <v>4</v>
      </c>
      <c r="B16" t="s">
        <v>1113</v>
      </c>
      <c r="C16" t="s">
        <v>2047</v>
      </c>
      <c r="D16">
        <v>8</v>
      </c>
    </row>
    <row r="17" spans="1:4" x14ac:dyDescent="0.25">
      <c r="A17" t="s">
        <v>4</v>
      </c>
      <c r="B17" t="s">
        <v>1990</v>
      </c>
      <c r="C17" t="s">
        <v>2518</v>
      </c>
      <c r="D17">
        <v>10</v>
      </c>
    </row>
    <row r="18" spans="1:4" x14ac:dyDescent="0.25">
      <c r="A18" t="s">
        <v>4</v>
      </c>
      <c r="B18" t="s">
        <v>584</v>
      </c>
      <c r="C18" t="s">
        <v>2519</v>
      </c>
      <c r="D18">
        <v>11</v>
      </c>
    </row>
    <row r="19" spans="1:4" x14ac:dyDescent="0.25">
      <c r="A19" t="s">
        <v>4</v>
      </c>
      <c r="B19" t="s">
        <v>584</v>
      </c>
      <c r="C19" t="s">
        <v>2520</v>
      </c>
      <c r="D19">
        <v>12</v>
      </c>
    </row>
    <row r="20" spans="1:4" x14ac:dyDescent="0.25">
      <c r="A20" t="s">
        <v>40</v>
      </c>
      <c r="B20" t="s">
        <v>1007</v>
      </c>
      <c r="C20" t="s">
        <v>1927</v>
      </c>
      <c r="D20">
        <v>10</v>
      </c>
    </row>
    <row r="21" spans="1:4" x14ac:dyDescent="0.25">
      <c r="A21" t="s">
        <v>40</v>
      </c>
      <c r="B21" t="s">
        <v>428</v>
      </c>
      <c r="C21" t="s">
        <v>4076</v>
      </c>
      <c r="D21">
        <v>9</v>
      </c>
    </row>
    <row r="22" spans="1:4" x14ac:dyDescent="0.25">
      <c r="A22" t="s">
        <v>40</v>
      </c>
      <c r="B22" t="s">
        <v>1267</v>
      </c>
      <c r="C22" t="s">
        <v>3447</v>
      </c>
      <c r="D22">
        <v>11</v>
      </c>
    </row>
    <row r="23" spans="1:4" x14ac:dyDescent="0.25">
      <c r="A23" t="s">
        <v>40</v>
      </c>
      <c r="B23" t="s">
        <v>359</v>
      </c>
      <c r="C23" t="s">
        <v>1582</v>
      </c>
      <c r="D23">
        <v>9</v>
      </c>
    </row>
    <row r="24" spans="1:4" x14ac:dyDescent="0.25">
      <c r="A24" t="s">
        <v>40</v>
      </c>
      <c r="B24" t="s">
        <v>1495</v>
      </c>
      <c r="C24" t="s">
        <v>2648</v>
      </c>
      <c r="D24">
        <v>11</v>
      </c>
    </row>
    <row r="25" spans="1:4" x14ac:dyDescent="0.25">
      <c r="A25" t="s">
        <v>40</v>
      </c>
      <c r="B25" t="s">
        <v>2842</v>
      </c>
      <c r="C25" t="s">
        <v>2649</v>
      </c>
      <c r="D25">
        <v>13</v>
      </c>
    </row>
    <row r="26" spans="1:4" x14ac:dyDescent="0.25">
      <c r="A26" t="s">
        <v>40</v>
      </c>
      <c r="B26" t="s">
        <v>179</v>
      </c>
      <c r="C26" t="s">
        <v>2524</v>
      </c>
      <c r="D26">
        <v>11</v>
      </c>
    </row>
    <row r="27" spans="1:4" x14ac:dyDescent="0.25">
      <c r="A27" t="s">
        <v>40</v>
      </c>
      <c r="B27" t="s">
        <v>1816</v>
      </c>
      <c r="C27" t="s">
        <v>2525</v>
      </c>
      <c r="D27">
        <v>9</v>
      </c>
    </row>
    <row r="28" spans="1:4" x14ac:dyDescent="0.25">
      <c r="A28" t="s">
        <v>40</v>
      </c>
      <c r="B28" t="s">
        <v>870</v>
      </c>
      <c r="C28" t="s">
        <v>2526</v>
      </c>
      <c r="D28">
        <v>11</v>
      </c>
    </row>
    <row r="29" spans="1:4" x14ac:dyDescent="0.25">
      <c r="A29" t="s">
        <v>40</v>
      </c>
      <c r="B29" t="s">
        <v>661</v>
      </c>
      <c r="C29" t="s">
        <v>1034</v>
      </c>
      <c r="D29">
        <v>13</v>
      </c>
    </row>
    <row r="30" spans="1:4" x14ac:dyDescent="0.25">
      <c r="A30" t="s">
        <v>40</v>
      </c>
      <c r="B30" t="s">
        <v>64</v>
      </c>
      <c r="C30" t="s">
        <v>1936</v>
      </c>
      <c r="D30">
        <v>10</v>
      </c>
    </row>
    <row r="31" spans="1:4" x14ac:dyDescent="0.25">
      <c r="A31" t="s">
        <v>40</v>
      </c>
      <c r="B31" t="s">
        <v>747</v>
      </c>
      <c r="C31" t="s">
        <v>3197</v>
      </c>
      <c r="D31">
        <v>13</v>
      </c>
    </row>
    <row r="32" spans="1:4" x14ac:dyDescent="0.25">
      <c r="A32" t="s">
        <v>40</v>
      </c>
      <c r="B32" t="s">
        <v>114</v>
      </c>
      <c r="C32" t="s">
        <v>2544</v>
      </c>
      <c r="D32">
        <v>10</v>
      </c>
    </row>
    <row r="33" spans="1:4" x14ac:dyDescent="0.25">
      <c r="A33" t="s">
        <v>40</v>
      </c>
      <c r="B33" t="s">
        <v>473</v>
      </c>
      <c r="C33" t="s">
        <v>1938</v>
      </c>
      <c r="D33">
        <v>7</v>
      </c>
    </row>
    <row r="34" spans="1:4" x14ac:dyDescent="0.25">
      <c r="A34" t="s">
        <v>40</v>
      </c>
      <c r="B34" t="s">
        <v>1045</v>
      </c>
      <c r="C34" t="s">
        <v>1589</v>
      </c>
      <c r="D34">
        <v>9</v>
      </c>
    </row>
    <row r="35" spans="1:4" x14ac:dyDescent="0.25">
      <c r="A35" t="s">
        <v>40</v>
      </c>
      <c r="B35" t="s">
        <v>1484</v>
      </c>
      <c r="C35" t="s">
        <v>1939</v>
      </c>
      <c r="D35">
        <v>10</v>
      </c>
    </row>
    <row r="36" spans="1:4" x14ac:dyDescent="0.25">
      <c r="A36" t="s">
        <v>40</v>
      </c>
      <c r="B36" t="s">
        <v>1437</v>
      </c>
      <c r="C36" t="s">
        <v>2980</v>
      </c>
      <c r="D36">
        <v>9</v>
      </c>
    </row>
    <row r="37" spans="1:4" x14ac:dyDescent="0.25">
      <c r="A37" t="s">
        <v>40</v>
      </c>
      <c r="B37" t="s">
        <v>346</v>
      </c>
      <c r="C37" t="s">
        <v>3092</v>
      </c>
      <c r="D37">
        <v>11</v>
      </c>
    </row>
    <row r="38" spans="1:4" x14ac:dyDescent="0.25">
      <c r="A38" t="s">
        <v>40</v>
      </c>
      <c r="B38" t="s">
        <v>770</v>
      </c>
      <c r="C38" t="s">
        <v>1450</v>
      </c>
      <c r="D38">
        <v>14</v>
      </c>
    </row>
    <row r="39" spans="1:4" x14ac:dyDescent="0.25">
      <c r="A39" t="s">
        <v>80</v>
      </c>
      <c r="B39" t="s">
        <v>5</v>
      </c>
      <c r="C39" t="s">
        <v>3015</v>
      </c>
      <c r="D39">
        <v>16</v>
      </c>
    </row>
    <row r="40" spans="1:4" x14ac:dyDescent="0.25">
      <c r="A40" t="s">
        <v>80</v>
      </c>
      <c r="B40" t="s">
        <v>1346</v>
      </c>
      <c r="C40" t="s">
        <v>2661</v>
      </c>
      <c r="D40">
        <v>18</v>
      </c>
    </row>
    <row r="41" spans="1:4" x14ac:dyDescent="0.25">
      <c r="A41" t="s">
        <v>80</v>
      </c>
      <c r="B41" t="s">
        <v>1009</v>
      </c>
      <c r="C41" t="s">
        <v>3671</v>
      </c>
      <c r="D41">
        <v>17</v>
      </c>
    </row>
    <row r="42" spans="1:4" x14ac:dyDescent="0.25">
      <c r="A42" t="s">
        <v>80</v>
      </c>
      <c r="B42" t="s">
        <v>244</v>
      </c>
      <c r="C42" t="s">
        <v>3376</v>
      </c>
      <c r="D42">
        <v>19</v>
      </c>
    </row>
    <row r="43" spans="1:4" x14ac:dyDescent="0.25">
      <c r="A43" t="s">
        <v>80</v>
      </c>
      <c r="B43" t="s">
        <v>1192</v>
      </c>
      <c r="C43" t="s">
        <v>953</v>
      </c>
      <c r="D43">
        <v>17</v>
      </c>
    </row>
    <row r="44" spans="1:4" x14ac:dyDescent="0.25">
      <c r="A44" t="s">
        <v>80</v>
      </c>
      <c r="B44" t="s">
        <v>588</v>
      </c>
      <c r="C44" t="s">
        <v>2067</v>
      </c>
      <c r="D44">
        <v>19</v>
      </c>
    </row>
    <row r="45" spans="1:4" x14ac:dyDescent="0.25">
      <c r="A45" t="s">
        <v>80</v>
      </c>
      <c r="B45" t="s">
        <v>1453</v>
      </c>
      <c r="C45" t="s">
        <v>2820</v>
      </c>
      <c r="D45">
        <v>17</v>
      </c>
    </row>
    <row r="46" spans="1:4" x14ac:dyDescent="0.25">
      <c r="A46" t="s">
        <v>80</v>
      </c>
      <c r="B46" t="s">
        <v>179</v>
      </c>
      <c r="C46" t="s">
        <v>3344</v>
      </c>
      <c r="D46">
        <v>15</v>
      </c>
    </row>
    <row r="47" spans="1:4" x14ac:dyDescent="0.25">
      <c r="A47" t="s">
        <v>80</v>
      </c>
      <c r="B47" t="s">
        <v>2080</v>
      </c>
      <c r="C47" t="s">
        <v>3062</v>
      </c>
      <c r="D47">
        <v>18</v>
      </c>
    </row>
    <row r="48" spans="1:4" x14ac:dyDescent="0.25">
      <c r="A48" t="s">
        <v>80</v>
      </c>
      <c r="B48" t="s">
        <v>366</v>
      </c>
      <c r="C48" t="s">
        <v>2822</v>
      </c>
      <c r="D48">
        <v>17</v>
      </c>
    </row>
    <row r="49" spans="1:4" x14ac:dyDescent="0.25">
      <c r="A49" t="s">
        <v>80</v>
      </c>
      <c r="B49" t="s">
        <v>870</v>
      </c>
      <c r="C49" t="s">
        <v>2823</v>
      </c>
      <c r="D49">
        <v>19</v>
      </c>
    </row>
    <row r="50" spans="1:4" x14ac:dyDescent="0.25">
      <c r="A50" t="s">
        <v>80</v>
      </c>
      <c r="B50" t="s">
        <v>284</v>
      </c>
      <c r="C50" t="s">
        <v>2824</v>
      </c>
      <c r="D50">
        <v>17</v>
      </c>
    </row>
    <row r="51" spans="1:4" x14ac:dyDescent="0.25">
      <c r="A51" t="s">
        <v>80</v>
      </c>
      <c r="B51" t="s">
        <v>1536</v>
      </c>
      <c r="C51" t="s">
        <v>3065</v>
      </c>
      <c r="D51">
        <v>16</v>
      </c>
    </row>
    <row r="52" spans="1:4" x14ac:dyDescent="0.25">
      <c r="A52" t="s">
        <v>80</v>
      </c>
      <c r="B52" t="s">
        <v>1536</v>
      </c>
      <c r="C52" t="s">
        <v>3378</v>
      </c>
      <c r="D52">
        <v>15</v>
      </c>
    </row>
    <row r="53" spans="1:4" x14ac:dyDescent="0.25">
      <c r="A53" t="s">
        <v>80</v>
      </c>
      <c r="B53" t="s">
        <v>704</v>
      </c>
      <c r="C53" t="s">
        <v>1684</v>
      </c>
      <c r="D53">
        <v>13</v>
      </c>
    </row>
    <row r="54" spans="1:4" x14ac:dyDescent="0.25">
      <c r="A54" t="s">
        <v>80</v>
      </c>
      <c r="B54" t="s">
        <v>228</v>
      </c>
      <c r="C54" t="s">
        <v>1954</v>
      </c>
      <c r="D54">
        <v>11</v>
      </c>
    </row>
    <row r="55" spans="1:4" x14ac:dyDescent="0.25">
      <c r="A55" t="s">
        <v>80</v>
      </c>
      <c r="B55" t="s">
        <v>877</v>
      </c>
      <c r="C55" t="s">
        <v>2986</v>
      </c>
      <c r="D55">
        <v>14</v>
      </c>
    </row>
    <row r="56" spans="1:4" x14ac:dyDescent="0.25">
      <c r="A56" t="s">
        <v>80</v>
      </c>
      <c r="B56" t="s">
        <v>732</v>
      </c>
      <c r="C56" t="s">
        <v>2865</v>
      </c>
      <c r="D56">
        <v>12</v>
      </c>
    </row>
    <row r="57" spans="1:4" x14ac:dyDescent="0.25">
      <c r="A57" t="s">
        <v>80</v>
      </c>
      <c r="B57" t="s">
        <v>1204</v>
      </c>
      <c r="C57" t="s">
        <v>2793</v>
      </c>
      <c r="D57">
        <v>14</v>
      </c>
    </row>
    <row r="58" spans="1:4" x14ac:dyDescent="0.25">
      <c r="A58" t="s">
        <v>80</v>
      </c>
      <c r="B58" t="s">
        <v>350</v>
      </c>
      <c r="C58" t="s">
        <v>2794</v>
      </c>
      <c r="D58">
        <v>12</v>
      </c>
    </row>
    <row r="59" spans="1:4" x14ac:dyDescent="0.25">
      <c r="A59" t="s">
        <v>80</v>
      </c>
      <c r="B59" t="s">
        <v>817</v>
      </c>
      <c r="C59" t="s">
        <v>2866</v>
      </c>
      <c r="D59">
        <v>14</v>
      </c>
    </row>
    <row r="60" spans="1:4" x14ac:dyDescent="0.25">
      <c r="A60" t="s">
        <v>123</v>
      </c>
      <c r="B60" t="s">
        <v>1055</v>
      </c>
      <c r="C60" t="s">
        <v>4018</v>
      </c>
      <c r="D60">
        <v>16</v>
      </c>
    </row>
    <row r="61" spans="1:4" x14ac:dyDescent="0.25">
      <c r="A61" t="s">
        <v>123</v>
      </c>
      <c r="B61" t="s">
        <v>933</v>
      </c>
      <c r="C61" t="s">
        <v>4019</v>
      </c>
      <c r="D61">
        <v>19</v>
      </c>
    </row>
    <row r="62" spans="1:4" x14ac:dyDescent="0.25">
      <c r="A62" t="s">
        <v>123</v>
      </c>
      <c r="B62" t="s">
        <v>1545</v>
      </c>
      <c r="C62" t="s">
        <v>3184</v>
      </c>
      <c r="D62">
        <v>17</v>
      </c>
    </row>
    <row r="63" spans="1:4" x14ac:dyDescent="0.25">
      <c r="A63" t="s">
        <v>123</v>
      </c>
      <c r="B63" t="s">
        <v>1027</v>
      </c>
      <c r="C63" t="s">
        <v>4073</v>
      </c>
      <c r="D63">
        <v>19</v>
      </c>
    </row>
    <row r="64" spans="1:4" x14ac:dyDescent="0.25">
      <c r="A64" t="s">
        <v>123</v>
      </c>
      <c r="B64" t="s">
        <v>1029</v>
      </c>
      <c r="C64" t="s">
        <v>4077</v>
      </c>
      <c r="D64">
        <v>22</v>
      </c>
    </row>
    <row r="65" spans="1:4" x14ac:dyDescent="0.25">
      <c r="A65" t="s">
        <v>123</v>
      </c>
      <c r="B65" t="s">
        <v>1119</v>
      </c>
      <c r="C65" t="s">
        <v>2839</v>
      </c>
      <c r="D65">
        <v>23</v>
      </c>
    </row>
    <row r="66" spans="1:4" x14ac:dyDescent="0.25">
      <c r="A66" t="s">
        <v>123</v>
      </c>
      <c r="B66" t="s">
        <v>2431</v>
      </c>
      <c r="C66" t="s">
        <v>3143</v>
      </c>
      <c r="D66">
        <v>26</v>
      </c>
    </row>
    <row r="67" spans="1:4" x14ac:dyDescent="0.25">
      <c r="A67" t="s">
        <v>123</v>
      </c>
      <c r="B67" t="s">
        <v>62</v>
      </c>
      <c r="C67" t="s">
        <v>4062</v>
      </c>
      <c r="D67">
        <v>27</v>
      </c>
    </row>
    <row r="68" spans="1:4" x14ac:dyDescent="0.25">
      <c r="A68" t="s">
        <v>123</v>
      </c>
      <c r="B68" t="s">
        <v>313</v>
      </c>
      <c r="C68" t="s">
        <v>4078</v>
      </c>
      <c r="D68">
        <v>29</v>
      </c>
    </row>
    <row r="69" spans="1:4" x14ac:dyDescent="0.25">
      <c r="A69" t="s">
        <v>123</v>
      </c>
      <c r="B69" t="s">
        <v>261</v>
      </c>
      <c r="C69" t="s">
        <v>4033</v>
      </c>
      <c r="D69">
        <v>26</v>
      </c>
    </row>
    <row r="70" spans="1:4" x14ac:dyDescent="0.25">
      <c r="A70" t="s">
        <v>123</v>
      </c>
      <c r="B70" t="s">
        <v>1092</v>
      </c>
      <c r="C70" t="s">
        <v>4079</v>
      </c>
      <c r="D70">
        <v>24</v>
      </c>
    </row>
    <row r="71" spans="1:4" x14ac:dyDescent="0.25">
      <c r="A71" t="s">
        <v>123</v>
      </c>
      <c r="B71" t="s">
        <v>339</v>
      </c>
      <c r="C71" t="s">
        <v>3755</v>
      </c>
      <c r="D71">
        <v>25</v>
      </c>
    </row>
    <row r="72" spans="1:4" x14ac:dyDescent="0.25">
      <c r="A72" t="s">
        <v>123</v>
      </c>
      <c r="B72" t="s">
        <v>339</v>
      </c>
      <c r="C72" t="s">
        <v>3149</v>
      </c>
      <c r="D72">
        <v>26</v>
      </c>
    </row>
    <row r="73" spans="1:4" x14ac:dyDescent="0.25">
      <c r="A73" t="s">
        <v>123</v>
      </c>
      <c r="B73" t="s">
        <v>1198</v>
      </c>
      <c r="C73" t="s">
        <v>3150</v>
      </c>
      <c r="D73">
        <v>24</v>
      </c>
    </row>
    <row r="74" spans="1:4" x14ac:dyDescent="0.25">
      <c r="A74" t="s">
        <v>123</v>
      </c>
      <c r="B74" t="s">
        <v>469</v>
      </c>
      <c r="C74" t="s">
        <v>4080</v>
      </c>
      <c r="D74">
        <v>27</v>
      </c>
    </row>
    <row r="75" spans="1:4" x14ac:dyDescent="0.25">
      <c r="A75" t="s">
        <v>123</v>
      </c>
      <c r="B75" t="s">
        <v>1200</v>
      </c>
      <c r="C75" t="s">
        <v>3259</v>
      </c>
      <c r="D75">
        <v>25</v>
      </c>
    </row>
    <row r="76" spans="1:4" x14ac:dyDescent="0.25">
      <c r="A76" t="s">
        <v>123</v>
      </c>
      <c r="B76" t="s">
        <v>198</v>
      </c>
      <c r="C76" t="s">
        <v>3876</v>
      </c>
      <c r="D76">
        <v>27</v>
      </c>
    </row>
    <row r="77" spans="1:4" x14ac:dyDescent="0.25">
      <c r="A77" t="s">
        <v>123</v>
      </c>
      <c r="B77" t="s">
        <v>732</v>
      </c>
      <c r="C77" t="s">
        <v>4081</v>
      </c>
      <c r="D77">
        <v>30</v>
      </c>
    </row>
    <row r="78" spans="1:4" x14ac:dyDescent="0.25">
      <c r="A78" t="s">
        <v>123</v>
      </c>
      <c r="B78" t="s">
        <v>294</v>
      </c>
      <c r="C78" t="s">
        <v>4082</v>
      </c>
      <c r="D78">
        <v>28</v>
      </c>
    </row>
    <row r="79" spans="1:4" x14ac:dyDescent="0.25">
      <c r="A79" t="s">
        <v>123</v>
      </c>
      <c r="B79" t="s">
        <v>294</v>
      </c>
      <c r="C79" t="s">
        <v>2038</v>
      </c>
      <c r="D79">
        <v>27</v>
      </c>
    </row>
    <row r="80" spans="1:4" x14ac:dyDescent="0.25">
      <c r="A80" t="s">
        <v>123</v>
      </c>
      <c r="B80" t="s">
        <v>301</v>
      </c>
      <c r="C80" t="s">
        <v>4083</v>
      </c>
      <c r="D80">
        <v>28</v>
      </c>
    </row>
    <row r="81" spans="1:4" x14ac:dyDescent="0.25">
      <c r="A81" t="s">
        <v>123</v>
      </c>
      <c r="B81" t="s">
        <v>301</v>
      </c>
      <c r="C81" t="s">
        <v>4084</v>
      </c>
      <c r="D81">
        <v>29</v>
      </c>
    </row>
    <row r="82" spans="1:4" x14ac:dyDescent="0.25">
      <c r="A82" t="s">
        <v>123</v>
      </c>
      <c r="B82" t="s">
        <v>1489</v>
      </c>
      <c r="C82" t="s">
        <v>4085</v>
      </c>
      <c r="D82">
        <v>27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15.037037037037036</v>
      </c>
    </row>
    <row r="86" spans="1:4" x14ac:dyDescent="0.25">
      <c r="A86" t="s">
        <v>159</v>
      </c>
      <c r="D86">
        <f>MAX(D2:D82)</f>
        <v>30</v>
      </c>
    </row>
    <row r="87" spans="1:4" x14ac:dyDescent="0.25">
      <c r="A87" t="s">
        <v>160</v>
      </c>
      <c r="D87">
        <f>MIN(D2:D82)</f>
        <v>2</v>
      </c>
    </row>
    <row r="88" spans="1:4" x14ac:dyDescent="0.25">
      <c r="A88" t="s">
        <v>161</v>
      </c>
      <c r="D88">
        <f>COUNTIF(D2:D82,"&gt;0")</f>
        <v>81</v>
      </c>
    </row>
    <row r="89" spans="1:4" x14ac:dyDescent="0.25">
      <c r="A89" t="s">
        <v>162</v>
      </c>
      <c r="D89">
        <f>COUNTIF(D2:D82,"=0")</f>
        <v>0</v>
      </c>
    </row>
    <row r="90" spans="1:4" x14ac:dyDescent="0.25">
      <c r="A90" t="s">
        <v>2857</v>
      </c>
      <c r="D90">
        <f>COUNTIF(D2:D82,"&lt;0")</f>
        <v>0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AVERAGE(D2,D3,D4,D5,D6,D7,D8,D9,D10,D11,D12,D13,D14,D15,D16,D17,D18,D19)</f>
        <v>6.5</v>
      </c>
    </row>
    <row r="94" spans="1:4" x14ac:dyDescent="0.25">
      <c r="A94" t="s">
        <v>166</v>
      </c>
      <c r="D94">
        <f>AVERAGE(D20,D21,D22,D23,D24,D25,D26,D27,D28,D29,D30,D31,D32,D33,D34,D35,D36,D37,D38)</f>
        <v>10.526315789473685</v>
      </c>
    </row>
    <row r="95" spans="1:4" x14ac:dyDescent="0.25">
      <c r="A95" t="s">
        <v>167</v>
      </c>
      <c r="D95">
        <f>AVERAGE(D39,D40,D41,D42,D43,D44,D45,D46,D47,D48,D49,D50,D51,D52,D53,D54,D55,D56,D57,D58,D59)</f>
        <v>15.714285714285714</v>
      </c>
    </row>
    <row r="96" spans="1:4" x14ac:dyDescent="0.25">
      <c r="A96" t="s">
        <v>168</v>
      </c>
      <c r="D96">
        <f>AVERAGE(D60,D61,D62,D63,D64,D65,D66,D67,D68,D69,D70,D71,D72,D73,D74,D75,D76,D77,D78,D79,D80,D81,D82)</f>
        <v>24.826086956521738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9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1765</v>
      </c>
      <c r="C2" t="s">
        <v>1008</v>
      </c>
      <c r="D2">
        <v>-3</v>
      </c>
    </row>
    <row r="3" spans="1:4" x14ac:dyDescent="0.25">
      <c r="A3" t="s">
        <v>4</v>
      </c>
      <c r="B3" t="s">
        <v>11</v>
      </c>
      <c r="C3" t="s">
        <v>3551</v>
      </c>
      <c r="D3">
        <v>-6</v>
      </c>
    </row>
    <row r="4" spans="1:4" x14ac:dyDescent="0.25">
      <c r="A4" t="s">
        <v>4</v>
      </c>
      <c r="B4" t="s">
        <v>332</v>
      </c>
      <c r="C4" t="s">
        <v>2746</v>
      </c>
      <c r="D4">
        <v>-8</v>
      </c>
    </row>
    <row r="5" spans="1:4" x14ac:dyDescent="0.25">
      <c r="A5" t="s">
        <v>4</v>
      </c>
      <c r="B5" t="s">
        <v>1325</v>
      </c>
      <c r="C5" t="s">
        <v>4086</v>
      </c>
      <c r="D5">
        <v>-7</v>
      </c>
    </row>
    <row r="6" spans="1:4" x14ac:dyDescent="0.25">
      <c r="A6" t="s">
        <v>4</v>
      </c>
      <c r="B6" t="s">
        <v>275</v>
      </c>
      <c r="C6" t="s">
        <v>4087</v>
      </c>
      <c r="D6">
        <v>-10</v>
      </c>
    </row>
    <row r="7" spans="1:4" x14ac:dyDescent="0.25">
      <c r="A7" t="s">
        <v>4</v>
      </c>
      <c r="B7" t="s">
        <v>779</v>
      </c>
      <c r="C7" t="s">
        <v>4066</v>
      </c>
      <c r="D7">
        <v>-8</v>
      </c>
    </row>
    <row r="8" spans="1:4" x14ac:dyDescent="0.25">
      <c r="A8" t="s">
        <v>4</v>
      </c>
      <c r="B8" t="s">
        <v>648</v>
      </c>
      <c r="C8" t="s">
        <v>3696</v>
      </c>
      <c r="D8">
        <v>-6</v>
      </c>
    </row>
    <row r="9" spans="1:4" x14ac:dyDescent="0.25">
      <c r="A9" t="s">
        <v>4</v>
      </c>
      <c r="B9" t="s">
        <v>1284</v>
      </c>
      <c r="C9" t="s">
        <v>1743</v>
      </c>
      <c r="D9">
        <v>-3</v>
      </c>
    </row>
    <row r="10" spans="1:4" x14ac:dyDescent="0.25">
      <c r="A10" t="s">
        <v>4</v>
      </c>
      <c r="B10" t="s">
        <v>594</v>
      </c>
      <c r="C10" t="s">
        <v>3697</v>
      </c>
      <c r="D10">
        <v>-5</v>
      </c>
    </row>
    <row r="11" spans="1:4" x14ac:dyDescent="0.25">
      <c r="A11" t="s">
        <v>4</v>
      </c>
      <c r="B11" t="s">
        <v>1475</v>
      </c>
      <c r="C11" t="s">
        <v>1925</v>
      </c>
      <c r="D11">
        <v>-3</v>
      </c>
    </row>
    <row r="12" spans="1:4" x14ac:dyDescent="0.25">
      <c r="A12" t="s">
        <v>4</v>
      </c>
      <c r="B12" t="s">
        <v>140</v>
      </c>
      <c r="C12" t="s">
        <v>1701</v>
      </c>
      <c r="D12">
        <v>-5</v>
      </c>
    </row>
    <row r="13" spans="1:4" x14ac:dyDescent="0.25">
      <c r="A13" t="s">
        <v>4</v>
      </c>
      <c r="B13" t="s">
        <v>628</v>
      </c>
      <c r="C13" t="s">
        <v>445</v>
      </c>
      <c r="D13">
        <v>-2</v>
      </c>
    </row>
    <row r="14" spans="1:4" x14ac:dyDescent="0.25">
      <c r="A14" t="s">
        <v>4</v>
      </c>
      <c r="B14" t="s">
        <v>337</v>
      </c>
      <c r="C14" t="s">
        <v>446</v>
      </c>
      <c r="D14">
        <v>1</v>
      </c>
    </row>
    <row r="15" spans="1:4" x14ac:dyDescent="0.25">
      <c r="A15" t="s">
        <v>4</v>
      </c>
      <c r="B15" t="s">
        <v>2562</v>
      </c>
      <c r="C15" t="s">
        <v>2156</v>
      </c>
      <c r="D15">
        <v>-2</v>
      </c>
    </row>
    <row r="16" spans="1:4" x14ac:dyDescent="0.25">
      <c r="A16" t="s">
        <v>4</v>
      </c>
      <c r="B16" t="s">
        <v>380</v>
      </c>
      <c r="C16" t="s">
        <v>2721</v>
      </c>
      <c r="D16">
        <v>0</v>
      </c>
    </row>
    <row r="17" spans="1:4" x14ac:dyDescent="0.25">
      <c r="A17" t="s">
        <v>4</v>
      </c>
      <c r="B17" t="s">
        <v>1481</v>
      </c>
      <c r="C17" t="s">
        <v>583</v>
      </c>
      <c r="D17">
        <v>1</v>
      </c>
    </row>
    <row r="18" spans="1:4" x14ac:dyDescent="0.25">
      <c r="A18" t="s">
        <v>4</v>
      </c>
      <c r="B18" t="s">
        <v>1481</v>
      </c>
      <c r="C18" t="s">
        <v>791</v>
      </c>
      <c r="D18">
        <v>2</v>
      </c>
    </row>
    <row r="19" spans="1:4" x14ac:dyDescent="0.25">
      <c r="A19" t="s">
        <v>4</v>
      </c>
      <c r="B19" t="s">
        <v>1127</v>
      </c>
      <c r="C19" t="s">
        <v>792</v>
      </c>
      <c r="D19">
        <v>1</v>
      </c>
    </row>
    <row r="20" spans="1:4" x14ac:dyDescent="0.25">
      <c r="A20" t="s">
        <v>4</v>
      </c>
      <c r="B20" t="s">
        <v>2112</v>
      </c>
      <c r="C20" t="s">
        <v>586</v>
      </c>
      <c r="D20">
        <v>3</v>
      </c>
    </row>
    <row r="21" spans="1:4" x14ac:dyDescent="0.25">
      <c r="A21" t="s">
        <v>4</v>
      </c>
      <c r="B21" t="s">
        <v>552</v>
      </c>
      <c r="C21" t="s">
        <v>207</v>
      </c>
      <c r="D21">
        <v>5</v>
      </c>
    </row>
    <row r="22" spans="1:4" x14ac:dyDescent="0.25">
      <c r="A22" t="s">
        <v>4</v>
      </c>
      <c r="B22" t="s">
        <v>634</v>
      </c>
      <c r="C22" t="s">
        <v>210</v>
      </c>
      <c r="D22">
        <v>7</v>
      </c>
    </row>
    <row r="23" spans="1:4" x14ac:dyDescent="0.25">
      <c r="A23" t="s">
        <v>4</v>
      </c>
      <c r="B23" t="s">
        <v>348</v>
      </c>
      <c r="C23" t="s">
        <v>1930</v>
      </c>
      <c r="D23">
        <v>9</v>
      </c>
    </row>
    <row r="24" spans="1:4" x14ac:dyDescent="0.25">
      <c r="A24" t="s">
        <v>4</v>
      </c>
      <c r="B24" t="s">
        <v>817</v>
      </c>
      <c r="C24" t="s">
        <v>1931</v>
      </c>
      <c r="D24">
        <v>11</v>
      </c>
    </row>
    <row r="25" spans="1:4" x14ac:dyDescent="0.25">
      <c r="A25" t="s">
        <v>40</v>
      </c>
      <c r="B25" t="s">
        <v>716</v>
      </c>
      <c r="C25" t="s">
        <v>2561</v>
      </c>
      <c r="D25">
        <v>8</v>
      </c>
    </row>
    <row r="26" spans="1:4" x14ac:dyDescent="0.25">
      <c r="A26" t="s">
        <v>40</v>
      </c>
      <c r="B26" t="s">
        <v>1545</v>
      </c>
      <c r="C26" t="s">
        <v>2526</v>
      </c>
      <c r="D26">
        <v>11</v>
      </c>
    </row>
    <row r="27" spans="1:4" x14ac:dyDescent="0.25">
      <c r="A27" t="s">
        <v>40</v>
      </c>
      <c r="B27" t="s">
        <v>691</v>
      </c>
      <c r="C27" t="s">
        <v>1934</v>
      </c>
      <c r="D27">
        <v>9</v>
      </c>
    </row>
    <row r="28" spans="1:4" x14ac:dyDescent="0.25">
      <c r="A28" t="s">
        <v>40</v>
      </c>
      <c r="B28" t="s">
        <v>721</v>
      </c>
      <c r="C28" t="s">
        <v>2933</v>
      </c>
      <c r="D28">
        <v>12</v>
      </c>
    </row>
    <row r="29" spans="1:4" x14ac:dyDescent="0.25">
      <c r="A29" t="s">
        <v>40</v>
      </c>
      <c r="B29" t="s">
        <v>208</v>
      </c>
      <c r="C29" t="s">
        <v>4088</v>
      </c>
      <c r="D29">
        <v>14</v>
      </c>
    </row>
    <row r="30" spans="1:4" x14ac:dyDescent="0.25">
      <c r="A30" t="s">
        <v>40</v>
      </c>
      <c r="B30" t="s">
        <v>1143</v>
      </c>
      <c r="C30" t="s">
        <v>2543</v>
      </c>
      <c r="D30">
        <v>12</v>
      </c>
    </row>
    <row r="31" spans="1:4" x14ac:dyDescent="0.25">
      <c r="A31" t="s">
        <v>40</v>
      </c>
      <c r="B31" t="s">
        <v>872</v>
      </c>
      <c r="C31" t="s">
        <v>2654</v>
      </c>
      <c r="D31">
        <v>14</v>
      </c>
    </row>
    <row r="32" spans="1:4" x14ac:dyDescent="0.25">
      <c r="A32" t="s">
        <v>40</v>
      </c>
      <c r="B32" t="s">
        <v>1819</v>
      </c>
      <c r="C32" t="s">
        <v>3663</v>
      </c>
      <c r="D32">
        <v>11</v>
      </c>
    </row>
    <row r="33" spans="1:4" x14ac:dyDescent="0.25">
      <c r="A33" t="s">
        <v>40</v>
      </c>
      <c r="B33" t="s">
        <v>284</v>
      </c>
      <c r="C33" t="s">
        <v>2163</v>
      </c>
      <c r="D33">
        <v>12</v>
      </c>
    </row>
    <row r="34" spans="1:4" x14ac:dyDescent="0.25">
      <c r="A34" t="s">
        <v>40</v>
      </c>
      <c r="B34" t="s">
        <v>376</v>
      </c>
      <c r="C34" t="s">
        <v>2979</v>
      </c>
      <c r="D34">
        <v>11</v>
      </c>
    </row>
    <row r="35" spans="1:4" x14ac:dyDescent="0.25">
      <c r="A35" t="s">
        <v>40</v>
      </c>
      <c r="B35" t="s">
        <v>376</v>
      </c>
      <c r="C35" t="s">
        <v>1939</v>
      </c>
      <c r="D35">
        <v>10</v>
      </c>
    </row>
    <row r="36" spans="1:4" x14ac:dyDescent="0.25">
      <c r="A36" t="s">
        <v>40</v>
      </c>
      <c r="B36" t="s">
        <v>286</v>
      </c>
      <c r="C36" t="s">
        <v>3435</v>
      </c>
      <c r="D36">
        <v>13</v>
      </c>
    </row>
    <row r="37" spans="1:4" x14ac:dyDescent="0.25">
      <c r="A37" t="s">
        <v>40</v>
      </c>
      <c r="B37" t="s">
        <v>1940</v>
      </c>
      <c r="C37" t="s">
        <v>3737</v>
      </c>
      <c r="D37">
        <v>15</v>
      </c>
    </row>
    <row r="38" spans="1:4" x14ac:dyDescent="0.25">
      <c r="A38" t="s">
        <v>40</v>
      </c>
      <c r="B38" t="s">
        <v>1112</v>
      </c>
      <c r="C38" t="s">
        <v>948</v>
      </c>
      <c r="D38">
        <v>13</v>
      </c>
    </row>
    <row r="39" spans="1:4" x14ac:dyDescent="0.25">
      <c r="A39" t="s">
        <v>40</v>
      </c>
      <c r="B39" t="s">
        <v>1204</v>
      </c>
      <c r="C39" t="s">
        <v>3683</v>
      </c>
      <c r="D39">
        <v>10</v>
      </c>
    </row>
    <row r="40" spans="1:4" x14ac:dyDescent="0.25">
      <c r="A40" t="s">
        <v>40</v>
      </c>
      <c r="B40" t="s">
        <v>1874</v>
      </c>
      <c r="C40" t="s">
        <v>1674</v>
      </c>
      <c r="D40">
        <v>8</v>
      </c>
    </row>
    <row r="41" spans="1:4" x14ac:dyDescent="0.25">
      <c r="A41" t="s">
        <v>40</v>
      </c>
      <c r="B41" t="s">
        <v>76</v>
      </c>
      <c r="C41" t="s">
        <v>2271</v>
      </c>
      <c r="D41">
        <v>11</v>
      </c>
    </row>
    <row r="42" spans="1:4" x14ac:dyDescent="0.25">
      <c r="A42" t="s">
        <v>40</v>
      </c>
      <c r="B42" t="s">
        <v>817</v>
      </c>
      <c r="C42" t="s">
        <v>1947</v>
      </c>
      <c r="D42">
        <v>14</v>
      </c>
    </row>
    <row r="43" spans="1:4" x14ac:dyDescent="0.25">
      <c r="A43" t="s">
        <v>80</v>
      </c>
      <c r="B43" t="s">
        <v>1022</v>
      </c>
      <c r="C43" t="s">
        <v>1949</v>
      </c>
      <c r="D43">
        <v>16</v>
      </c>
    </row>
    <row r="44" spans="1:4" x14ac:dyDescent="0.25">
      <c r="A44" t="s">
        <v>80</v>
      </c>
      <c r="B44" t="s">
        <v>691</v>
      </c>
      <c r="C44" t="s">
        <v>3061</v>
      </c>
      <c r="D44">
        <v>19</v>
      </c>
    </row>
    <row r="45" spans="1:4" x14ac:dyDescent="0.25">
      <c r="A45" t="s">
        <v>80</v>
      </c>
      <c r="B45" t="s">
        <v>1851</v>
      </c>
      <c r="C45" t="s">
        <v>2822</v>
      </c>
      <c r="D45">
        <v>17</v>
      </c>
    </row>
    <row r="46" spans="1:4" x14ac:dyDescent="0.25">
      <c r="A46" t="s">
        <v>80</v>
      </c>
      <c r="B46" t="s">
        <v>590</v>
      </c>
      <c r="C46" t="s">
        <v>2863</v>
      </c>
      <c r="D46">
        <v>15</v>
      </c>
    </row>
    <row r="47" spans="1:4" x14ac:dyDescent="0.25">
      <c r="A47" t="s">
        <v>80</v>
      </c>
      <c r="B47" t="s">
        <v>93</v>
      </c>
      <c r="C47" t="s">
        <v>962</v>
      </c>
      <c r="D47">
        <v>18</v>
      </c>
    </row>
    <row r="48" spans="1:4" x14ac:dyDescent="0.25">
      <c r="A48" t="s">
        <v>80</v>
      </c>
      <c r="B48" t="s">
        <v>217</v>
      </c>
      <c r="C48" t="s">
        <v>2367</v>
      </c>
      <c r="D48">
        <v>16</v>
      </c>
    </row>
    <row r="49" spans="1:4" x14ac:dyDescent="0.25">
      <c r="A49" t="s">
        <v>80</v>
      </c>
      <c r="B49" t="s">
        <v>62</v>
      </c>
      <c r="C49" t="s">
        <v>2368</v>
      </c>
      <c r="D49">
        <v>19</v>
      </c>
    </row>
    <row r="50" spans="1:4" x14ac:dyDescent="0.25">
      <c r="A50" t="s">
        <v>80</v>
      </c>
      <c r="B50" t="s">
        <v>661</v>
      </c>
      <c r="C50" t="s">
        <v>2825</v>
      </c>
      <c r="D50">
        <v>21</v>
      </c>
    </row>
    <row r="51" spans="1:4" x14ac:dyDescent="0.25">
      <c r="A51" t="s">
        <v>80</v>
      </c>
      <c r="B51" t="s">
        <v>1108</v>
      </c>
      <c r="C51" t="s">
        <v>3346</v>
      </c>
      <c r="D51">
        <v>18</v>
      </c>
    </row>
    <row r="52" spans="1:4" x14ac:dyDescent="0.25">
      <c r="A52" t="s">
        <v>80</v>
      </c>
      <c r="B52" t="s">
        <v>524</v>
      </c>
      <c r="C52" t="s">
        <v>4089</v>
      </c>
      <c r="D52">
        <v>20</v>
      </c>
    </row>
    <row r="53" spans="1:4" x14ac:dyDescent="0.25">
      <c r="A53" t="s">
        <v>80</v>
      </c>
      <c r="B53" t="s">
        <v>579</v>
      </c>
      <c r="C53" t="s">
        <v>3748</v>
      </c>
      <c r="D53">
        <v>23</v>
      </c>
    </row>
    <row r="54" spans="1:4" x14ac:dyDescent="0.25">
      <c r="A54" t="s">
        <v>80</v>
      </c>
      <c r="B54" t="s">
        <v>267</v>
      </c>
      <c r="C54" t="s">
        <v>973</v>
      </c>
      <c r="D54">
        <v>21</v>
      </c>
    </row>
    <row r="55" spans="1:4" x14ac:dyDescent="0.25">
      <c r="A55" t="s">
        <v>80</v>
      </c>
      <c r="B55" t="s">
        <v>815</v>
      </c>
      <c r="C55" t="s">
        <v>3138</v>
      </c>
      <c r="D55">
        <v>23</v>
      </c>
    </row>
    <row r="56" spans="1:4" x14ac:dyDescent="0.25">
      <c r="A56" t="s">
        <v>80</v>
      </c>
      <c r="B56" t="s">
        <v>298</v>
      </c>
      <c r="C56" t="s">
        <v>2836</v>
      </c>
      <c r="D56">
        <v>26</v>
      </c>
    </row>
    <row r="57" spans="1:4" x14ac:dyDescent="0.25">
      <c r="A57" t="s">
        <v>80</v>
      </c>
      <c r="B57" t="s">
        <v>537</v>
      </c>
      <c r="C57" t="s">
        <v>2837</v>
      </c>
      <c r="D57">
        <v>23</v>
      </c>
    </row>
    <row r="58" spans="1:4" x14ac:dyDescent="0.25">
      <c r="A58" t="s">
        <v>123</v>
      </c>
      <c r="B58" t="s">
        <v>1704</v>
      </c>
      <c r="C58" t="s">
        <v>3141</v>
      </c>
      <c r="D58">
        <v>25</v>
      </c>
    </row>
    <row r="59" spans="1:4" x14ac:dyDescent="0.25">
      <c r="A59" t="s">
        <v>123</v>
      </c>
      <c r="B59" t="s">
        <v>1664</v>
      </c>
      <c r="C59" t="s">
        <v>4090</v>
      </c>
      <c r="D59">
        <v>22</v>
      </c>
    </row>
    <row r="60" spans="1:4" x14ac:dyDescent="0.25">
      <c r="A60" t="s">
        <v>123</v>
      </c>
      <c r="B60" t="s">
        <v>823</v>
      </c>
      <c r="C60" t="s">
        <v>4091</v>
      </c>
      <c r="D60">
        <v>24</v>
      </c>
    </row>
    <row r="61" spans="1:4" x14ac:dyDescent="0.25">
      <c r="A61" t="s">
        <v>123</v>
      </c>
      <c r="B61" t="s">
        <v>1143</v>
      </c>
      <c r="C61" t="s">
        <v>982</v>
      </c>
      <c r="D61">
        <v>21</v>
      </c>
    </row>
    <row r="62" spans="1:4" x14ac:dyDescent="0.25">
      <c r="A62" t="s">
        <v>123</v>
      </c>
      <c r="B62" t="s">
        <v>1169</v>
      </c>
      <c r="C62" t="s">
        <v>2381</v>
      </c>
      <c r="D62">
        <v>22</v>
      </c>
    </row>
    <row r="63" spans="1:4" x14ac:dyDescent="0.25">
      <c r="A63" t="s">
        <v>123</v>
      </c>
      <c r="B63" t="s">
        <v>740</v>
      </c>
      <c r="C63" t="s">
        <v>3354</v>
      </c>
      <c r="D63">
        <v>21</v>
      </c>
    </row>
    <row r="64" spans="1:4" x14ac:dyDescent="0.25">
      <c r="A64" t="s">
        <v>123</v>
      </c>
      <c r="B64" t="s">
        <v>437</v>
      </c>
      <c r="C64" t="s">
        <v>3754</v>
      </c>
      <c r="D64">
        <v>23</v>
      </c>
    </row>
    <row r="65" spans="1:4" x14ac:dyDescent="0.25">
      <c r="A65" t="s">
        <v>123</v>
      </c>
      <c r="B65" t="s">
        <v>263</v>
      </c>
      <c r="C65" t="s">
        <v>2384</v>
      </c>
      <c r="D65">
        <v>20</v>
      </c>
    </row>
    <row r="66" spans="1:4" x14ac:dyDescent="0.25">
      <c r="A66" t="s">
        <v>123</v>
      </c>
      <c r="B66" t="s">
        <v>1536</v>
      </c>
      <c r="C66" t="s">
        <v>986</v>
      </c>
      <c r="D66">
        <v>19</v>
      </c>
    </row>
    <row r="67" spans="1:4" x14ac:dyDescent="0.25">
      <c r="A67" t="s">
        <v>123</v>
      </c>
      <c r="B67" t="s">
        <v>1536</v>
      </c>
      <c r="C67" t="s">
        <v>2804</v>
      </c>
      <c r="D67">
        <v>18</v>
      </c>
    </row>
    <row r="68" spans="1:4" x14ac:dyDescent="0.25">
      <c r="A68" t="s">
        <v>123</v>
      </c>
      <c r="B68" t="s">
        <v>990</v>
      </c>
      <c r="C68" t="s">
        <v>4092</v>
      </c>
      <c r="D68">
        <v>21</v>
      </c>
    </row>
    <row r="69" spans="1:4" x14ac:dyDescent="0.25">
      <c r="A69" t="s">
        <v>123</v>
      </c>
      <c r="B69" t="s">
        <v>1202</v>
      </c>
      <c r="C69" t="s">
        <v>2806</v>
      </c>
      <c r="D69">
        <v>19</v>
      </c>
    </row>
    <row r="70" spans="1:4" x14ac:dyDescent="0.25">
      <c r="A70" t="s">
        <v>123</v>
      </c>
      <c r="B70" t="s">
        <v>2317</v>
      </c>
      <c r="C70" t="s">
        <v>2951</v>
      </c>
      <c r="D70">
        <v>22</v>
      </c>
    </row>
    <row r="71" spans="1:4" x14ac:dyDescent="0.25">
      <c r="A71" t="s">
        <v>123</v>
      </c>
      <c r="B71" t="s">
        <v>1484</v>
      </c>
      <c r="C71" t="s">
        <v>4093</v>
      </c>
      <c r="D71">
        <v>23</v>
      </c>
    </row>
    <row r="72" spans="1:4" x14ac:dyDescent="0.25">
      <c r="A72" t="s">
        <v>123</v>
      </c>
      <c r="B72" t="s">
        <v>1484</v>
      </c>
      <c r="C72" t="s">
        <v>4094</v>
      </c>
      <c r="D72">
        <v>24</v>
      </c>
    </row>
    <row r="73" spans="1:4" x14ac:dyDescent="0.25">
      <c r="A73" t="s">
        <v>123</v>
      </c>
      <c r="B73" t="s">
        <v>1484</v>
      </c>
      <c r="C73" t="s">
        <v>2037</v>
      </c>
      <c r="D73">
        <v>25</v>
      </c>
    </row>
    <row r="74" spans="1:4" x14ac:dyDescent="0.25">
      <c r="A74" t="s">
        <v>123</v>
      </c>
      <c r="B74" t="s">
        <v>505</v>
      </c>
      <c r="C74" t="s">
        <v>4083</v>
      </c>
      <c r="D74">
        <v>28</v>
      </c>
    </row>
    <row r="75" spans="1:4" x14ac:dyDescent="0.25">
      <c r="A75" t="s">
        <v>123</v>
      </c>
      <c r="B75" t="s">
        <v>296</v>
      </c>
      <c r="C75" t="s">
        <v>2104</v>
      </c>
      <c r="D75">
        <v>26</v>
      </c>
    </row>
    <row r="76" spans="1:4" x14ac:dyDescent="0.25">
      <c r="A76" t="s">
        <v>123</v>
      </c>
      <c r="B76" t="s">
        <v>1845</v>
      </c>
      <c r="C76" t="s">
        <v>4095</v>
      </c>
      <c r="D76">
        <v>29</v>
      </c>
    </row>
    <row r="77" spans="1:4" x14ac:dyDescent="0.25">
      <c r="A77" t="s">
        <v>123</v>
      </c>
      <c r="B77" t="s">
        <v>537</v>
      </c>
      <c r="C77" t="s">
        <v>4096</v>
      </c>
      <c r="D77">
        <v>27</v>
      </c>
    </row>
    <row r="79" spans="1:4" x14ac:dyDescent="0.25">
      <c r="A79" s="2" t="s">
        <v>157</v>
      </c>
    </row>
    <row r="80" spans="1:4" x14ac:dyDescent="0.25">
      <c r="A80" t="s">
        <v>158</v>
      </c>
      <c r="D80">
        <f>AVERAGE(D2:D77)</f>
        <v>12.289473684210526</v>
      </c>
    </row>
    <row r="81" spans="1:4" x14ac:dyDescent="0.25">
      <c r="A81" t="s">
        <v>159</v>
      </c>
      <c r="D81">
        <f>MAX(D2:D77)</f>
        <v>29</v>
      </c>
    </row>
    <row r="82" spans="1:4" x14ac:dyDescent="0.25">
      <c r="A82" t="s">
        <v>160</v>
      </c>
      <c r="D82">
        <f>MIN(D2:D77)</f>
        <v>-10</v>
      </c>
    </row>
    <row r="83" spans="1:4" x14ac:dyDescent="0.25">
      <c r="A83" t="s">
        <v>161</v>
      </c>
      <c r="D83">
        <f>COUNTIF(D2:D77,"&gt;0")</f>
        <v>62</v>
      </c>
    </row>
    <row r="84" spans="1:4" x14ac:dyDescent="0.25">
      <c r="A84" t="s">
        <v>162</v>
      </c>
      <c r="D84">
        <f>COUNTIF(D2:D77,"=0")</f>
        <v>1</v>
      </c>
    </row>
    <row r="85" spans="1:4" x14ac:dyDescent="0.25">
      <c r="A85" t="s">
        <v>1491</v>
      </c>
      <c r="D85">
        <f>COUNTIF(D2:D77,"&lt;0")</f>
        <v>13</v>
      </c>
    </row>
    <row r="87" spans="1:4" x14ac:dyDescent="0.25">
      <c r="A87" s="2" t="s">
        <v>164</v>
      </c>
    </row>
    <row r="88" spans="1:4" x14ac:dyDescent="0.25">
      <c r="A88" t="s">
        <v>165</v>
      </c>
      <c r="D88">
        <f>AVERAGE(D2,D3,D4,D5,D6,D7,D8,D9,D10,D11,D12,D13,D14,D15,D16,D17,D18,D19,D20,D21,D22,D23,D24)</f>
        <v>-1.2173913043478262</v>
      </c>
    </row>
    <row r="89" spans="1:4" x14ac:dyDescent="0.25">
      <c r="A89" t="s">
        <v>166</v>
      </c>
      <c r="D89">
        <f>AVERAGE(D25,D26,D27,D28,D29,D30,D31,D32,D33,D34,D35,D36,D37,D38,D39,D40,D41,D42)</f>
        <v>11.555555555555555</v>
      </c>
    </row>
    <row r="90" spans="1:4" x14ac:dyDescent="0.25">
      <c r="A90" t="s">
        <v>167</v>
      </c>
      <c r="D90">
        <f>AVERAGE(D43,D44,D45,D46,D47,D48,D49,D50,D51,D52,D53,D54,D55,D56,D57)</f>
        <v>19.666666666666668</v>
      </c>
    </row>
    <row r="91" spans="1:4" x14ac:dyDescent="0.25">
      <c r="A91" t="s">
        <v>168</v>
      </c>
      <c r="D91">
        <f>AVERAGE(D58,D59,D60,D61,D62,D63,D64,D65,D66,D67,D68,D69,D70,D71,D72,D73,D74,D75,D76,D77)</f>
        <v>22.95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9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2421</v>
      </c>
      <c r="C2" t="s">
        <v>908</v>
      </c>
      <c r="D2">
        <v>-2</v>
      </c>
    </row>
    <row r="3" spans="1:4" x14ac:dyDescent="0.25">
      <c r="A3" t="s">
        <v>4</v>
      </c>
      <c r="B3" t="s">
        <v>757</v>
      </c>
      <c r="C3" t="s">
        <v>909</v>
      </c>
      <c r="D3">
        <v>-5</v>
      </c>
    </row>
    <row r="4" spans="1:4" x14ac:dyDescent="0.25">
      <c r="A4" t="s">
        <v>4</v>
      </c>
      <c r="B4" t="s">
        <v>859</v>
      </c>
      <c r="C4" t="s">
        <v>1869</v>
      </c>
      <c r="D4">
        <v>-3</v>
      </c>
    </row>
    <row r="5" spans="1:4" x14ac:dyDescent="0.25">
      <c r="A5" t="s">
        <v>4</v>
      </c>
      <c r="B5" t="s">
        <v>1117</v>
      </c>
      <c r="C5" t="s">
        <v>2297</v>
      </c>
      <c r="D5">
        <v>-4</v>
      </c>
    </row>
    <row r="6" spans="1:4" x14ac:dyDescent="0.25">
      <c r="A6" t="s">
        <v>4</v>
      </c>
      <c r="B6" t="s">
        <v>1117</v>
      </c>
      <c r="C6" t="s">
        <v>1870</v>
      </c>
      <c r="D6">
        <v>-5</v>
      </c>
    </row>
    <row r="7" spans="1:4" x14ac:dyDescent="0.25">
      <c r="A7" t="s">
        <v>4</v>
      </c>
      <c r="B7" t="s">
        <v>11</v>
      </c>
      <c r="C7" t="s">
        <v>14</v>
      </c>
      <c r="D7">
        <v>-3</v>
      </c>
    </row>
    <row r="8" spans="1:4" x14ac:dyDescent="0.25">
      <c r="A8" t="s">
        <v>4</v>
      </c>
      <c r="B8" t="s">
        <v>1013</v>
      </c>
      <c r="C8" t="s">
        <v>4097</v>
      </c>
      <c r="D8">
        <v>-6</v>
      </c>
    </row>
    <row r="9" spans="1:4" x14ac:dyDescent="0.25">
      <c r="A9" t="s">
        <v>4</v>
      </c>
      <c r="B9" t="s">
        <v>1090</v>
      </c>
      <c r="C9" t="s">
        <v>1636</v>
      </c>
      <c r="D9">
        <v>-4</v>
      </c>
    </row>
    <row r="10" spans="1:4" x14ac:dyDescent="0.25">
      <c r="A10" t="s">
        <v>4</v>
      </c>
      <c r="B10" t="s">
        <v>1090</v>
      </c>
      <c r="C10" t="s">
        <v>436</v>
      </c>
      <c r="D10">
        <v>-3</v>
      </c>
    </row>
    <row r="11" spans="1:4" x14ac:dyDescent="0.25">
      <c r="A11" t="s">
        <v>4</v>
      </c>
      <c r="B11" t="s">
        <v>600</v>
      </c>
      <c r="C11" t="s">
        <v>1637</v>
      </c>
      <c r="D11">
        <v>-6</v>
      </c>
    </row>
    <row r="12" spans="1:4" x14ac:dyDescent="0.25">
      <c r="A12" t="s">
        <v>4</v>
      </c>
      <c r="B12" t="s">
        <v>1108</v>
      </c>
      <c r="C12" t="s">
        <v>1745</v>
      </c>
      <c r="D12">
        <v>-4</v>
      </c>
    </row>
    <row r="13" spans="1:4" x14ac:dyDescent="0.25">
      <c r="A13" t="s">
        <v>4</v>
      </c>
      <c r="B13" t="s">
        <v>577</v>
      </c>
      <c r="C13" t="s">
        <v>2395</v>
      </c>
      <c r="D13">
        <v>-6</v>
      </c>
    </row>
    <row r="14" spans="1:4" x14ac:dyDescent="0.25">
      <c r="A14" t="s">
        <v>4</v>
      </c>
      <c r="B14" t="s">
        <v>414</v>
      </c>
      <c r="C14" t="s">
        <v>2396</v>
      </c>
      <c r="D14">
        <v>-8</v>
      </c>
    </row>
    <row r="15" spans="1:4" x14ac:dyDescent="0.25">
      <c r="A15" t="s">
        <v>4</v>
      </c>
      <c r="B15" t="s">
        <v>414</v>
      </c>
      <c r="C15" t="s">
        <v>4098</v>
      </c>
      <c r="D15">
        <v>-9</v>
      </c>
    </row>
    <row r="16" spans="1:4" x14ac:dyDescent="0.25">
      <c r="A16" t="s">
        <v>4</v>
      </c>
      <c r="B16" t="s">
        <v>1132</v>
      </c>
      <c r="C16" t="s">
        <v>3553</v>
      </c>
      <c r="D16">
        <v>-7</v>
      </c>
    </row>
    <row r="17" spans="1:4" x14ac:dyDescent="0.25">
      <c r="A17" t="s">
        <v>4</v>
      </c>
      <c r="B17" t="s">
        <v>1402</v>
      </c>
      <c r="C17" t="s">
        <v>2398</v>
      </c>
      <c r="D17">
        <v>-9</v>
      </c>
    </row>
    <row r="18" spans="1:4" x14ac:dyDescent="0.25">
      <c r="A18" t="s">
        <v>4</v>
      </c>
      <c r="B18" t="s">
        <v>1402</v>
      </c>
      <c r="C18" t="s">
        <v>2399</v>
      </c>
      <c r="D18">
        <v>-10</v>
      </c>
    </row>
    <row r="19" spans="1:4" x14ac:dyDescent="0.25">
      <c r="A19" t="s">
        <v>4</v>
      </c>
      <c r="B19" t="s">
        <v>296</v>
      </c>
      <c r="C19" t="s">
        <v>4099</v>
      </c>
      <c r="D19">
        <v>-7</v>
      </c>
    </row>
    <row r="20" spans="1:4" x14ac:dyDescent="0.25">
      <c r="A20" t="s">
        <v>4</v>
      </c>
      <c r="B20" t="s">
        <v>301</v>
      </c>
      <c r="C20" t="s">
        <v>3616</v>
      </c>
      <c r="D20">
        <v>-9</v>
      </c>
    </row>
    <row r="21" spans="1:4" x14ac:dyDescent="0.25">
      <c r="A21" t="s">
        <v>40</v>
      </c>
      <c r="B21" t="s">
        <v>795</v>
      </c>
      <c r="C21" t="s">
        <v>2300</v>
      </c>
      <c r="D21">
        <v>-7</v>
      </c>
    </row>
    <row r="22" spans="1:4" x14ac:dyDescent="0.25">
      <c r="A22" t="s">
        <v>40</v>
      </c>
      <c r="B22" t="s">
        <v>616</v>
      </c>
      <c r="C22" t="s">
        <v>4100</v>
      </c>
      <c r="D22">
        <v>-10</v>
      </c>
    </row>
    <row r="23" spans="1:4" x14ac:dyDescent="0.25">
      <c r="A23" t="s">
        <v>40</v>
      </c>
      <c r="B23" t="s">
        <v>1029</v>
      </c>
      <c r="C23" t="s">
        <v>3619</v>
      </c>
      <c r="D23">
        <v>-8</v>
      </c>
    </row>
    <row r="24" spans="1:4" x14ac:dyDescent="0.25">
      <c r="A24" t="s">
        <v>40</v>
      </c>
      <c r="B24" t="s">
        <v>307</v>
      </c>
      <c r="C24" t="s">
        <v>2302</v>
      </c>
      <c r="D24">
        <v>-6</v>
      </c>
    </row>
    <row r="25" spans="1:4" x14ac:dyDescent="0.25">
      <c r="A25" t="s">
        <v>40</v>
      </c>
      <c r="B25" t="s">
        <v>312</v>
      </c>
      <c r="C25" t="s">
        <v>2437</v>
      </c>
      <c r="D25">
        <v>-9</v>
      </c>
    </row>
    <row r="26" spans="1:4" x14ac:dyDescent="0.25">
      <c r="A26" t="s">
        <v>40</v>
      </c>
      <c r="B26" t="s">
        <v>1349</v>
      </c>
      <c r="C26" t="s">
        <v>2724</v>
      </c>
      <c r="D26">
        <v>-8</v>
      </c>
    </row>
    <row r="27" spans="1:4" x14ac:dyDescent="0.25">
      <c r="A27" t="s">
        <v>40</v>
      </c>
      <c r="B27" t="s">
        <v>788</v>
      </c>
      <c r="C27" t="s">
        <v>1659</v>
      </c>
      <c r="D27">
        <v>-11</v>
      </c>
    </row>
    <row r="28" spans="1:4" x14ac:dyDescent="0.25">
      <c r="A28" t="s">
        <v>40</v>
      </c>
      <c r="B28" t="s">
        <v>231</v>
      </c>
      <c r="C28" t="s">
        <v>3944</v>
      </c>
      <c r="D28">
        <v>-13</v>
      </c>
    </row>
    <row r="29" spans="1:4" x14ac:dyDescent="0.25">
      <c r="A29" t="s">
        <v>40</v>
      </c>
      <c r="B29" t="s">
        <v>202</v>
      </c>
      <c r="C29" t="s">
        <v>2860</v>
      </c>
      <c r="D29">
        <v>-11</v>
      </c>
    </row>
    <row r="30" spans="1:4" x14ac:dyDescent="0.25">
      <c r="A30" t="s">
        <v>40</v>
      </c>
      <c r="B30" t="s">
        <v>559</v>
      </c>
      <c r="C30" t="s">
        <v>4101</v>
      </c>
      <c r="D30">
        <v>-13</v>
      </c>
    </row>
    <row r="31" spans="1:4" x14ac:dyDescent="0.25">
      <c r="A31" t="s">
        <v>80</v>
      </c>
      <c r="B31" t="s">
        <v>1055</v>
      </c>
      <c r="C31" t="s">
        <v>4102</v>
      </c>
      <c r="D31">
        <v>-15</v>
      </c>
    </row>
    <row r="32" spans="1:4" x14ac:dyDescent="0.25">
      <c r="A32" t="s">
        <v>80</v>
      </c>
      <c r="B32" t="s">
        <v>1057</v>
      </c>
      <c r="C32" t="s">
        <v>4103</v>
      </c>
      <c r="D32">
        <v>-18</v>
      </c>
    </row>
    <row r="33" spans="1:4" x14ac:dyDescent="0.25">
      <c r="A33" t="s">
        <v>80</v>
      </c>
      <c r="B33" t="s">
        <v>797</v>
      </c>
      <c r="C33" t="s">
        <v>3770</v>
      </c>
      <c r="D33">
        <v>-16</v>
      </c>
    </row>
    <row r="34" spans="1:4" x14ac:dyDescent="0.25">
      <c r="A34" t="s">
        <v>80</v>
      </c>
      <c r="B34" t="s">
        <v>2405</v>
      </c>
      <c r="C34" t="s">
        <v>4104</v>
      </c>
      <c r="D34">
        <v>-18</v>
      </c>
    </row>
    <row r="35" spans="1:4" x14ac:dyDescent="0.25">
      <c r="A35" t="s">
        <v>80</v>
      </c>
      <c r="B35" t="s">
        <v>1824</v>
      </c>
      <c r="C35" t="s">
        <v>4105</v>
      </c>
      <c r="D35">
        <v>-20</v>
      </c>
    </row>
    <row r="36" spans="1:4" x14ac:dyDescent="0.25">
      <c r="A36" t="s">
        <v>80</v>
      </c>
      <c r="B36" t="s">
        <v>1836</v>
      </c>
      <c r="C36" t="s">
        <v>3773</v>
      </c>
      <c r="D36">
        <v>-17</v>
      </c>
    </row>
    <row r="37" spans="1:4" x14ac:dyDescent="0.25">
      <c r="A37" t="s">
        <v>80</v>
      </c>
      <c r="B37" t="s">
        <v>1826</v>
      </c>
      <c r="C37" t="s">
        <v>4106</v>
      </c>
      <c r="D37">
        <v>-18</v>
      </c>
    </row>
    <row r="38" spans="1:4" x14ac:dyDescent="0.25">
      <c r="A38" t="s">
        <v>80</v>
      </c>
      <c r="B38" t="s">
        <v>1826</v>
      </c>
      <c r="C38" t="s">
        <v>4107</v>
      </c>
      <c r="D38">
        <v>-19</v>
      </c>
    </row>
    <row r="39" spans="1:4" x14ac:dyDescent="0.25">
      <c r="A39" t="s">
        <v>80</v>
      </c>
      <c r="B39" t="s">
        <v>1826</v>
      </c>
      <c r="C39" t="s">
        <v>4108</v>
      </c>
      <c r="D39">
        <v>-20</v>
      </c>
    </row>
    <row r="40" spans="1:4" x14ac:dyDescent="0.25">
      <c r="A40" t="s">
        <v>80</v>
      </c>
      <c r="B40" t="s">
        <v>645</v>
      </c>
      <c r="C40" t="s">
        <v>4109</v>
      </c>
      <c r="D40">
        <v>-22</v>
      </c>
    </row>
    <row r="41" spans="1:4" x14ac:dyDescent="0.25">
      <c r="A41" t="s">
        <v>80</v>
      </c>
      <c r="B41" t="s">
        <v>2842</v>
      </c>
      <c r="C41" t="s">
        <v>3899</v>
      </c>
      <c r="D41">
        <v>-21</v>
      </c>
    </row>
    <row r="42" spans="1:4" x14ac:dyDescent="0.25">
      <c r="A42" t="s">
        <v>80</v>
      </c>
      <c r="B42" t="s">
        <v>2842</v>
      </c>
      <c r="C42" t="s">
        <v>3900</v>
      </c>
      <c r="D42">
        <v>-20</v>
      </c>
    </row>
    <row r="43" spans="1:4" x14ac:dyDescent="0.25">
      <c r="A43" t="s">
        <v>80</v>
      </c>
      <c r="B43" t="s">
        <v>1069</v>
      </c>
      <c r="C43" t="s">
        <v>3901</v>
      </c>
      <c r="D43">
        <v>-18</v>
      </c>
    </row>
    <row r="44" spans="1:4" x14ac:dyDescent="0.25">
      <c r="A44" t="s">
        <v>80</v>
      </c>
      <c r="B44" t="s">
        <v>1855</v>
      </c>
      <c r="C44" t="s">
        <v>4110</v>
      </c>
      <c r="D44">
        <v>-20</v>
      </c>
    </row>
    <row r="45" spans="1:4" x14ac:dyDescent="0.25">
      <c r="A45" t="s">
        <v>80</v>
      </c>
      <c r="B45" t="s">
        <v>374</v>
      </c>
      <c r="C45" t="s">
        <v>3903</v>
      </c>
      <c r="D45">
        <v>-18</v>
      </c>
    </row>
    <row r="46" spans="1:4" x14ac:dyDescent="0.25">
      <c r="A46" t="s">
        <v>80</v>
      </c>
      <c r="B46" t="s">
        <v>339</v>
      </c>
      <c r="C46" t="s">
        <v>1891</v>
      </c>
      <c r="D46">
        <v>-20</v>
      </c>
    </row>
    <row r="47" spans="1:4" x14ac:dyDescent="0.25">
      <c r="A47" t="s">
        <v>80</v>
      </c>
      <c r="B47" t="s">
        <v>339</v>
      </c>
      <c r="C47" t="s">
        <v>4111</v>
      </c>
      <c r="D47">
        <v>-21</v>
      </c>
    </row>
    <row r="48" spans="1:4" x14ac:dyDescent="0.25">
      <c r="A48" t="s">
        <v>80</v>
      </c>
      <c r="B48" t="s">
        <v>1436</v>
      </c>
      <c r="C48" t="s">
        <v>3907</v>
      </c>
      <c r="D48">
        <v>-19</v>
      </c>
    </row>
    <row r="49" spans="1:4" x14ac:dyDescent="0.25">
      <c r="A49" t="s">
        <v>80</v>
      </c>
      <c r="B49" t="s">
        <v>1043</v>
      </c>
      <c r="C49" t="s">
        <v>4112</v>
      </c>
      <c r="D49">
        <v>-18</v>
      </c>
    </row>
    <row r="50" spans="1:4" x14ac:dyDescent="0.25">
      <c r="A50" t="s">
        <v>80</v>
      </c>
      <c r="B50" t="s">
        <v>1043</v>
      </c>
      <c r="C50" t="s">
        <v>4113</v>
      </c>
      <c r="D50">
        <v>-17</v>
      </c>
    </row>
    <row r="51" spans="1:4" x14ac:dyDescent="0.25">
      <c r="A51" t="s">
        <v>80</v>
      </c>
      <c r="B51" t="s">
        <v>1640</v>
      </c>
      <c r="C51" t="s">
        <v>3784</v>
      </c>
      <c r="D51">
        <v>-15</v>
      </c>
    </row>
    <row r="52" spans="1:4" x14ac:dyDescent="0.25">
      <c r="A52" t="s">
        <v>80</v>
      </c>
      <c r="B52" t="s">
        <v>448</v>
      </c>
      <c r="C52" t="s">
        <v>3911</v>
      </c>
      <c r="D52">
        <v>-17</v>
      </c>
    </row>
    <row r="53" spans="1:4" x14ac:dyDescent="0.25">
      <c r="A53" t="s">
        <v>80</v>
      </c>
      <c r="B53" t="s">
        <v>552</v>
      </c>
      <c r="C53" t="s">
        <v>3912</v>
      </c>
      <c r="D53">
        <v>-16</v>
      </c>
    </row>
    <row r="54" spans="1:4" x14ac:dyDescent="0.25">
      <c r="A54" t="s">
        <v>80</v>
      </c>
      <c r="B54" t="s">
        <v>552</v>
      </c>
      <c r="C54" t="s">
        <v>3787</v>
      </c>
      <c r="D54">
        <v>-15</v>
      </c>
    </row>
    <row r="55" spans="1:4" x14ac:dyDescent="0.25">
      <c r="A55" t="s">
        <v>80</v>
      </c>
      <c r="B55" t="s">
        <v>1180</v>
      </c>
      <c r="C55" t="s">
        <v>4114</v>
      </c>
      <c r="D55">
        <v>-14</v>
      </c>
    </row>
    <row r="56" spans="1:4" x14ac:dyDescent="0.25">
      <c r="A56" t="s">
        <v>80</v>
      </c>
      <c r="B56" t="s">
        <v>1180</v>
      </c>
      <c r="C56" t="s">
        <v>4115</v>
      </c>
      <c r="D56">
        <v>-13</v>
      </c>
    </row>
    <row r="57" spans="1:4" x14ac:dyDescent="0.25">
      <c r="A57" t="s">
        <v>123</v>
      </c>
      <c r="B57" t="s">
        <v>795</v>
      </c>
      <c r="C57" t="s">
        <v>4116</v>
      </c>
      <c r="D57">
        <v>-11</v>
      </c>
    </row>
    <row r="58" spans="1:4" x14ac:dyDescent="0.25">
      <c r="A58" t="s">
        <v>123</v>
      </c>
      <c r="B58" t="s">
        <v>170</v>
      </c>
      <c r="C58" t="s">
        <v>4117</v>
      </c>
      <c r="D58">
        <v>-9</v>
      </c>
    </row>
    <row r="59" spans="1:4" x14ac:dyDescent="0.25">
      <c r="A59" t="s">
        <v>123</v>
      </c>
      <c r="B59" t="s">
        <v>47</v>
      </c>
      <c r="C59" t="s">
        <v>266</v>
      </c>
      <c r="D59">
        <v>-8</v>
      </c>
    </row>
    <row r="60" spans="1:4" x14ac:dyDescent="0.25">
      <c r="A60" t="s">
        <v>123</v>
      </c>
      <c r="B60" t="s">
        <v>47</v>
      </c>
      <c r="C60" t="s">
        <v>4118</v>
      </c>
      <c r="D60">
        <v>-7</v>
      </c>
    </row>
    <row r="61" spans="1:4" x14ac:dyDescent="0.25">
      <c r="A61" t="s">
        <v>123</v>
      </c>
      <c r="B61" t="s">
        <v>862</v>
      </c>
      <c r="C61" t="s">
        <v>268</v>
      </c>
      <c r="D61">
        <v>-5</v>
      </c>
    </row>
    <row r="62" spans="1:4" x14ac:dyDescent="0.25">
      <c r="A62" t="s">
        <v>123</v>
      </c>
      <c r="B62" t="s">
        <v>175</v>
      </c>
      <c r="C62" t="s">
        <v>1233</v>
      </c>
      <c r="D62">
        <v>-7</v>
      </c>
    </row>
    <row r="63" spans="1:4" x14ac:dyDescent="0.25">
      <c r="A63" t="s">
        <v>123</v>
      </c>
      <c r="B63" t="s">
        <v>175</v>
      </c>
      <c r="C63" t="s">
        <v>2137</v>
      </c>
      <c r="D63">
        <v>-8</v>
      </c>
    </row>
    <row r="64" spans="1:4" x14ac:dyDescent="0.25">
      <c r="A64" t="s">
        <v>123</v>
      </c>
      <c r="B64" t="s">
        <v>307</v>
      </c>
      <c r="C64" t="s">
        <v>272</v>
      </c>
      <c r="D64">
        <v>-6</v>
      </c>
    </row>
    <row r="65" spans="1:4" x14ac:dyDescent="0.25">
      <c r="A65" t="s">
        <v>123</v>
      </c>
      <c r="B65" t="s">
        <v>726</v>
      </c>
      <c r="C65" t="s">
        <v>2138</v>
      </c>
      <c r="D65">
        <v>-7</v>
      </c>
    </row>
    <row r="66" spans="1:4" x14ac:dyDescent="0.25">
      <c r="A66" t="s">
        <v>123</v>
      </c>
      <c r="B66" t="s">
        <v>726</v>
      </c>
      <c r="C66" t="s">
        <v>2139</v>
      </c>
      <c r="D66">
        <v>-8</v>
      </c>
    </row>
    <row r="67" spans="1:4" x14ac:dyDescent="0.25">
      <c r="A67" t="s">
        <v>123</v>
      </c>
      <c r="B67" t="s">
        <v>628</v>
      </c>
      <c r="C67" t="s">
        <v>3988</v>
      </c>
      <c r="D67">
        <v>-11</v>
      </c>
    </row>
    <row r="68" spans="1:4" x14ac:dyDescent="0.25">
      <c r="A68" t="s">
        <v>123</v>
      </c>
      <c r="B68" t="s">
        <v>1819</v>
      </c>
      <c r="C68" t="s">
        <v>4119</v>
      </c>
      <c r="D68">
        <v>-13</v>
      </c>
    </row>
    <row r="69" spans="1:4" x14ac:dyDescent="0.25">
      <c r="A69" t="s">
        <v>123</v>
      </c>
      <c r="B69" t="s">
        <v>1829</v>
      </c>
      <c r="C69" t="s">
        <v>3607</v>
      </c>
      <c r="D69">
        <v>-12</v>
      </c>
    </row>
    <row r="70" spans="1:4" x14ac:dyDescent="0.25">
      <c r="A70" t="s">
        <v>123</v>
      </c>
      <c r="B70" t="s">
        <v>1829</v>
      </c>
      <c r="C70" t="s">
        <v>4120</v>
      </c>
      <c r="D70">
        <v>-11</v>
      </c>
    </row>
    <row r="71" spans="1:4" x14ac:dyDescent="0.25">
      <c r="A71" t="s">
        <v>123</v>
      </c>
      <c r="B71" t="s">
        <v>223</v>
      </c>
      <c r="C71" t="s">
        <v>4121</v>
      </c>
      <c r="D71">
        <v>-13</v>
      </c>
    </row>
    <row r="72" spans="1:4" x14ac:dyDescent="0.25">
      <c r="A72" t="s">
        <v>123</v>
      </c>
      <c r="B72" t="s">
        <v>467</v>
      </c>
      <c r="C72" t="s">
        <v>4122</v>
      </c>
      <c r="D72">
        <v>-16</v>
      </c>
    </row>
    <row r="73" spans="1:4" x14ac:dyDescent="0.25">
      <c r="A73" t="s">
        <v>123</v>
      </c>
      <c r="B73" t="s">
        <v>924</v>
      </c>
      <c r="C73" t="s">
        <v>4123</v>
      </c>
      <c r="D73">
        <v>-14</v>
      </c>
    </row>
    <row r="74" spans="1:4" x14ac:dyDescent="0.25">
      <c r="A74" t="s">
        <v>123</v>
      </c>
      <c r="B74" t="s">
        <v>812</v>
      </c>
      <c r="C74" t="s">
        <v>4124</v>
      </c>
      <c r="D74">
        <v>-15</v>
      </c>
    </row>
    <row r="75" spans="1:4" x14ac:dyDescent="0.25">
      <c r="A75" t="s">
        <v>123</v>
      </c>
      <c r="B75" t="s">
        <v>812</v>
      </c>
      <c r="C75" t="s">
        <v>2582</v>
      </c>
      <c r="D75">
        <v>-16</v>
      </c>
    </row>
    <row r="76" spans="1:4" x14ac:dyDescent="0.25">
      <c r="A76" t="s">
        <v>123</v>
      </c>
      <c r="B76" t="s">
        <v>631</v>
      </c>
      <c r="C76" t="s">
        <v>4125</v>
      </c>
      <c r="D76">
        <v>-17</v>
      </c>
    </row>
    <row r="77" spans="1:4" x14ac:dyDescent="0.25">
      <c r="A77" t="s">
        <v>123</v>
      </c>
      <c r="B77" t="s">
        <v>1129</v>
      </c>
      <c r="C77" t="s">
        <v>4126</v>
      </c>
      <c r="D77">
        <v>-16</v>
      </c>
    </row>
    <row r="78" spans="1:4" x14ac:dyDescent="0.25">
      <c r="A78" t="s">
        <v>123</v>
      </c>
      <c r="B78" t="s">
        <v>611</v>
      </c>
      <c r="C78" t="s">
        <v>4127</v>
      </c>
      <c r="D78">
        <v>-13</v>
      </c>
    </row>
    <row r="79" spans="1:4" x14ac:dyDescent="0.25">
      <c r="A79" t="s">
        <v>123</v>
      </c>
      <c r="B79" t="s">
        <v>1844</v>
      </c>
      <c r="C79" t="s">
        <v>1249</v>
      </c>
      <c r="D79">
        <v>-16</v>
      </c>
    </row>
    <row r="80" spans="1:4" x14ac:dyDescent="0.25">
      <c r="A80" t="s">
        <v>123</v>
      </c>
      <c r="B80" t="s">
        <v>1019</v>
      </c>
      <c r="C80" t="s">
        <v>1920</v>
      </c>
      <c r="D80">
        <v>-15</v>
      </c>
    </row>
    <row r="81" spans="1:4" x14ac:dyDescent="0.25">
      <c r="A81" t="s">
        <v>123</v>
      </c>
      <c r="B81" t="s">
        <v>1019</v>
      </c>
      <c r="C81" t="s">
        <v>1788</v>
      </c>
      <c r="D81">
        <v>-14</v>
      </c>
    </row>
    <row r="82" spans="1:4" x14ac:dyDescent="0.25">
      <c r="A82" t="s">
        <v>123</v>
      </c>
      <c r="B82" t="s">
        <v>76</v>
      </c>
      <c r="C82" t="s">
        <v>4128</v>
      </c>
      <c r="D82">
        <v>-16</v>
      </c>
    </row>
    <row r="83" spans="1:4" x14ac:dyDescent="0.25">
      <c r="A83" t="s">
        <v>123</v>
      </c>
      <c r="B83" t="s">
        <v>559</v>
      </c>
      <c r="C83" t="s">
        <v>1251</v>
      </c>
      <c r="D83">
        <v>-17</v>
      </c>
    </row>
    <row r="85" spans="1:4" x14ac:dyDescent="0.25">
      <c r="A85" s="2" t="s">
        <v>157</v>
      </c>
    </row>
    <row r="86" spans="1:4" x14ac:dyDescent="0.25">
      <c r="A86" t="s">
        <v>158</v>
      </c>
      <c r="D86">
        <f>AVERAGE(D2:D83)</f>
        <v>-12.097560975609756</v>
      </c>
    </row>
    <row r="87" spans="1:4" x14ac:dyDescent="0.25">
      <c r="A87" t="s">
        <v>159</v>
      </c>
      <c r="D87">
        <f>MAX(D2:D83)</f>
        <v>-2</v>
      </c>
    </row>
    <row r="88" spans="1:4" x14ac:dyDescent="0.25">
      <c r="A88" t="s">
        <v>160</v>
      </c>
      <c r="D88">
        <f>MIN(D2:D83)</f>
        <v>-22</v>
      </c>
    </row>
    <row r="89" spans="1:4" x14ac:dyDescent="0.25">
      <c r="A89" t="s">
        <v>161</v>
      </c>
      <c r="D89">
        <f>COUNTIF(D2:D83,"&gt;0")</f>
        <v>0</v>
      </c>
    </row>
    <row r="90" spans="1:4" x14ac:dyDescent="0.25">
      <c r="A90" t="s">
        <v>162</v>
      </c>
      <c r="D90">
        <f>COUNTIF(D2:D83,"=0")</f>
        <v>0</v>
      </c>
    </row>
    <row r="91" spans="1:4" x14ac:dyDescent="0.25">
      <c r="A91" t="s">
        <v>2872</v>
      </c>
      <c r="D91">
        <f>COUNTIF(D2:D83,"&lt;0")</f>
        <v>82</v>
      </c>
    </row>
    <row r="93" spans="1:4" x14ac:dyDescent="0.25">
      <c r="A93" s="2" t="s">
        <v>164</v>
      </c>
    </row>
    <row r="94" spans="1:4" x14ac:dyDescent="0.25">
      <c r="A94" t="s">
        <v>165</v>
      </c>
      <c r="D94">
        <f>AVERAGE(D2,D3,D4,D5,D6,D7,D8,D9,D10,D11,D12,D13,D14,D15,D16,D17,D18,D19,D20)</f>
        <v>-5.7894736842105265</v>
      </c>
    </row>
    <row r="95" spans="1:4" x14ac:dyDescent="0.25">
      <c r="A95" t="s">
        <v>166</v>
      </c>
      <c r="D95">
        <f>AVERAGE(D21,D22,D23,D24,D25,D26,D27,D28,D29,D30)</f>
        <v>-9.6</v>
      </c>
    </row>
    <row r="96" spans="1:4" x14ac:dyDescent="0.25">
      <c r="A96" t="s">
        <v>167</v>
      </c>
      <c r="D96">
        <f>AVERAGE(D31,D32,D33,D34,D35,D36,D37,D38,D39,D40,D41,D42,D43,D44,D45,D46,D47,D48,D49,D50,D51,D52,D53,D54,D55,D56)</f>
        <v>-17.884615384615383</v>
      </c>
    </row>
    <row r="97" spans="1:4" x14ac:dyDescent="0.25">
      <c r="A97" t="s">
        <v>168</v>
      </c>
      <c r="D97">
        <f>AVERAGE(D57,D58,D59,D60,D61,D62,D63,D64,D65,D66,D67,D68,D69,D70,D71,D72,D73,D74,D75,D76,D77,D78,D79,D80,D81,D82,D83)</f>
        <v>-11.888888888888889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242</v>
      </c>
      <c r="C2" t="s">
        <v>908</v>
      </c>
      <c r="D2">
        <v>-2</v>
      </c>
    </row>
    <row r="3" spans="1:4" x14ac:dyDescent="0.25">
      <c r="A3" t="s">
        <v>4</v>
      </c>
      <c r="B3" t="s">
        <v>1192</v>
      </c>
      <c r="C3" t="s">
        <v>174</v>
      </c>
      <c r="D3">
        <v>1</v>
      </c>
    </row>
    <row r="4" spans="1:4" x14ac:dyDescent="0.25">
      <c r="A4" t="s">
        <v>4</v>
      </c>
      <c r="B4" t="s">
        <v>332</v>
      </c>
      <c r="C4" t="s">
        <v>1347</v>
      </c>
      <c r="D4">
        <v>3</v>
      </c>
    </row>
    <row r="5" spans="1:4" x14ac:dyDescent="0.25">
      <c r="A5" t="s">
        <v>4</v>
      </c>
      <c r="B5" t="s">
        <v>759</v>
      </c>
      <c r="C5" t="s">
        <v>1106</v>
      </c>
      <c r="D5">
        <v>1</v>
      </c>
    </row>
    <row r="6" spans="1:4" x14ac:dyDescent="0.25">
      <c r="A6" t="s">
        <v>4</v>
      </c>
      <c r="B6" t="s">
        <v>307</v>
      </c>
      <c r="C6" t="s">
        <v>1107</v>
      </c>
      <c r="D6">
        <v>-1</v>
      </c>
    </row>
    <row r="7" spans="1:4" x14ac:dyDescent="0.25">
      <c r="A7" t="s">
        <v>4</v>
      </c>
      <c r="B7" t="s">
        <v>832</v>
      </c>
      <c r="C7" t="s">
        <v>311</v>
      </c>
      <c r="D7">
        <v>1</v>
      </c>
    </row>
    <row r="8" spans="1:4" x14ac:dyDescent="0.25">
      <c r="A8" t="s">
        <v>4</v>
      </c>
      <c r="B8" t="s">
        <v>213</v>
      </c>
      <c r="C8" t="s">
        <v>434</v>
      </c>
      <c r="D8">
        <v>-1</v>
      </c>
    </row>
    <row r="9" spans="1:4" x14ac:dyDescent="0.25">
      <c r="A9" t="s">
        <v>4</v>
      </c>
      <c r="B9" t="s">
        <v>138</v>
      </c>
      <c r="C9" t="s">
        <v>3087</v>
      </c>
      <c r="D9">
        <v>1</v>
      </c>
    </row>
    <row r="10" spans="1:4" x14ac:dyDescent="0.25">
      <c r="A10" t="s">
        <v>4</v>
      </c>
      <c r="B10" t="s">
        <v>1288</v>
      </c>
      <c r="C10" t="s">
        <v>438</v>
      </c>
      <c r="D10">
        <v>-1</v>
      </c>
    </row>
    <row r="11" spans="1:4" x14ac:dyDescent="0.25">
      <c r="A11" t="s">
        <v>4</v>
      </c>
      <c r="B11" t="s">
        <v>1349</v>
      </c>
      <c r="C11" t="s">
        <v>439</v>
      </c>
      <c r="D11">
        <v>1</v>
      </c>
    </row>
    <row r="12" spans="1:4" x14ac:dyDescent="0.25">
      <c r="A12" t="s">
        <v>4</v>
      </c>
      <c r="B12" t="s">
        <v>1349</v>
      </c>
      <c r="C12" t="s">
        <v>917</v>
      </c>
      <c r="D12">
        <v>2</v>
      </c>
    </row>
    <row r="13" spans="1:4" x14ac:dyDescent="0.25">
      <c r="A13" t="s">
        <v>4</v>
      </c>
      <c r="B13" t="s">
        <v>628</v>
      </c>
      <c r="C13" t="s">
        <v>30</v>
      </c>
      <c r="D13">
        <v>-1</v>
      </c>
    </row>
    <row r="14" spans="1:4" x14ac:dyDescent="0.25">
      <c r="A14" t="s">
        <v>4</v>
      </c>
      <c r="B14" t="s">
        <v>315</v>
      </c>
      <c r="C14" t="s">
        <v>32</v>
      </c>
      <c r="D14">
        <v>1</v>
      </c>
    </row>
    <row r="15" spans="1:4" x14ac:dyDescent="0.25">
      <c r="A15" t="s">
        <v>4</v>
      </c>
      <c r="B15" t="s">
        <v>341</v>
      </c>
      <c r="C15" t="s">
        <v>35</v>
      </c>
      <c r="D15">
        <v>-1</v>
      </c>
    </row>
    <row r="16" spans="1:4" x14ac:dyDescent="0.25">
      <c r="A16" t="s">
        <v>4</v>
      </c>
      <c r="B16" t="s">
        <v>25</v>
      </c>
      <c r="C16" t="s">
        <v>446</v>
      </c>
      <c r="D16">
        <v>1</v>
      </c>
    </row>
    <row r="17" spans="1:4" x14ac:dyDescent="0.25">
      <c r="A17" t="s">
        <v>4</v>
      </c>
      <c r="B17" t="s">
        <v>442</v>
      </c>
      <c r="C17" t="s">
        <v>447</v>
      </c>
      <c r="D17">
        <v>-1</v>
      </c>
    </row>
    <row r="18" spans="1:4" x14ac:dyDescent="0.25">
      <c r="A18" t="s">
        <v>4</v>
      </c>
      <c r="B18" t="s">
        <v>1335</v>
      </c>
      <c r="C18" t="s">
        <v>2122</v>
      </c>
      <c r="D18">
        <v>1</v>
      </c>
    </row>
    <row r="19" spans="1:4" x14ac:dyDescent="0.25">
      <c r="A19" t="s">
        <v>4</v>
      </c>
      <c r="B19" t="s">
        <v>2112</v>
      </c>
      <c r="C19" t="s">
        <v>2123</v>
      </c>
      <c r="D19">
        <v>-1</v>
      </c>
    </row>
    <row r="20" spans="1:4" x14ac:dyDescent="0.25">
      <c r="A20" t="s">
        <v>4</v>
      </c>
      <c r="B20" t="s">
        <v>896</v>
      </c>
      <c r="C20" t="s">
        <v>792</v>
      </c>
      <c r="D20">
        <v>1</v>
      </c>
    </row>
    <row r="21" spans="1:4" x14ac:dyDescent="0.25">
      <c r="A21" t="s">
        <v>4</v>
      </c>
      <c r="B21" t="s">
        <v>29</v>
      </c>
      <c r="C21" t="s">
        <v>794</v>
      </c>
      <c r="D21">
        <v>-1</v>
      </c>
    </row>
    <row r="22" spans="1:4" x14ac:dyDescent="0.25">
      <c r="A22" t="s">
        <v>4</v>
      </c>
      <c r="B22" t="s">
        <v>550</v>
      </c>
      <c r="C22" t="s">
        <v>1438</v>
      </c>
      <c r="D22">
        <v>0</v>
      </c>
    </row>
    <row r="23" spans="1:4" x14ac:dyDescent="0.25">
      <c r="A23" t="s">
        <v>4</v>
      </c>
      <c r="B23" t="s">
        <v>1222</v>
      </c>
      <c r="C23" t="s">
        <v>2328</v>
      </c>
      <c r="D23">
        <v>-2</v>
      </c>
    </row>
    <row r="24" spans="1:4" x14ac:dyDescent="0.25">
      <c r="A24" t="s">
        <v>4</v>
      </c>
      <c r="B24" t="s">
        <v>582</v>
      </c>
      <c r="C24" t="s">
        <v>589</v>
      </c>
      <c r="D24">
        <v>-1</v>
      </c>
    </row>
    <row r="25" spans="1:4" x14ac:dyDescent="0.25">
      <c r="A25" t="s">
        <v>4</v>
      </c>
      <c r="B25" t="s">
        <v>348</v>
      </c>
      <c r="C25" t="s">
        <v>1510</v>
      </c>
      <c r="D25">
        <v>-2</v>
      </c>
    </row>
    <row r="26" spans="1:4" x14ac:dyDescent="0.25">
      <c r="A26" t="s">
        <v>4</v>
      </c>
      <c r="B26" t="s">
        <v>348</v>
      </c>
      <c r="C26" t="s">
        <v>1511</v>
      </c>
      <c r="D26">
        <v>-3</v>
      </c>
    </row>
    <row r="27" spans="1:4" x14ac:dyDescent="0.25">
      <c r="A27" t="s">
        <v>4</v>
      </c>
      <c r="B27" t="s">
        <v>350</v>
      </c>
      <c r="C27" t="s">
        <v>2330</v>
      </c>
      <c r="D27">
        <v>-1</v>
      </c>
    </row>
    <row r="28" spans="1:4" x14ac:dyDescent="0.25">
      <c r="A28" t="s">
        <v>4</v>
      </c>
      <c r="B28" t="s">
        <v>350</v>
      </c>
      <c r="C28" t="s">
        <v>4074</v>
      </c>
      <c r="D28">
        <v>-3</v>
      </c>
    </row>
    <row r="29" spans="1:4" x14ac:dyDescent="0.25">
      <c r="A29" t="s">
        <v>40</v>
      </c>
      <c r="B29" t="s">
        <v>1009</v>
      </c>
      <c r="C29" t="s">
        <v>3207</v>
      </c>
      <c r="D29">
        <v>0</v>
      </c>
    </row>
    <row r="30" spans="1:4" x14ac:dyDescent="0.25">
      <c r="A30" t="s">
        <v>40</v>
      </c>
      <c r="B30" t="s">
        <v>778</v>
      </c>
      <c r="C30" t="s">
        <v>3081</v>
      </c>
      <c r="D30">
        <v>-3</v>
      </c>
    </row>
    <row r="31" spans="1:4" x14ac:dyDescent="0.25">
      <c r="A31" t="s">
        <v>40</v>
      </c>
      <c r="B31" t="s">
        <v>307</v>
      </c>
      <c r="C31" t="s">
        <v>2332</v>
      </c>
      <c r="D31">
        <v>-1</v>
      </c>
    </row>
    <row r="32" spans="1:4" x14ac:dyDescent="0.25">
      <c r="A32" t="s">
        <v>40</v>
      </c>
      <c r="B32" t="s">
        <v>368</v>
      </c>
      <c r="C32" t="s">
        <v>1128</v>
      </c>
      <c r="D32">
        <v>1</v>
      </c>
    </row>
    <row r="33" spans="1:4" x14ac:dyDescent="0.25">
      <c r="A33" t="s">
        <v>40</v>
      </c>
      <c r="B33" t="s">
        <v>1775</v>
      </c>
      <c r="C33" t="s">
        <v>1131</v>
      </c>
      <c r="D33">
        <v>3</v>
      </c>
    </row>
    <row r="34" spans="1:4" x14ac:dyDescent="0.25">
      <c r="A34" t="s">
        <v>40</v>
      </c>
      <c r="B34" t="s">
        <v>1151</v>
      </c>
      <c r="C34" t="s">
        <v>1444</v>
      </c>
      <c r="D34">
        <v>5</v>
      </c>
    </row>
    <row r="35" spans="1:4" x14ac:dyDescent="0.25">
      <c r="A35" t="s">
        <v>40</v>
      </c>
      <c r="B35" t="s">
        <v>519</v>
      </c>
      <c r="C35" t="s">
        <v>2267</v>
      </c>
      <c r="D35">
        <v>3</v>
      </c>
    </row>
    <row r="36" spans="1:4" x14ac:dyDescent="0.25">
      <c r="A36" t="s">
        <v>40</v>
      </c>
      <c r="B36" t="s">
        <v>764</v>
      </c>
      <c r="C36" t="s">
        <v>2564</v>
      </c>
      <c r="D36">
        <v>6</v>
      </c>
    </row>
    <row r="37" spans="1:4" x14ac:dyDescent="0.25">
      <c r="A37" t="s">
        <v>40</v>
      </c>
      <c r="B37" t="s">
        <v>984</v>
      </c>
      <c r="C37" t="s">
        <v>1757</v>
      </c>
      <c r="D37">
        <v>3</v>
      </c>
    </row>
    <row r="38" spans="1:4" x14ac:dyDescent="0.25">
      <c r="A38" t="s">
        <v>40</v>
      </c>
      <c r="B38" t="s">
        <v>987</v>
      </c>
      <c r="C38" t="s">
        <v>474</v>
      </c>
      <c r="D38">
        <v>2</v>
      </c>
    </row>
    <row r="39" spans="1:4" x14ac:dyDescent="0.25">
      <c r="A39" t="s">
        <v>40</v>
      </c>
      <c r="B39" t="s">
        <v>987</v>
      </c>
      <c r="C39" t="s">
        <v>476</v>
      </c>
      <c r="D39">
        <v>1</v>
      </c>
    </row>
    <row r="40" spans="1:4" x14ac:dyDescent="0.25">
      <c r="A40" t="s">
        <v>40</v>
      </c>
      <c r="B40" t="s">
        <v>2048</v>
      </c>
      <c r="C40" t="s">
        <v>3574</v>
      </c>
      <c r="D40">
        <v>0</v>
      </c>
    </row>
    <row r="41" spans="1:4" x14ac:dyDescent="0.25">
      <c r="A41" t="s">
        <v>40</v>
      </c>
      <c r="B41" t="s">
        <v>389</v>
      </c>
      <c r="C41" t="s">
        <v>240</v>
      </c>
      <c r="D41">
        <v>-3</v>
      </c>
    </row>
    <row r="42" spans="1:4" x14ac:dyDescent="0.25">
      <c r="A42" t="s">
        <v>40</v>
      </c>
      <c r="B42" t="s">
        <v>31</v>
      </c>
      <c r="C42" t="s">
        <v>1761</v>
      </c>
      <c r="D42">
        <v>-1</v>
      </c>
    </row>
    <row r="43" spans="1:4" x14ac:dyDescent="0.25">
      <c r="A43" t="s">
        <v>40</v>
      </c>
      <c r="B43" t="s">
        <v>900</v>
      </c>
      <c r="C43" t="s">
        <v>1521</v>
      </c>
      <c r="D43">
        <v>-3</v>
      </c>
    </row>
    <row r="44" spans="1:4" x14ac:dyDescent="0.25">
      <c r="A44" t="s">
        <v>40</v>
      </c>
      <c r="B44" t="s">
        <v>233</v>
      </c>
      <c r="C44" t="s">
        <v>247</v>
      </c>
      <c r="D44">
        <v>-1</v>
      </c>
    </row>
    <row r="45" spans="1:4" x14ac:dyDescent="0.25">
      <c r="A45" t="s">
        <v>40</v>
      </c>
      <c r="B45" t="s">
        <v>902</v>
      </c>
      <c r="C45" t="s">
        <v>249</v>
      </c>
      <c r="D45">
        <v>-3</v>
      </c>
    </row>
    <row r="46" spans="1:4" x14ac:dyDescent="0.25">
      <c r="A46" t="s">
        <v>40</v>
      </c>
      <c r="B46" t="s">
        <v>817</v>
      </c>
      <c r="C46" t="s">
        <v>94</v>
      </c>
      <c r="D46">
        <v>-4</v>
      </c>
    </row>
    <row r="47" spans="1:4" x14ac:dyDescent="0.25">
      <c r="A47" t="s">
        <v>40</v>
      </c>
      <c r="B47" t="s">
        <v>817</v>
      </c>
      <c r="C47" t="s">
        <v>96</v>
      </c>
      <c r="D47">
        <v>-5</v>
      </c>
    </row>
    <row r="48" spans="1:4" x14ac:dyDescent="0.25">
      <c r="A48" t="s">
        <v>80</v>
      </c>
      <c r="B48" t="s">
        <v>1929</v>
      </c>
      <c r="C48" t="s">
        <v>2135</v>
      </c>
      <c r="D48">
        <v>-7</v>
      </c>
    </row>
    <row r="49" spans="1:4" x14ac:dyDescent="0.25">
      <c r="A49" t="s">
        <v>80</v>
      </c>
      <c r="B49" t="s">
        <v>1083</v>
      </c>
      <c r="C49" t="s">
        <v>626</v>
      </c>
      <c r="D49">
        <v>-5</v>
      </c>
    </row>
    <row r="50" spans="1:4" x14ac:dyDescent="0.25">
      <c r="A50" t="s">
        <v>80</v>
      </c>
      <c r="B50" t="s">
        <v>9</v>
      </c>
      <c r="C50" t="s">
        <v>102</v>
      </c>
      <c r="D50">
        <v>-7</v>
      </c>
    </row>
    <row r="51" spans="1:4" x14ac:dyDescent="0.25">
      <c r="A51" t="s">
        <v>80</v>
      </c>
      <c r="B51" t="s">
        <v>1493</v>
      </c>
      <c r="C51" t="s">
        <v>2567</v>
      </c>
      <c r="D51">
        <v>-9</v>
      </c>
    </row>
    <row r="52" spans="1:4" x14ac:dyDescent="0.25">
      <c r="A52" t="s">
        <v>80</v>
      </c>
      <c r="B52" t="s">
        <v>89</v>
      </c>
      <c r="C52" t="s">
        <v>828</v>
      </c>
      <c r="D52">
        <v>-7</v>
      </c>
    </row>
    <row r="53" spans="1:4" x14ac:dyDescent="0.25">
      <c r="A53" t="s">
        <v>80</v>
      </c>
      <c r="B53" t="s">
        <v>1771</v>
      </c>
      <c r="C53" t="s">
        <v>830</v>
      </c>
      <c r="D53">
        <v>-9</v>
      </c>
    </row>
    <row r="54" spans="1:4" x14ac:dyDescent="0.25">
      <c r="A54" t="s">
        <v>80</v>
      </c>
      <c r="B54" t="s">
        <v>54</v>
      </c>
      <c r="C54" t="s">
        <v>2418</v>
      </c>
      <c r="D54">
        <v>-8</v>
      </c>
    </row>
    <row r="55" spans="1:4" x14ac:dyDescent="0.25">
      <c r="A55" t="s">
        <v>80</v>
      </c>
      <c r="B55" t="s">
        <v>54</v>
      </c>
      <c r="C55" t="s">
        <v>2226</v>
      </c>
      <c r="D55">
        <v>-7</v>
      </c>
    </row>
    <row r="56" spans="1:4" x14ac:dyDescent="0.25">
      <c r="A56" t="s">
        <v>80</v>
      </c>
      <c r="B56" t="s">
        <v>1432</v>
      </c>
      <c r="C56" t="s">
        <v>1232</v>
      </c>
      <c r="D56">
        <v>-4</v>
      </c>
    </row>
    <row r="57" spans="1:4" x14ac:dyDescent="0.25">
      <c r="A57" t="s">
        <v>80</v>
      </c>
      <c r="B57" t="s">
        <v>97</v>
      </c>
      <c r="C57" t="s">
        <v>2569</v>
      </c>
      <c r="D57">
        <v>-6</v>
      </c>
    </row>
    <row r="58" spans="1:4" x14ac:dyDescent="0.25">
      <c r="A58" t="s">
        <v>80</v>
      </c>
      <c r="B58" t="s">
        <v>922</v>
      </c>
      <c r="C58" t="s">
        <v>3537</v>
      </c>
      <c r="D58">
        <v>-4</v>
      </c>
    </row>
    <row r="59" spans="1:4" x14ac:dyDescent="0.25">
      <c r="A59" t="s">
        <v>80</v>
      </c>
      <c r="B59" t="s">
        <v>108</v>
      </c>
      <c r="C59" t="s">
        <v>117</v>
      </c>
      <c r="D59">
        <v>-6</v>
      </c>
    </row>
    <row r="60" spans="1:4" x14ac:dyDescent="0.25">
      <c r="A60" t="s">
        <v>80</v>
      </c>
      <c r="B60" t="s">
        <v>467</v>
      </c>
      <c r="C60" t="s">
        <v>839</v>
      </c>
      <c r="D60">
        <v>-4</v>
      </c>
    </row>
    <row r="61" spans="1:4" x14ac:dyDescent="0.25">
      <c r="A61" t="s">
        <v>80</v>
      </c>
      <c r="B61" t="s">
        <v>704</v>
      </c>
      <c r="C61" t="s">
        <v>4129</v>
      </c>
      <c r="D61">
        <v>-5</v>
      </c>
    </row>
    <row r="62" spans="1:4" x14ac:dyDescent="0.25">
      <c r="A62" t="s">
        <v>80</v>
      </c>
      <c r="B62" t="s">
        <v>704</v>
      </c>
      <c r="C62" t="s">
        <v>1235</v>
      </c>
      <c r="D62">
        <v>-6</v>
      </c>
    </row>
    <row r="63" spans="1:4" x14ac:dyDescent="0.25">
      <c r="A63" t="s">
        <v>80</v>
      </c>
      <c r="B63" t="s">
        <v>1043</v>
      </c>
      <c r="C63" t="s">
        <v>1734</v>
      </c>
      <c r="D63">
        <v>-5</v>
      </c>
    </row>
    <row r="64" spans="1:4" x14ac:dyDescent="0.25">
      <c r="A64" t="s">
        <v>80</v>
      </c>
      <c r="B64" t="s">
        <v>1422</v>
      </c>
      <c r="C64" t="s">
        <v>122</v>
      </c>
      <c r="D64">
        <v>-6</v>
      </c>
    </row>
    <row r="65" spans="1:4" x14ac:dyDescent="0.25">
      <c r="A65" t="s">
        <v>80</v>
      </c>
      <c r="B65" t="s">
        <v>671</v>
      </c>
      <c r="C65" t="s">
        <v>3538</v>
      </c>
      <c r="D65">
        <v>-4</v>
      </c>
    </row>
    <row r="66" spans="1:4" x14ac:dyDescent="0.25">
      <c r="A66" t="s">
        <v>80</v>
      </c>
      <c r="B66" t="s">
        <v>118</v>
      </c>
      <c r="C66" t="s">
        <v>1238</v>
      </c>
      <c r="D66">
        <v>-5</v>
      </c>
    </row>
    <row r="67" spans="1:4" x14ac:dyDescent="0.25">
      <c r="A67" t="s">
        <v>80</v>
      </c>
      <c r="B67" t="s">
        <v>1115</v>
      </c>
      <c r="C67" t="s">
        <v>758</v>
      </c>
      <c r="D67">
        <v>-2</v>
      </c>
    </row>
    <row r="68" spans="1:4" x14ac:dyDescent="0.25">
      <c r="A68" t="s">
        <v>80</v>
      </c>
      <c r="B68" t="s">
        <v>1276</v>
      </c>
      <c r="C68" t="s">
        <v>281</v>
      </c>
      <c r="D68">
        <v>-3</v>
      </c>
    </row>
    <row r="69" spans="1:4" x14ac:dyDescent="0.25">
      <c r="A69" t="s">
        <v>80</v>
      </c>
      <c r="B69" t="s">
        <v>235</v>
      </c>
      <c r="C69" t="s">
        <v>844</v>
      </c>
      <c r="D69">
        <v>-1</v>
      </c>
    </row>
    <row r="70" spans="1:4" x14ac:dyDescent="0.25">
      <c r="A70" t="s">
        <v>80</v>
      </c>
      <c r="B70" t="s">
        <v>78</v>
      </c>
      <c r="C70" t="s">
        <v>846</v>
      </c>
      <c r="D70">
        <v>-4</v>
      </c>
    </row>
    <row r="71" spans="1:4" x14ac:dyDescent="0.25">
      <c r="A71" t="s">
        <v>123</v>
      </c>
      <c r="B71" t="s">
        <v>239</v>
      </c>
      <c r="C71" t="s">
        <v>2534</v>
      </c>
      <c r="D71">
        <v>-2</v>
      </c>
    </row>
    <row r="72" spans="1:4" x14ac:dyDescent="0.25">
      <c r="A72" t="s">
        <v>123</v>
      </c>
      <c r="B72" t="s">
        <v>511</v>
      </c>
      <c r="C72" t="s">
        <v>3031</v>
      </c>
      <c r="D72">
        <v>0</v>
      </c>
    </row>
    <row r="73" spans="1:4" x14ac:dyDescent="0.25">
      <c r="A73" t="s">
        <v>123</v>
      </c>
      <c r="B73" t="s">
        <v>208</v>
      </c>
      <c r="C73" t="s">
        <v>652</v>
      </c>
      <c r="D73">
        <v>1</v>
      </c>
    </row>
    <row r="74" spans="1:4" x14ac:dyDescent="0.25">
      <c r="A74" t="s">
        <v>123</v>
      </c>
      <c r="B74" t="s">
        <v>1754</v>
      </c>
      <c r="C74" t="s">
        <v>2606</v>
      </c>
      <c r="D74">
        <v>4</v>
      </c>
    </row>
    <row r="75" spans="1:4" x14ac:dyDescent="0.25">
      <c r="A75" t="s">
        <v>123</v>
      </c>
      <c r="B75" t="s">
        <v>1325</v>
      </c>
      <c r="C75" t="s">
        <v>2708</v>
      </c>
      <c r="D75">
        <v>1</v>
      </c>
    </row>
    <row r="76" spans="1:4" x14ac:dyDescent="0.25">
      <c r="A76" t="s">
        <v>123</v>
      </c>
      <c r="B76" t="s">
        <v>1086</v>
      </c>
      <c r="C76" t="s">
        <v>1962</v>
      </c>
      <c r="D76">
        <v>3</v>
      </c>
    </row>
    <row r="77" spans="1:4" x14ac:dyDescent="0.25">
      <c r="A77" t="s">
        <v>123</v>
      </c>
      <c r="B77" t="s">
        <v>1498</v>
      </c>
      <c r="C77" t="s">
        <v>3070</v>
      </c>
      <c r="D77">
        <v>5</v>
      </c>
    </row>
    <row r="78" spans="1:4" x14ac:dyDescent="0.25">
      <c r="A78" t="s">
        <v>123</v>
      </c>
      <c r="B78" t="s">
        <v>1231</v>
      </c>
      <c r="C78" t="s">
        <v>2919</v>
      </c>
      <c r="D78">
        <v>7</v>
      </c>
    </row>
    <row r="79" spans="1:4" x14ac:dyDescent="0.25">
      <c r="A79" t="s">
        <v>123</v>
      </c>
      <c r="B79" t="s">
        <v>285</v>
      </c>
      <c r="C79" t="s">
        <v>2285</v>
      </c>
      <c r="D79">
        <v>9</v>
      </c>
    </row>
    <row r="80" spans="1:4" x14ac:dyDescent="0.25">
      <c r="A80" t="s">
        <v>123</v>
      </c>
      <c r="B80" t="s">
        <v>1335</v>
      </c>
      <c r="C80" t="s">
        <v>3204</v>
      </c>
      <c r="D80">
        <v>6</v>
      </c>
    </row>
    <row r="81" spans="1:4" x14ac:dyDescent="0.25">
      <c r="A81" t="s">
        <v>123</v>
      </c>
      <c r="B81" t="s">
        <v>1048</v>
      </c>
      <c r="C81" t="s">
        <v>2998</v>
      </c>
      <c r="D81">
        <v>8</v>
      </c>
    </row>
    <row r="82" spans="1:4" x14ac:dyDescent="0.25">
      <c r="A82" t="s">
        <v>123</v>
      </c>
      <c r="B82" t="s">
        <v>1484</v>
      </c>
      <c r="C82" t="s">
        <v>676</v>
      </c>
      <c r="D82">
        <v>5</v>
      </c>
    </row>
    <row r="83" spans="1:4" x14ac:dyDescent="0.25">
      <c r="A83" t="s">
        <v>123</v>
      </c>
      <c r="B83" t="s">
        <v>999</v>
      </c>
      <c r="C83" t="s">
        <v>1969</v>
      </c>
      <c r="D83">
        <v>4</v>
      </c>
    </row>
    <row r="84" spans="1:4" x14ac:dyDescent="0.25">
      <c r="A84" t="s">
        <v>123</v>
      </c>
      <c r="B84" t="s">
        <v>999</v>
      </c>
      <c r="C84" t="s">
        <v>1970</v>
      </c>
      <c r="D84">
        <v>3</v>
      </c>
    </row>
    <row r="85" spans="1:4" x14ac:dyDescent="0.25">
      <c r="A85" t="s">
        <v>123</v>
      </c>
      <c r="B85" t="s">
        <v>1733</v>
      </c>
      <c r="C85" t="s">
        <v>1625</v>
      </c>
      <c r="D85">
        <v>5</v>
      </c>
    </row>
    <row r="86" spans="1:4" x14ac:dyDescent="0.25">
      <c r="A86" t="s">
        <v>123</v>
      </c>
      <c r="B86" t="s">
        <v>930</v>
      </c>
      <c r="C86" t="s">
        <v>682</v>
      </c>
      <c r="D86">
        <v>6</v>
      </c>
    </row>
    <row r="87" spans="1:4" x14ac:dyDescent="0.25">
      <c r="A87" t="s">
        <v>123</v>
      </c>
      <c r="B87" t="s">
        <v>930</v>
      </c>
      <c r="C87" t="s">
        <v>684</v>
      </c>
      <c r="D87">
        <v>7</v>
      </c>
    </row>
    <row r="88" spans="1:4" x14ac:dyDescent="0.25">
      <c r="A88" t="s">
        <v>123</v>
      </c>
      <c r="B88" t="s">
        <v>508</v>
      </c>
      <c r="C88" t="s">
        <v>4130</v>
      </c>
      <c r="D88">
        <v>6</v>
      </c>
    </row>
    <row r="89" spans="1:4" x14ac:dyDescent="0.25">
      <c r="A89" t="s">
        <v>123</v>
      </c>
      <c r="B89" t="s">
        <v>508</v>
      </c>
      <c r="C89" t="s">
        <v>4131</v>
      </c>
      <c r="D89">
        <v>5</v>
      </c>
    </row>
    <row r="90" spans="1:4" x14ac:dyDescent="0.25">
      <c r="A90" t="s">
        <v>123</v>
      </c>
      <c r="B90" t="s">
        <v>508</v>
      </c>
      <c r="C90" t="s">
        <v>2321</v>
      </c>
      <c r="D90">
        <v>4</v>
      </c>
    </row>
    <row r="91" spans="1:4" x14ac:dyDescent="0.25">
      <c r="A91" t="s">
        <v>123</v>
      </c>
      <c r="B91" t="s">
        <v>508</v>
      </c>
      <c r="C91" t="s">
        <v>2509</v>
      </c>
      <c r="D91">
        <v>3</v>
      </c>
    </row>
    <row r="92" spans="1:4" x14ac:dyDescent="0.25">
      <c r="A92" t="s">
        <v>123</v>
      </c>
      <c r="B92" t="s">
        <v>78</v>
      </c>
      <c r="C92" t="s">
        <v>3075</v>
      </c>
      <c r="D92">
        <v>4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-0.4175824175824176</v>
      </c>
    </row>
    <row r="96" spans="1:4" x14ac:dyDescent="0.25">
      <c r="A96" t="s">
        <v>159</v>
      </c>
      <c r="D96">
        <f>MAX(D2:D92)</f>
        <v>9</v>
      </c>
    </row>
    <row r="97" spans="1:4" x14ac:dyDescent="0.25">
      <c r="A97" t="s">
        <v>160</v>
      </c>
      <c r="D97">
        <f>MIN(D2:D92)</f>
        <v>-9</v>
      </c>
    </row>
    <row r="98" spans="1:4" x14ac:dyDescent="0.25">
      <c r="A98" t="s">
        <v>161</v>
      </c>
      <c r="D98">
        <f>COUNTIF(D2:D92,"&gt;0")</f>
        <v>39</v>
      </c>
    </row>
    <row r="99" spans="1:4" x14ac:dyDescent="0.25">
      <c r="A99" t="s">
        <v>162</v>
      </c>
      <c r="D99">
        <f>COUNTIF(D2:D92,"=0")</f>
        <v>4</v>
      </c>
    </row>
    <row r="100" spans="1:4" x14ac:dyDescent="0.25">
      <c r="A100" t="s">
        <v>1264</v>
      </c>
      <c r="D100">
        <f>COUNTIF(D2:D92,"&lt;0")</f>
        <v>48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AVERAGE(D2,D3,D4,D5,D6,D7,D8,D9,D10,D11,D12,D13,D14,D15,D16,D17,D18,D19,D20,D21,D22,D23,D24,D25,D26,D27,D28)</f>
        <v>-0.29629629629629628</v>
      </c>
    </row>
    <row r="104" spans="1:4" x14ac:dyDescent="0.25">
      <c r="A104" t="s">
        <v>166</v>
      </c>
      <c r="D104">
        <f>AVERAGE(D29,D30,D31,D32,D33,D34,D35,D36,D37,D38,D39,D40,D41,D42,D43,D44,D45,D46,D47)</f>
        <v>0</v>
      </c>
    </row>
    <row r="105" spans="1:4" x14ac:dyDescent="0.25">
      <c r="A105" t="s">
        <v>167</v>
      </c>
      <c r="D105">
        <f>AVERAGE(D48,D49,D50,D51,D52,D53,D54,D55,D56,D57,D58,D59,D60,D61,D62,D63,D64,D65,D66,D67,D68,D69,D70)</f>
        <v>-5.3913043478260869</v>
      </c>
    </row>
    <row r="106" spans="1:4" x14ac:dyDescent="0.25">
      <c r="A106" t="s">
        <v>168</v>
      </c>
      <c r="D106">
        <f>AVERAGE(D71,D72,D73,D74,D75,D76,D77,D78,D79,D80,D81,D82,D83,D84,D85,D86,D87,D88,D89,D90,D91,D92)</f>
        <v>4.2727272727272725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8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778</v>
      </c>
      <c r="C2" t="s">
        <v>1923</v>
      </c>
      <c r="D2">
        <v>1</v>
      </c>
    </row>
    <row r="3" spans="1:4" x14ac:dyDescent="0.25">
      <c r="A3" t="s">
        <v>4</v>
      </c>
      <c r="B3" t="s">
        <v>800</v>
      </c>
      <c r="C3" t="s">
        <v>1189</v>
      </c>
      <c r="D3">
        <v>-2</v>
      </c>
    </row>
    <row r="4" spans="1:4" x14ac:dyDescent="0.25">
      <c r="A4" t="s">
        <v>4</v>
      </c>
      <c r="B4" t="s">
        <v>1011</v>
      </c>
      <c r="C4" t="s">
        <v>1191</v>
      </c>
      <c r="D4">
        <v>0</v>
      </c>
    </row>
    <row r="5" spans="1:4" x14ac:dyDescent="0.25">
      <c r="A5" t="s">
        <v>4</v>
      </c>
      <c r="B5" t="s">
        <v>497</v>
      </c>
      <c r="C5" t="s">
        <v>910</v>
      </c>
      <c r="D5">
        <v>-2</v>
      </c>
    </row>
    <row r="6" spans="1:4" x14ac:dyDescent="0.25">
      <c r="A6" t="s">
        <v>4</v>
      </c>
      <c r="B6" t="s">
        <v>1065</v>
      </c>
      <c r="C6" t="s">
        <v>1494</v>
      </c>
      <c r="D6">
        <v>-3</v>
      </c>
    </row>
    <row r="7" spans="1:4" x14ac:dyDescent="0.25">
      <c r="A7" t="s">
        <v>4</v>
      </c>
      <c r="B7" t="s">
        <v>1069</v>
      </c>
      <c r="C7" t="s">
        <v>911</v>
      </c>
      <c r="D7">
        <v>-4</v>
      </c>
    </row>
    <row r="8" spans="1:4" x14ac:dyDescent="0.25">
      <c r="A8" t="s">
        <v>4</v>
      </c>
      <c r="B8" t="s">
        <v>1434</v>
      </c>
      <c r="C8" t="s">
        <v>913</v>
      </c>
      <c r="D8">
        <v>-2</v>
      </c>
    </row>
    <row r="9" spans="1:4" x14ac:dyDescent="0.25">
      <c r="A9" t="s">
        <v>4</v>
      </c>
      <c r="B9" t="s">
        <v>261</v>
      </c>
      <c r="C9" t="s">
        <v>567</v>
      </c>
      <c r="D9">
        <v>0</v>
      </c>
    </row>
    <row r="10" spans="1:4" x14ac:dyDescent="0.25">
      <c r="A10" t="s">
        <v>4</v>
      </c>
      <c r="B10" t="s">
        <v>743</v>
      </c>
      <c r="C10" t="s">
        <v>569</v>
      </c>
      <c r="D10">
        <v>2</v>
      </c>
    </row>
    <row r="11" spans="1:4" x14ac:dyDescent="0.25">
      <c r="A11" t="s">
        <v>4</v>
      </c>
      <c r="B11" t="s">
        <v>376</v>
      </c>
      <c r="C11" t="s">
        <v>571</v>
      </c>
      <c r="D11">
        <v>0</v>
      </c>
    </row>
    <row r="12" spans="1:4" x14ac:dyDescent="0.25">
      <c r="A12" t="s">
        <v>4</v>
      </c>
      <c r="B12" t="s">
        <v>702</v>
      </c>
      <c r="C12" t="s">
        <v>1744</v>
      </c>
      <c r="D12">
        <v>-2</v>
      </c>
    </row>
    <row r="13" spans="1:4" x14ac:dyDescent="0.25">
      <c r="A13" t="s">
        <v>4</v>
      </c>
      <c r="B13" t="s">
        <v>471</v>
      </c>
      <c r="C13" t="s">
        <v>2325</v>
      </c>
      <c r="D13">
        <v>-5</v>
      </c>
    </row>
    <row r="14" spans="1:4" x14ac:dyDescent="0.25">
      <c r="A14" t="s">
        <v>4</v>
      </c>
      <c r="B14" t="s">
        <v>1882</v>
      </c>
      <c r="C14" t="s">
        <v>2396</v>
      </c>
      <c r="D14">
        <v>-8</v>
      </c>
    </row>
    <row r="15" spans="1:4" x14ac:dyDescent="0.25">
      <c r="A15" t="s">
        <v>4</v>
      </c>
      <c r="B15" t="s">
        <v>417</v>
      </c>
      <c r="C15" t="s">
        <v>2397</v>
      </c>
      <c r="D15">
        <v>-6</v>
      </c>
    </row>
    <row r="16" spans="1:4" x14ac:dyDescent="0.25">
      <c r="A16" t="s">
        <v>4</v>
      </c>
      <c r="B16" t="s">
        <v>1484</v>
      </c>
      <c r="C16" t="s">
        <v>2204</v>
      </c>
      <c r="D16">
        <v>-3</v>
      </c>
    </row>
    <row r="17" spans="1:4" x14ac:dyDescent="0.25">
      <c r="A17" t="s">
        <v>4</v>
      </c>
      <c r="B17" t="s">
        <v>1206</v>
      </c>
      <c r="C17" t="s">
        <v>1706</v>
      </c>
      <c r="D17">
        <v>-5</v>
      </c>
    </row>
    <row r="18" spans="1:4" x14ac:dyDescent="0.25">
      <c r="A18" t="s">
        <v>4</v>
      </c>
      <c r="B18" t="s">
        <v>793</v>
      </c>
      <c r="C18" t="s">
        <v>4099</v>
      </c>
      <c r="D18">
        <v>-7</v>
      </c>
    </row>
    <row r="19" spans="1:4" x14ac:dyDescent="0.25">
      <c r="A19" t="s">
        <v>40</v>
      </c>
      <c r="B19" t="s">
        <v>1027</v>
      </c>
      <c r="C19" t="s">
        <v>2701</v>
      </c>
      <c r="D19">
        <v>-5</v>
      </c>
    </row>
    <row r="20" spans="1:4" x14ac:dyDescent="0.25">
      <c r="A20" t="s">
        <v>40</v>
      </c>
      <c r="B20" t="s">
        <v>1613</v>
      </c>
      <c r="C20" t="s">
        <v>1708</v>
      </c>
      <c r="D20">
        <v>-6</v>
      </c>
    </row>
    <row r="21" spans="1:4" x14ac:dyDescent="0.25">
      <c r="A21" t="s">
        <v>40</v>
      </c>
      <c r="B21" t="s">
        <v>1280</v>
      </c>
      <c r="C21" t="s">
        <v>1709</v>
      </c>
      <c r="D21">
        <v>-9</v>
      </c>
    </row>
    <row r="22" spans="1:4" x14ac:dyDescent="0.25">
      <c r="A22" t="s">
        <v>40</v>
      </c>
      <c r="B22" t="s">
        <v>865</v>
      </c>
      <c r="C22" t="s">
        <v>4100</v>
      </c>
      <c r="D22">
        <v>-10</v>
      </c>
    </row>
    <row r="23" spans="1:4" x14ac:dyDescent="0.25">
      <c r="A23" t="s">
        <v>40</v>
      </c>
      <c r="B23" t="s">
        <v>2118</v>
      </c>
      <c r="C23" t="s">
        <v>4132</v>
      </c>
      <c r="D23">
        <v>-12</v>
      </c>
    </row>
    <row r="24" spans="1:4" x14ac:dyDescent="0.25">
      <c r="A24" t="s">
        <v>40</v>
      </c>
      <c r="B24" t="s">
        <v>2842</v>
      </c>
      <c r="C24" t="s">
        <v>1655</v>
      </c>
      <c r="D24">
        <v>-11</v>
      </c>
    </row>
    <row r="25" spans="1:4" x14ac:dyDescent="0.25">
      <c r="A25" t="s">
        <v>40</v>
      </c>
      <c r="B25" t="s">
        <v>2842</v>
      </c>
      <c r="C25" t="s">
        <v>3620</v>
      </c>
      <c r="D25">
        <v>-10</v>
      </c>
    </row>
    <row r="26" spans="1:4" x14ac:dyDescent="0.25">
      <c r="A26" t="s">
        <v>40</v>
      </c>
      <c r="B26" t="s">
        <v>15</v>
      </c>
      <c r="C26" t="s">
        <v>2407</v>
      </c>
      <c r="D26">
        <v>-12</v>
      </c>
    </row>
    <row r="27" spans="1:4" x14ac:dyDescent="0.25">
      <c r="A27" t="s">
        <v>40</v>
      </c>
      <c r="B27" t="s">
        <v>1069</v>
      </c>
      <c r="C27" t="s">
        <v>3622</v>
      </c>
      <c r="D27">
        <v>-10</v>
      </c>
    </row>
    <row r="28" spans="1:4" x14ac:dyDescent="0.25">
      <c r="A28" t="s">
        <v>40</v>
      </c>
      <c r="B28" t="s">
        <v>700</v>
      </c>
      <c r="C28" t="s">
        <v>3883</v>
      </c>
      <c r="D28">
        <v>-13</v>
      </c>
    </row>
    <row r="29" spans="1:4" x14ac:dyDescent="0.25">
      <c r="A29" t="s">
        <v>40</v>
      </c>
      <c r="B29" t="s">
        <v>225</v>
      </c>
      <c r="C29" t="s">
        <v>3884</v>
      </c>
      <c r="D29">
        <v>-11</v>
      </c>
    </row>
    <row r="30" spans="1:4" x14ac:dyDescent="0.25">
      <c r="A30" t="s">
        <v>40</v>
      </c>
      <c r="B30" t="s">
        <v>288</v>
      </c>
      <c r="C30" t="s">
        <v>4133</v>
      </c>
      <c r="D30">
        <v>-13</v>
      </c>
    </row>
    <row r="31" spans="1:4" x14ac:dyDescent="0.25">
      <c r="A31" t="s">
        <v>40</v>
      </c>
      <c r="B31" t="s">
        <v>1335</v>
      </c>
      <c r="C31" t="s">
        <v>3888</v>
      </c>
      <c r="D31">
        <v>-10</v>
      </c>
    </row>
    <row r="32" spans="1:4" x14ac:dyDescent="0.25">
      <c r="A32" t="s">
        <v>40</v>
      </c>
      <c r="B32" t="s">
        <v>894</v>
      </c>
      <c r="C32" t="s">
        <v>4134</v>
      </c>
      <c r="D32">
        <v>-11</v>
      </c>
    </row>
    <row r="33" spans="1:4" x14ac:dyDescent="0.25">
      <c r="A33" t="s">
        <v>40</v>
      </c>
      <c r="B33" t="s">
        <v>894</v>
      </c>
      <c r="C33" t="s">
        <v>3889</v>
      </c>
      <c r="D33">
        <v>-12</v>
      </c>
    </row>
    <row r="34" spans="1:4" x14ac:dyDescent="0.25">
      <c r="A34" t="s">
        <v>40</v>
      </c>
      <c r="B34" t="s">
        <v>1312</v>
      </c>
      <c r="C34" t="s">
        <v>3625</v>
      </c>
      <c r="D34">
        <v>-10</v>
      </c>
    </row>
    <row r="35" spans="1:4" x14ac:dyDescent="0.25">
      <c r="A35" t="s">
        <v>40</v>
      </c>
      <c r="B35" t="s">
        <v>389</v>
      </c>
      <c r="C35" t="s">
        <v>4135</v>
      </c>
      <c r="D35">
        <v>-13</v>
      </c>
    </row>
    <row r="36" spans="1:4" x14ac:dyDescent="0.25">
      <c r="A36" t="s">
        <v>80</v>
      </c>
      <c r="B36" t="s">
        <v>1648</v>
      </c>
      <c r="C36" t="s">
        <v>3892</v>
      </c>
      <c r="D36">
        <v>-15</v>
      </c>
    </row>
    <row r="37" spans="1:4" x14ac:dyDescent="0.25">
      <c r="A37" t="s">
        <v>80</v>
      </c>
      <c r="B37" t="s">
        <v>932</v>
      </c>
      <c r="C37" t="s">
        <v>4136</v>
      </c>
      <c r="D37">
        <v>-13</v>
      </c>
    </row>
    <row r="38" spans="1:4" x14ac:dyDescent="0.25">
      <c r="A38" t="s">
        <v>80</v>
      </c>
      <c r="B38" t="s">
        <v>244</v>
      </c>
      <c r="C38" t="s">
        <v>4137</v>
      </c>
      <c r="D38">
        <v>-11</v>
      </c>
    </row>
    <row r="39" spans="1:4" x14ac:dyDescent="0.25">
      <c r="A39" t="s">
        <v>80</v>
      </c>
      <c r="B39" t="s">
        <v>1613</v>
      </c>
      <c r="C39" t="s">
        <v>3586</v>
      </c>
      <c r="D39">
        <v>-9</v>
      </c>
    </row>
    <row r="40" spans="1:4" x14ac:dyDescent="0.25">
      <c r="A40" t="s">
        <v>80</v>
      </c>
      <c r="B40" t="s">
        <v>1118</v>
      </c>
      <c r="C40" t="s">
        <v>4138</v>
      </c>
      <c r="D40">
        <v>-7</v>
      </c>
    </row>
    <row r="41" spans="1:4" x14ac:dyDescent="0.25">
      <c r="A41" t="s">
        <v>80</v>
      </c>
      <c r="B41" t="s">
        <v>1248</v>
      </c>
      <c r="C41" t="s">
        <v>4139</v>
      </c>
      <c r="D41">
        <v>-9</v>
      </c>
    </row>
    <row r="42" spans="1:4" x14ac:dyDescent="0.25">
      <c r="A42" t="s">
        <v>80</v>
      </c>
      <c r="B42" t="s">
        <v>177</v>
      </c>
      <c r="C42" t="s">
        <v>3536</v>
      </c>
      <c r="D42">
        <v>-7</v>
      </c>
    </row>
    <row r="43" spans="1:4" x14ac:dyDescent="0.25">
      <c r="A43" t="s">
        <v>80</v>
      </c>
      <c r="B43" t="s">
        <v>623</v>
      </c>
      <c r="C43" t="s">
        <v>4140</v>
      </c>
      <c r="D43">
        <v>-9</v>
      </c>
    </row>
    <row r="44" spans="1:4" x14ac:dyDescent="0.25">
      <c r="A44" t="s">
        <v>80</v>
      </c>
      <c r="B44" t="s">
        <v>874</v>
      </c>
      <c r="C44" t="s">
        <v>4141</v>
      </c>
      <c r="D44">
        <v>-11</v>
      </c>
    </row>
    <row r="45" spans="1:4" x14ac:dyDescent="0.25">
      <c r="A45" t="s">
        <v>80</v>
      </c>
      <c r="B45" t="s">
        <v>437</v>
      </c>
      <c r="C45" t="s">
        <v>620</v>
      </c>
      <c r="D45">
        <v>-9</v>
      </c>
    </row>
    <row r="46" spans="1:4" x14ac:dyDescent="0.25">
      <c r="A46" t="s">
        <v>80</v>
      </c>
      <c r="B46" t="s">
        <v>1829</v>
      </c>
      <c r="C46" t="s">
        <v>2221</v>
      </c>
      <c r="D46">
        <v>-10</v>
      </c>
    </row>
    <row r="47" spans="1:4" x14ac:dyDescent="0.25">
      <c r="A47" t="s">
        <v>80</v>
      </c>
      <c r="B47" t="s">
        <v>1829</v>
      </c>
      <c r="C47" t="s">
        <v>3593</v>
      </c>
      <c r="D47">
        <v>-11</v>
      </c>
    </row>
    <row r="48" spans="1:4" x14ac:dyDescent="0.25">
      <c r="A48" t="s">
        <v>80</v>
      </c>
      <c r="B48" t="s">
        <v>1016</v>
      </c>
      <c r="C48" t="s">
        <v>98</v>
      </c>
      <c r="D48">
        <v>-8</v>
      </c>
    </row>
    <row r="49" spans="1:4" x14ac:dyDescent="0.25">
      <c r="A49" t="s">
        <v>80</v>
      </c>
      <c r="B49" t="s">
        <v>442</v>
      </c>
      <c r="C49" t="s">
        <v>100</v>
      </c>
      <c r="D49">
        <v>-6</v>
      </c>
    </row>
    <row r="50" spans="1:4" x14ac:dyDescent="0.25">
      <c r="A50" t="s">
        <v>80</v>
      </c>
      <c r="B50" t="s">
        <v>894</v>
      </c>
      <c r="C50" t="s">
        <v>1726</v>
      </c>
      <c r="D50">
        <v>-5</v>
      </c>
    </row>
    <row r="51" spans="1:4" x14ac:dyDescent="0.25">
      <c r="A51" t="s">
        <v>80</v>
      </c>
      <c r="B51" t="s">
        <v>475</v>
      </c>
      <c r="C51" t="s">
        <v>2224</v>
      </c>
      <c r="D51">
        <v>-8</v>
      </c>
    </row>
    <row r="52" spans="1:4" x14ac:dyDescent="0.25">
      <c r="A52" t="s">
        <v>80</v>
      </c>
      <c r="B52" t="s">
        <v>788</v>
      </c>
      <c r="C52" t="s">
        <v>2417</v>
      </c>
      <c r="D52">
        <v>-6</v>
      </c>
    </row>
    <row r="53" spans="1:4" x14ac:dyDescent="0.25">
      <c r="A53" t="s">
        <v>80</v>
      </c>
      <c r="B53" t="s">
        <v>1237</v>
      </c>
      <c r="C53" t="s">
        <v>1229</v>
      </c>
      <c r="D53">
        <v>-4</v>
      </c>
    </row>
    <row r="54" spans="1:4" x14ac:dyDescent="0.25">
      <c r="A54" t="s">
        <v>80</v>
      </c>
      <c r="B54" t="s">
        <v>301</v>
      </c>
      <c r="C54" t="s">
        <v>2612</v>
      </c>
      <c r="D54">
        <v>-2</v>
      </c>
    </row>
    <row r="55" spans="1:4" x14ac:dyDescent="0.25">
      <c r="A55" t="s">
        <v>123</v>
      </c>
      <c r="B55" t="s">
        <v>325</v>
      </c>
      <c r="C55" t="s">
        <v>2448</v>
      </c>
      <c r="D55">
        <v>0</v>
      </c>
    </row>
    <row r="56" spans="1:4" x14ac:dyDescent="0.25">
      <c r="A56" t="s">
        <v>123</v>
      </c>
      <c r="B56" t="s">
        <v>271</v>
      </c>
      <c r="C56" t="s">
        <v>383</v>
      </c>
      <c r="D56">
        <v>2</v>
      </c>
    </row>
    <row r="57" spans="1:4" x14ac:dyDescent="0.25">
      <c r="A57" t="s">
        <v>123</v>
      </c>
      <c r="B57" t="s">
        <v>9</v>
      </c>
      <c r="C57" t="s">
        <v>2177</v>
      </c>
      <c r="D57">
        <v>4</v>
      </c>
    </row>
    <row r="58" spans="1:4" x14ac:dyDescent="0.25">
      <c r="A58" t="s">
        <v>123</v>
      </c>
      <c r="B58" t="s">
        <v>1411</v>
      </c>
      <c r="C58" t="s">
        <v>3982</v>
      </c>
      <c r="D58">
        <v>6</v>
      </c>
    </row>
    <row r="59" spans="1:4" x14ac:dyDescent="0.25">
      <c r="A59" t="s">
        <v>123</v>
      </c>
      <c r="B59" t="s">
        <v>2080</v>
      </c>
      <c r="C59" t="s">
        <v>3723</v>
      </c>
      <c r="D59">
        <v>7</v>
      </c>
    </row>
    <row r="60" spans="1:4" x14ac:dyDescent="0.25">
      <c r="A60" t="s">
        <v>123</v>
      </c>
      <c r="B60" t="s">
        <v>872</v>
      </c>
      <c r="C60" t="s">
        <v>1164</v>
      </c>
      <c r="D60">
        <v>6</v>
      </c>
    </row>
    <row r="61" spans="1:4" x14ac:dyDescent="0.25">
      <c r="A61" t="s">
        <v>123</v>
      </c>
      <c r="B61" t="s">
        <v>872</v>
      </c>
      <c r="C61" t="s">
        <v>500</v>
      </c>
      <c r="D61">
        <v>5</v>
      </c>
    </row>
    <row r="62" spans="1:4" x14ac:dyDescent="0.25">
      <c r="A62" t="s">
        <v>123</v>
      </c>
      <c r="B62" t="s">
        <v>261</v>
      </c>
      <c r="C62" t="s">
        <v>1166</v>
      </c>
      <c r="D62">
        <v>7</v>
      </c>
    </row>
    <row r="63" spans="1:4" x14ac:dyDescent="0.25">
      <c r="A63" t="s">
        <v>123</v>
      </c>
      <c r="B63" t="s">
        <v>1602</v>
      </c>
      <c r="C63" t="s">
        <v>3939</v>
      </c>
      <c r="D63">
        <v>10</v>
      </c>
    </row>
    <row r="64" spans="1:4" x14ac:dyDescent="0.25">
      <c r="A64" t="s">
        <v>123</v>
      </c>
      <c r="B64" t="s">
        <v>544</v>
      </c>
      <c r="C64" t="s">
        <v>2729</v>
      </c>
      <c r="D64">
        <v>8</v>
      </c>
    </row>
    <row r="65" spans="1:4" x14ac:dyDescent="0.25">
      <c r="A65" t="s">
        <v>123</v>
      </c>
      <c r="B65" t="s">
        <v>1200</v>
      </c>
      <c r="C65" t="s">
        <v>1469</v>
      </c>
      <c r="D65">
        <v>11</v>
      </c>
    </row>
    <row r="66" spans="1:4" x14ac:dyDescent="0.25">
      <c r="A66" t="s">
        <v>123</v>
      </c>
      <c r="B66" t="s">
        <v>228</v>
      </c>
      <c r="C66" t="s">
        <v>2885</v>
      </c>
      <c r="D66">
        <v>13</v>
      </c>
    </row>
    <row r="67" spans="1:4" x14ac:dyDescent="0.25">
      <c r="A67" t="s">
        <v>123</v>
      </c>
      <c r="B67" t="s">
        <v>2390</v>
      </c>
      <c r="C67" t="s">
        <v>2886</v>
      </c>
      <c r="D67">
        <v>16</v>
      </c>
    </row>
    <row r="68" spans="1:4" x14ac:dyDescent="0.25">
      <c r="A68" t="s">
        <v>123</v>
      </c>
      <c r="B68" t="s">
        <v>710</v>
      </c>
      <c r="C68" t="s">
        <v>3853</v>
      </c>
      <c r="D68">
        <v>18</v>
      </c>
    </row>
    <row r="69" spans="1:4" x14ac:dyDescent="0.25">
      <c r="A69" t="s">
        <v>123</v>
      </c>
      <c r="B69" t="s">
        <v>346</v>
      </c>
      <c r="C69" t="s">
        <v>1474</v>
      </c>
      <c r="D69">
        <v>15</v>
      </c>
    </row>
    <row r="70" spans="1:4" x14ac:dyDescent="0.25">
      <c r="A70" t="s">
        <v>123</v>
      </c>
      <c r="B70" t="s">
        <v>394</v>
      </c>
      <c r="C70" t="s">
        <v>2676</v>
      </c>
      <c r="D70">
        <v>16</v>
      </c>
    </row>
    <row r="71" spans="1:4" x14ac:dyDescent="0.25">
      <c r="A71" t="s">
        <v>123</v>
      </c>
      <c r="B71" t="s">
        <v>350</v>
      </c>
      <c r="C71" t="s">
        <v>2995</v>
      </c>
      <c r="D71">
        <v>13</v>
      </c>
    </row>
    <row r="72" spans="1:4" x14ac:dyDescent="0.25">
      <c r="A72" t="s">
        <v>123</v>
      </c>
      <c r="B72" t="s">
        <v>396</v>
      </c>
      <c r="C72" t="s">
        <v>2946</v>
      </c>
      <c r="D72">
        <v>14</v>
      </c>
    </row>
    <row r="74" spans="1:4" x14ac:dyDescent="0.25">
      <c r="A74" s="2" t="s">
        <v>157</v>
      </c>
    </row>
    <row r="75" spans="1:4" x14ac:dyDescent="0.25">
      <c r="A75" t="s">
        <v>158</v>
      </c>
      <c r="D75">
        <f>AVERAGE(D2:D72)</f>
        <v>-3</v>
      </c>
    </row>
    <row r="76" spans="1:4" x14ac:dyDescent="0.25">
      <c r="A76" t="s">
        <v>159</v>
      </c>
      <c r="D76">
        <f>MAX(D2:D72)</f>
        <v>18</v>
      </c>
    </row>
    <row r="77" spans="1:4" x14ac:dyDescent="0.25">
      <c r="A77" t="s">
        <v>160</v>
      </c>
      <c r="D77">
        <f>MIN(D2:D72)</f>
        <v>-15</v>
      </c>
    </row>
    <row r="78" spans="1:4" x14ac:dyDescent="0.25">
      <c r="A78" t="s">
        <v>161</v>
      </c>
      <c r="D78">
        <f>COUNTIF(D2:D72,"&gt;0")</f>
        <v>19</v>
      </c>
    </row>
    <row r="79" spans="1:4" x14ac:dyDescent="0.25">
      <c r="A79" t="s">
        <v>162</v>
      </c>
      <c r="D79">
        <f>COUNTIF(D2:D72,"=0")</f>
        <v>4</v>
      </c>
    </row>
    <row r="80" spans="1:4" x14ac:dyDescent="0.25">
      <c r="A80" t="s">
        <v>1570</v>
      </c>
      <c r="D80">
        <f>COUNTIF(D2:D72,"&lt;0")</f>
        <v>48</v>
      </c>
    </row>
    <row r="82" spans="1:4" x14ac:dyDescent="0.25">
      <c r="A82" s="2" t="s">
        <v>164</v>
      </c>
    </row>
    <row r="83" spans="1:4" x14ac:dyDescent="0.25">
      <c r="A83" t="s">
        <v>165</v>
      </c>
      <c r="D83">
        <f>AVERAGE(D2,D3,D4,D5,D6,D7,D8,D9,D10,D11,D12,D13,D14,D15,D16,D17,D18)</f>
        <v>-2.7058823529411766</v>
      </c>
    </row>
    <row r="84" spans="1:4" x14ac:dyDescent="0.25">
      <c r="A84" t="s">
        <v>166</v>
      </c>
      <c r="D84">
        <f>AVERAGE(D19,D20,D21,D22,D23,D24,D25,D26,D27,D28,D29,D30,D31,D32,D33,D34,D35)</f>
        <v>-10.470588235294118</v>
      </c>
    </row>
    <row r="85" spans="1:4" x14ac:dyDescent="0.25">
      <c r="A85" t="s">
        <v>167</v>
      </c>
      <c r="D85">
        <f>AVERAGE(D36,D37,D38,D39,D40,D41,D42,D43,D44,D45,D46,D47,D48,D49,D50,D51,D52,D53,D54)</f>
        <v>-8.4210526315789469</v>
      </c>
    </row>
    <row r="86" spans="1:4" x14ac:dyDescent="0.25">
      <c r="A86" t="s">
        <v>168</v>
      </c>
      <c r="D86">
        <f>AVERAGE(D55,D56,D57,D58,D59,D60,D61,D62,D63,D64,D65,D66,D67,D68,D69,D70,D71,D72)</f>
        <v>9.5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907</v>
      </c>
      <c r="C2" t="s">
        <v>1008</v>
      </c>
      <c r="D2">
        <v>-3</v>
      </c>
    </row>
    <row r="3" spans="1:4" x14ac:dyDescent="0.25">
      <c r="A3" t="s">
        <v>4</v>
      </c>
      <c r="B3" t="s">
        <v>2570</v>
      </c>
      <c r="C3" t="s">
        <v>1692</v>
      </c>
      <c r="D3">
        <v>-4</v>
      </c>
    </row>
    <row r="4" spans="1:4" x14ac:dyDescent="0.25">
      <c r="A4" t="s">
        <v>4</v>
      </c>
      <c r="B4" t="s">
        <v>1973</v>
      </c>
      <c r="C4" t="s">
        <v>10</v>
      </c>
      <c r="D4">
        <v>-2</v>
      </c>
    </row>
    <row r="5" spans="1:4" x14ac:dyDescent="0.25">
      <c r="A5" t="s">
        <v>4</v>
      </c>
      <c r="B5" t="s">
        <v>1973</v>
      </c>
      <c r="C5" t="s">
        <v>2045</v>
      </c>
      <c r="D5">
        <v>-1</v>
      </c>
    </row>
    <row r="6" spans="1:4" x14ac:dyDescent="0.25">
      <c r="A6" t="s">
        <v>4</v>
      </c>
      <c r="B6" t="s">
        <v>2355</v>
      </c>
      <c r="C6" t="s">
        <v>911</v>
      </c>
      <c r="D6">
        <v>-4</v>
      </c>
    </row>
    <row r="7" spans="1:4" x14ac:dyDescent="0.25">
      <c r="A7" t="s">
        <v>4</v>
      </c>
      <c r="B7" t="s">
        <v>1666</v>
      </c>
      <c r="C7" t="s">
        <v>913</v>
      </c>
      <c r="D7">
        <v>-2</v>
      </c>
    </row>
    <row r="8" spans="1:4" x14ac:dyDescent="0.25">
      <c r="A8" t="s">
        <v>4</v>
      </c>
      <c r="B8" t="s">
        <v>778</v>
      </c>
      <c r="C8" t="s">
        <v>567</v>
      </c>
      <c r="D8">
        <v>0</v>
      </c>
    </row>
    <row r="9" spans="1:4" x14ac:dyDescent="0.25">
      <c r="A9" t="s">
        <v>4</v>
      </c>
      <c r="B9" t="s">
        <v>357</v>
      </c>
      <c r="C9" t="s">
        <v>1497</v>
      </c>
      <c r="D9">
        <v>-2</v>
      </c>
    </row>
    <row r="10" spans="1:4" x14ac:dyDescent="0.25">
      <c r="A10" t="s">
        <v>4</v>
      </c>
      <c r="B10" t="s">
        <v>1824</v>
      </c>
      <c r="C10" t="s">
        <v>3611</v>
      </c>
      <c r="D10">
        <v>-4</v>
      </c>
    </row>
    <row r="11" spans="1:4" x14ac:dyDescent="0.25">
      <c r="A11" t="s">
        <v>4</v>
      </c>
      <c r="B11" t="s">
        <v>274</v>
      </c>
      <c r="C11" t="s">
        <v>2202</v>
      </c>
      <c r="D11">
        <v>-1</v>
      </c>
    </row>
    <row r="12" spans="1:4" x14ac:dyDescent="0.25">
      <c r="A12" t="s">
        <v>4</v>
      </c>
      <c r="B12" t="s">
        <v>1742</v>
      </c>
      <c r="C12" t="s">
        <v>28</v>
      </c>
      <c r="D12">
        <v>1</v>
      </c>
    </row>
    <row r="13" spans="1:4" x14ac:dyDescent="0.25">
      <c r="A13" t="s">
        <v>4</v>
      </c>
      <c r="B13" t="s">
        <v>625</v>
      </c>
      <c r="C13" t="s">
        <v>30</v>
      </c>
      <c r="D13">
        <v>-1</v>
      </c>
    </row>
    <row r="14" spans="1:4" x14ac:dyDescent="0.25">
      <c r="A14" t="s">
        <v>4</v>
      </c>
      <c r="B14" t="s">
        <v>215</v>
      </c>
      <c r="C14" t="s">
        <v>32</v>
      </c>
      <c r="D14">
        <v>1</v>
      </c>
    </row>
    <row r="15" spans="1:4" x14ac:dyDescent="0.25">
      <c r="A15" t="s">
        <v>4</v>
      </c>
      <c r="B15" t="s">
        <v>221</v>
      </c>
      <c r="C15" t="s">
        <v>35</v>
      </c>
      <c r="D15">
        <v>-1</v>
      </c>
    </row>
    <row r="16" spans="1:4" x14ac:dyDescent="0.25">
      <c r="A16" t="s">
        <v>4</v>
      </c>
      <c r="B16" t="s">
        <v>223</v>
      </c>
      <c r="C16" t="s">
        <v>2204</v>
      </c>
      <c r="D16">
        <v>-3</v>
      </c>
    </row>
    <row r="17" spans="1:4" x14ac:dyDescent="0.25">
      <c r="A17" t="s">
        <v>4</v>
      </c>
      <c r="B17" t="s">
        <v>747</v>
      </c>
      <c r="C17" t="s">
        <v>37</v>
      </c>
      <c r="D17">
        <v>-4</v>
      </c>
    </row>
    <row r="18" spans="1:4" x14ac:dyDescent="0.25">
      <c r="A18" t="s">
        <v>4</v>
      </c>
      <c r="B18" t="s">
        <v>747</v>
      </c>
      <c r="C18" t="s">
        <v>1706</v>
      </c>
      <c r="D18">
        <v>-5</v>
      </c>
    </row>
    <row r="19" spans="1:4" x14ac:dyDescent="0.25">
      <c r="A19" t="s">
        <v>4</v>
      </c>
      <c r="B19" t="s">
        <v>440</v>
      </c>
      <c r="C19" t="s">
        <v>2157</v>
      </c>
      <c r="D19">
        <v>-3</v>
      </c>
    </row>
    <row r="20" spans="1:4" x14ac:dyDescent="0.25">
      <c r="A20" t="s">
        <v>4</v>
      </c>
      <c r="B20" t="s">
        <v>1481</v>
      </c>
      <c r="C20" t="s">
        <v>585</v>
      </c>
      <c r="D20">
        <v>0</v>
      </c>
    </row>
    <row r="21" spans="1:4" x14ac:dyDescent="0.25">
      <c r="A21" t="s">
        <v>4</v>
      </c>
      <c r="B21" t="s">
        <v>990</v>
      </c>
      <c r="C21" t="s">
        <v>44</v>
      </c>
      <c r="D21">
        <v>-2</v>
      </c>
    </row>
    <row r="22" spans="1:4" x14ac:dyDescent="0.25">
      <c r="A22" t="s">
        <v>4</v>
      </c>
      <c r="B22" t="s">
        <v>444</v>
      </c>
      <c r="C22" t="s">
        <v>1438</v>
      </c>
      <c r="D22">
        <v>0</v>
      </c>
    </row>
    <row r="23" spans="1:4" x14ac:dyDescent="0.25">
      <c r="A23" t="s">
        <v>4</v>
      </c>
      <c r="B23" t="s">
        <v>529</v>
      </c>
      <c r="C23" t="s">
        <v>2328</v>
      </c>
      <c r="D23">
        <v>-2</v>
      </c>
    </row>
    <row r="24" spans="1:4" x14ac:dyDescent="0.25">
      <c r="A24" t="s">
        <v>4</v>
      </c>
      <c r="B24" t="s">
        <v>581</v>
      </c>
      <c r="C24" t="s">
        <v>591</v>
      </c>
      <c r="D24">
        <v>1</v>
      </c>
    </row>
    <row r="25" spans="1:4" x14ac:dyDescent="0.25">
      <c r="A25" t="s">
        <v>4</v>
      </c>
      <c r="B25" t="s">
        <v>320</v>
      </c>
      <c r="C25" t="s">
        <v>2330</v>
      </c>
      <c r="D25">
        <v>-1</v>
      </c>
    </row>
    <row r="26" spans="1:4" x14ac:dyDescent="0.25">
      <c r="A26" t="s">
        <v>4</v>
      </c>
      <c r="B26" t="s">
        <v>1050</v>
      </c>
      <c r="C26" t="s">
        <v>457</v>
      </c>
      <c r="D26">
        <v>0</v>
      </c>
    </row>
    <row r="27" spans="1:4" x14ac:dyDescent="0.25">
      <c r="A27" t="s">
        <v>4</v>
      </c>
      <c r="B27" t="s">
        <v>1050</v>
      </c>
      <c r="C27" t="s">
        <v>2357</v>
      </c>
      <c r="D27">
        <v>1</v>
      </c>
    </row>
    <row r="28" spans="1:4" x14ac:dyDescent="0.25">
      <c r="A28" t="s">
        <v>4</v>
      </c>
      <c r="B28" t="s">
        <v>1733</v>
      </c>
      <c r="C28" t="s">
        <v>340</v>
      </c>
      <c r="D28">
        <v>3</v>
      </c>
    </row>
    <row r="29" spans="1:4" x14ac:dyDescent="0.25">
      <c r="A29" t="s">
        <v>4</v>
      </c>
      <c r="B29" t="s">
        <v>508</v>
      </c>
      <c r="C29" t="s">
        <v>2125</v>
      </c>
      <c r="D29">
        <v>1</v>
      </c>
    </row>
    <row r="30" spans="1:4" x14ac:dyDescent="0.25">
      <c r="A30" t="s">
        <v>40</v>
      </c>
      <c r="B30" t="s">
        <v>716</v>
      </c>
      <c r="C30" t="s">
        <v>722</v>
      </c>
      <c r="D30">
        <v>3</v>
      </c>
    </row>
    <row r="31" spans="1:4" x14ac:dyDescent="0.25">
      <c r="A31" t="s">
        <v>40</v>
      </c>
      <c r="B31" t="s">
        <v>1545</v>
      </c>
      <c r="C31" t="s">
        <v>343</v>
      </c>
      <c r="D31">
        <v>2</v>
      </c>
    </row>
    <row r="32" spans="1:4" x14ac:dyDescent="0.25">
      <c r="A32" t="s">
        <v>40</v>
      </c>
      <c r="B32" t="s">
        <v>1210</v>
      </c>
      <c r="C32" t="s">
        <v>222</v>
      </c>
      <c r="D32">
        <v>4</v>
      </c>
    </row>
    <row r="33" spans="1:4" x14ac:dyDescent="0.25">
      <c r="A33" t="s">
        <v>40</v>
      </c>
      <c r="B33" t="s">
        <v>1065</v>
      </c>
      <c r="C33" t="s">
        <v>224</v>
      </c>
      <c r="D33">
        <v>6</v>
      </c>
    </row>
    <row r="34" spans="1:4" x14ac:dyDescent="0.25">
      <c r="A34" t="s">
        <v>40</v>
      </c>
      <c r="B34" t="s">
        <v>870</v>
      </c>
      <c r="C34" t="s">
        <v>226</v>
      </c>
      <c r="D34">
        <v>8</v>
      </c>
    </row>
    <row r="35" spans="1:4" x14ac:dyDescent="0.25">
      <c r="A35" t="s">
        <v>40</v>
      </c>
      <c r="B35" t="s">
        <v>186</v>
      </c>
      <c r="C35" t="s">
        <v>939</v>
      </c>
      <c r="D35">
        <v>5</v>
      </c>
    </row>
    <row r="36" spans="1:4" x14ac:dyDescent="0.25">
      <c r="A36" t="s">
        <v>40</v>
      </c>
      <c r="B36" t="s">
        <v>221</v>
      </c>
      <c r="C36" t="s">
        <v>1938</v>
      </c>
      <c r="D36">
        <v>7</v>
      </c>
    </row>
    <row r="37" spans="1:4" x14ac:dyDescent="0.25">
      <c r="A37" t="s">
        <v>40</v>
      </c>
      <c r="B37" t="s">
        <v>1350</v>
      </c>
      <c r="C37" t="s">
        <v>3682</v>
      </c>
      <c r="D37">
        <v>5</v>
      </c>
    </row>
    <row r="38" spans="1:4" x14ac:dyDescent="0.25">
      <c r="A38" t="s">
        <v>40</v>
      </c>
      <c r="B38" t="s">
        <v>1698</v>
      </c>
      <c r="C38" t="s">
        <v>1590</v>
      </c>
      <c r="D38">
        <v>7</v>
      </c>
    </row>
    <row r="39" spans="1:4" x14ac:dyDescent="0.25">
      <c r="A39" t="s">
        <v>40</v>
      </c>
      <c r="B39" t="s">
        <v>987</v>
      </c>
      <c r="C39" t="s">
        <v>1591</v>
      </c>
      <c r="D39">
        <v>5</v>
      </c>
    </row>
    <row r="40" spans="1:4" x14ac:dyDescent="0.25">
      <c r="A40" t="s">
        <v>40</v>
      </c>
      <c r="B40" t="s">
        <v>1882</v>
      </c>
      <c r="C40" t="s">
        <v>3731</v>
      </c>
      <c r="D40">
        <v>6</v>
      </c>
    </row>
    <row r="41" spans="1:4" x14ac:dyDescent="0.25">
      <c r="A41" t="s">
        <v>40</v>
      </c>
      <c r="B41" t="s">
        <v>1619</v>
      </c>
      <c r="C41" t="s">
        <v>478</v>
      </c>
      <c r="D41">
        <v>4</v>
      </c>
    </row>
    <row r="42" spans="1:4" x14ac:dyDescent="0.25">
      <c r="A42" t="s">
        <v>40</v>
      </c>
      <c r="B42" t="s">
        <v>2453</v>
      </c>
      <c r="C42" t="s">
        <v>1593</v>
      </c>
      <c r="D42">
        <v>5</v>
      </c>
    </row>
    <row r="43" spans="1:4" x14ac:dyDescent="0.25">
      <c r="A43" t="s">
        <v>40</v>
      </c>
      <c r="B43" t="s">
        <v>2453</v>
      </c>
      <c r="C43" t="s">
        <v>2166</v>
      </c>
      <c r="D43">
        <v>6</v>
      </c>
    </row>
    <row r="44" spans="1:4" x14ac:dyDescent="0.25">
      <c r="A44" t="s">
        <v>40</v>
      </c>
      <c r="B44" t="s">
        <v>231</v>
      </c>
      <c r="C44" t="s">
        <v>1673</v>
      </c>
      <c r="D44">
        <v>7</v>
      </c>
    </row>
    <row r="45" spans="1:4" x14ac:dyDescent="0.25">
      <c r="A45" t="s">
        <v>40</v>
      </c>
      <c r="B45" t="s">
        <v>231</v>
      </c>
      <c r="C45" t="s">
        <v>3732</v>
      </c>
      <c r="D45">
        <v>8</v>
      </c>
    </row>
    <row r="46" spans="1:4" x14ac:dyDescent="0.25">
      <c r="A46" t="s">
        <v>40</v>
      </c>
      <c r="B46" t="s">
        <v>120</v>
      </c>
      <c r="C46" t="s">
        <v>3342</v>
      </c>
      <c r="D46">
        <v>10</v>
      </c>
    </row>
    <row r="47" spans="1:4" x14ac:dyDescent="0.25">
      <c r="A47" t="s">
        <v>40</v>
      </c>
      <c r="B47" t="s">
        <v>534</v>
      </c>
      <c r="C47" t="s">
        <v>1145</v>
      </c>
      <c r="D47">
        <v>9</v>
      </c>
    </row>
    <row r="48" spans="1:4" x14ac:dyDescent="0.25">
      <c r="A48" t="s">
        <v>40</v>
      </c>
      <c r="B48" t="s">
        <v>534</v>
      </c>
      <c r="C48" t="s">
        <v>3698</v>
      </c>
      <c r="D48">
        <v>8</v>
      </c>
    </row>
    <row r="49" spans="1:4" x14ac:dyDescent="0.25">
      <c r="A49" t="s">
        <v>40</v>
      </c>
      <c r="B49" t="s">
        <v>1845</v>
      </c>
      <c r="C49" t="s">
        <v>2786</v>
      </c>
      <c r="D49">
        <v>11</v>
      </c>
    </row>
    <row r="50" spans="1:4" x14ac:dyDescent="0.25">
      <c r="A50" t="s">
        <v>40</v>
      </c>
      <c r="B50" t="s">
        <v>1489</v>
      </c>
      <c r="C50" t="s">
        <v>4070</v>
      </c>
      <c r="D50">
        <v>10</v>
      </c>
    </row>
    <row r="51" spans="1:4" x14ac:dyDescent="0.25">
      <c r="A51" t="s">
        <v>40</v>
      </c>
      <c r="B51" t="s">
        <v>1489</v>
      </c>
      <c r="C51" t="s">
        <v>2338</v>
      </c>
      <c r="D51">
        <v>9</v>
      </c>
    </row>
    <row r="52" spans="1:4" x14ac:dyDescent="0.25">
      <c r="A52" t="s">
        <v>40</v>
      </c>
      <c r="B52" t="s">
        <v>559</v>
      </c>
      <c r="C52" t="s">
        <v>3438</v>
      </c>
      <c r="D52">
        <v>8</v>
      </c>
    </row>
    <row r="53" spans="1:4" x14ac:dyDescent="0.25">
      <c r="A53" t="s">
        <v>40</v>
      </c>
      <c r="B53" t="s">
        <v>559</v>
      </c>
      <c r="C53" t="s">
        <v>2531</v>
      </c>
      <c r="D53">
        <v>7</v>
      </c>
    </row>
    <row r="54" spans="1:4" x14ac:dyDescent="0.25">
      <c r="A54" t="s">
        <v>80</v>
      </c>
      <c r="B54" t="s">
        <v>1691</v>
      </c>
      <c r="C54" t="s">
        <v>3439</v>
      </c>
      <c r="D54">
        <v>9</v>
      </c>
    </row>
    <row r="55" spans="1:4" x14ac:dyDescent="0.25">
      <c r="A55" t="s">
        <v>80</v>
      </c>
      <c r="B55" t="s">
        <v>1613</v>
      </c>
      <c r="C55" t="s">
        <v>4142</v>
      </c>
      <c r="D55">
        <v>11</v>
      </c>
    </row>
    <row r="56" spans="1:4" x14ac:dyDescent="0.25">
      <c r="A56" t="s">
        <v>80</v>
      </c>
      <c r="B56" t="s">
        <v>250</v>
      </c>
      <c r="C56" t="s">
        <v>1682</v>
      </c>
      <c r="D56">
        <v>12</v>
      </c>
    </row>
    <row r="57" spans="1:4" x14ac:dyDescent="0.25">
      <c r="A57" t="s">
        <v>80</v>
      </c>
      <c r="B57" t="s">
        <v>250</v>
      </c>
      <c r="C57" t="s">
        <v>1951</v>
      </c>
      <c r="D57">
        <v>13</v>
      </c>
    </row>
    <row r="58" spans="1:4" x14ac:dyDescent="0.25">
      <c r="A58" t="s">
        <v>80</v>
      </c>
      <c r="B58" t="s">
        <v>737</v>
      </c>
      <c r="C58" t="s">
        <v>1952</v>
      </c>
      <c r="D58">
        <v>11</v>
      </c>
    </row>
    <row r="59" spans="1:4" x14ac:dyDescent="0.25">
      <c r="A59" t="s">
        <v>80</v>
      </c>
      <c r="B59" t="s">
        <v>1033</v>
      </c>
      <c r="C59" t="s">
        <v>4143</v>
      </c>
      <c r="D59">
        <v>14</v>
      </c>
    </row>
    <row r="60" spans="1:4" x14ac:dyDescent="0.25">
      <c r="A60" t="s">
        <v>80</v>
      </c>
      <c r="B60" t="s">
        <v>2962</v>
      </c>
      <c r="C60" t="s">
        <v>2789</v>
      </c>
      <c r="D60">
        <v>15</v>
      </c>
    </row>
    <row r="61" spans="1:4" x14ac:dyDescent="0.25">
      <c r="A61" t="s">
        <v>80</v>
      </c>
      <c r="B61" t="s">
        <v>600</v>
      </c>
      <c r="C61" t="s">
        <v>965</v>
      </c>
      <c r="D61">
        <v>17</v>
      </c>
    </row>
    <row r="62" spans="1:4" x14ac:dyDescent="0.25">
      <c r="A62" t="s">
        <v>80</v>
      </c>
      <c r="B62" t="s">
        <v>890</v>
      </c>
      <c r="C62" t="s">
        <v>3379</v>
      </c>
      <c r="D62">
        <v>15</v>
      </c>
    </row>
    <row r="63" spans="1:4" x14ac:dyDescent="0.25">
      <c r="A63" t="s">
        <v>80</v>
      </c>
      <c r="B63" t="s">
        <v>2120</v>
      </c>
      <c r="C63" t="s">
        <v>1466</v>
      </c>
      <c r="D63">
        <v>13</v>
      </c>
    </row>
    <row r="64" spans="1:4" x14ac:dyDescent="0.25">
      <c r="A64" t="s">
        <v>80</v>
      </c>
      <c r="B64" t="s">
        <v>924</v>
      </c>
      <c r="C64" t="s">
        <v>4144</v>
      </c>
      <c r="D64">
        <v>15</v>
      </c>
    </row>
    <row r="65" spans="1:4" x14ac:dyDescent="0.25">
      <c r="A65" t="s">
        <v>80</v>
      </c>
      <c r="B65" t="s">
        <v>477</v>
      </c>
      <c r="C65" t="s">
        <v>970</v>
      </c>
      <c r="D65">
        <v>17</v>
      </c>
    </row>
    <row r="66" spans="1:4" x14ac:dyDescent="0.25">
      <c r="A66" t="s">
        <v>80</v>
      </c>
      <c r="B66" t="s">
        <v>1402</v>
      </c>
      <c r="C66" t="s">
        <v>2939</v>
      </c>
      <c r="D66">
        <v>15</v>
      </c>
    </row>
    <row r="67" spans="1:4" x14ac:dyDescent="0.25">
      <c r="A67" t="s">
        <v>80</v>
      </c>
      <c r="B67" t="s">
        <v>72</v>
      </c>
      <c r="C67" t="s">
        <v>2940</v>
      </c>
      <c r="D67">
        <v>17</v>
      </c>
    </row>
    <row r="68" spans="1:4" x14ac:dyDescent="0.25">
      <c r="A68" t="s">
        <v>80</v>
      </c>
      <c r="B68" t="s">
        <v>1489</v>
      </c>
      <c r="C68" t="s">
        <v>2867</v>
      </c>
      <c r="D68">
        <v>15</v>
      </c>
    </row>
    <row r="69" spans="1:4" x14ac:dyDescent="0.25">
      <c r="A69" t="s">
        <v>123</v>
      </c>
      <c r="B69" t="s">
        <v>325</v>
      </c>
      <c r="C69" t="s">
        <v>3940</v>
      </c>
      <c r="D69">
        <v>13</v>
      </c>
    </row>
    <row r="70" spans="1:4" x14ac:dyDescent="0.25">
      <c r="A70" t="s">
        <v>123</v>
      </c>
      <c r="B70" t="s">
        <v>175</v>
      </c>
      <c r="C70" t="s">
        <v>1469</v>
      </c>
      <c r="D70">
        <v>11</v>
      </c>
    </row>
    <row r="71" spans="1:4" x14ac:dyDescent="0.25">
      <c r="A71" t="s">
        <v>123</v>
      </c>
      <c r="B71" t="s">
        <v>1958</v>
      </c>
      <c r="C71" t="s">
        <v>401</v>
      </c>
      <c r="D71">
        <v>8</v>
      </c>
    </row>
    <row r="72" spans="1:4" x14ac:dyDescent="0.25">
      <c r="A72" t="s">
        <v>123</v>
      </c>
      <c r="B72" t="s">
        <v>2510</v>
      </c>
      <c r="C72" t="s">
        <v>402</v>
      </c>
      <c r="D72">
        <v>10</v>
      </c>
    </row>
    <row r="73" spans="1:4" x14ac:dyDescent="0.25">
      <c r="A73" t="s">
        <v>123</v>
      </c>
      <c r="B73" t="s">
        <v>2510</v>
      </c>
      <c r="C73" t="s">
        <v>1472</v>
      </c>
      <c r="D73">
        <v>11</v>
      </c>
    </row>
    <row r="74" spans="1:4" x14ac:dyDescent="0.25">
      <c r="A74" t="s">
        <v>123</v>
      </c>
      <c r="B74" t="s">
        <v>868</v>
      </c>
      <c r="C74" t="s">
        <v>2279</v>
      </c>
      <c r="D74">
        <v>9</v>
      </c>
    </row>
    <row r="75" spans="1:4" x14ac:dyDescent="0.25">
      <c r="A75" t="s">
        <v>123</v>
      </c>
      <c r="B75" t="s">
        <v>15</v>
      </c>
      <c r="C75" t="s">
        <v>2187</v>
      </c>
      <c r="D75">
        <v>11</v>
      </c>
    </row>
    <row r="76" spans="1:4" x14ac:dyDescent="0.25">
      <c r="A76" t="s">
        <v>123</v>
      </c>
      <c r="B76" t="s">
        <v>1441</v>
      </c>
      <c r="C76" t="s">
        <v>2190</v>
      </c>
      <c r="D76">
        <v>14</v>
      </c>
    </row>
    <row r="77" spans="1:4" x14ac:dyDescent="0.25">
      <c r="A77" t="s">
        <v>123</v>
      </c>
      <c r="B77" t="s">
        <v>1725</v>
      </c>
      <c r="C77" t="s">
        <v>4145</v>
      </c>
      <c r="D77">
        <v>12</v>
      </c>
    </row>
    <row r="78" spans="1:4" x14ac:dyDescent="0.25">
      <c r="A78" t="s">
        <v>123</v>
      </c>
      <c r="B78" t="s">
        <v>2154</v>
      </c>
      <c r="C78" t="s">
        <v>2803</v>
      </c>
      <c r="D78">
        <v>15</v>
      </c>
    </row>
    <row r="79" spans="1:4" x14ac:dyDescent="0.25">
      <c r="A79" t="s">
        <v>123</v>
      </c>
      <c r="B79" t="s">
        <v>1151</v>
      </c>
      <c r="C79" t="s">
        <v>2283</v>
      </c>
      <c r="D79">
        <v>12</v>
      </c>
    </row>
    <row r="80" spans="1:4" x14ac:dyDescent="0.25">
      <c r="A80" t="s">
        <v>123</v>
      </c>
      <c r="B80" t="s">
        <v>108</v>
      </c>
      <c r="C80" t="s">
        <v>1482</v>
      </c>
      <c r="D80">
        <v>13</v>
      </c>
    </row>
    <row r="81" spans="1:4" x14ac:dyDescent="0.25">
      <c r="A81" t="s">
        <v>123</v>
      </c>
      <c r="B81" t="s">
        <v>1422</v>
      </c>
      <c r="C81" t="s">
        <v>3358</v>
      </c>
      <c r="D81">
        <v>12</v>
      </c>
    </row>
    <row r="82" spans="1:4" x14ac:dyDescent="0.25">
      <c r="A82" t="s">
        <v>123</v>
      </c>
      <c r="B82" t="s">
        <v>1675</v>
      </c>
      <c r="C82" t="s">
        <v>2194</v>
      </c>
      <c r="D82">
        <v>13</v>
      </c>
    </row>
    <row r="83" spans="1:4" x14ac:dyDescent="0.25">
      <c r="A83" t="s">
        <v>123</v>
      </c>
      <c r="B83" t="s">
        <v>1115</v>
      </c>
      <c r="C83" t="s">
        <v>2195</v>
      </c>
      <c r="D83">
        <v>11</v>
      </c>
    </row>
    <row r="84" spans="1:4" x14ac:dyDescent="0.25">
      <c r="A84" t="s">
        <v>123</v>
      </c>
      <c r="B84" t="s">
        <v>1206</v>
      </c>
      <c r="C84" t="s">
        <v>993</v>
      </c>
      <c r="D84">
        <v>13</v>
      </c>
    </row>
    <row r="85" spans="1:4" x14ac:dyDescent="0.25">
      <c r="A85" t="s">
        <v>123</v>
      </c>
      <c r="B85" t="s">
        <v>36</v>
      </c>
      <c r="C85" t="s">
        <v>1853</v>
      </c>
      <c r="D85">
        <v>10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6.3095238095238093</v>
      </c>
    </row>
    <row r="89" spans="1:4" x14ac:dyDescent="0.25">
      <c r="A89" t="s">
        <v>159</v>
      </c>
      <c r="D89">
        <f>MAX(D2:D85)</f>
        <v>17</v>
      </c>
    </row>
    <row r="90" spans="1:4" x14ac:dyDescent="0.25">
      <c r="A90" t="s">
        <v>160</v>
      </c>
      <c r="D90">
        <f>MIN(D2:D85)</f>
        <v>-5</v>
      </c>
    </row>
    <row r="91" spans="1:4" x14ac:dyDescent="0.25">
      <c r="A91" t="s">
        <v>161</v>
      </c>
      <c r="D91">
        <f>COUNTIF(D2:D85,"&gt;0")</f>
        <v>62</v>
      </c>
    </row>
    <row r="92" spans="1:4" x14ac:dyDescent="0.25">
      <c r="A92" t="s">
        <v>162</v>
      </c>
      <c r="D92">
        <f>COUNTIF(D2:D85,"=0")</f>
        <v>4</v>
      </c>
    </row>
    <row r="93" spans="1:4" x14ac:dyDescent="0.25">
      <c r="A93" t="s">
        <v>1689</v>
      </c>
      <c r="D93">
        <f>COUNTIF(D2:D85,"&lt;0")</f>
        <v>18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AVERAGE(D2,D3,D4,D5,D6,D7,D8,D9,D10,D11,D12,D13,D14,D15,D16,D17,D18,D19,D20,D21,D22,D23,D24,D25,D26,D27,D28,D29)</f>
        <v>-1.3214285714285714</v>
      </c>
    </row>
    <row r="97" spans="1:4" x14ac:dyDescent="0.25">
      <c r="A97" t="s">
        <v>166</v>
      </c>
      <c r="D97">
        <f>AVERAGE(D30,D31,D32,D33,D34,D35,D36,D37,D38,D39,D40,D41,D42,D43,D44,D45,D46,D47,D48,D49,D50,D51,D52,D53)</f>
        <v>6.666666666666667</v>
      </c>
    </row>
    <row r="98" spans="1:4" x14ac:dyDescent="0.25">
      <c r="A98" t="s">
        <v>167</v>
      </c>
      <c r="D98">
        <f>AVERAGE(D54,D55,D56,D57,D58,D59,D60,D61,D62,D63,D64,D65,D66,D67,D68)</f>
        <v>13.933333333333334</v>
      </c>
    </row>
    <row r="99" spans="1:4" x14ac:dyDescent="0.25">
      <c r="A99" t="s">
        <v>168</v>
      </c>
      <c r="D99">
        <f>AVERAGE(D69,D70,D71,D72,D73,D74,D75,D76,D77,D78,D79,D80,D81,D82,D83,D84,D85)</f>
        <v>11.647058823529411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1022</v>
      </c>
      <c r="C2" t="s">
        <v>1008</v>
      </c>
      <c r="D2">
        <v>-3</v>
      </c>
    </row>
    <row r="3" spans="1:4" x14ac:dyDescent="0.25">
      <c r="A3" t="s">
        <v>4</v>
      </c>
      <c r="B3" t="s">
        <v>269</v>
      </c>
      <c r="C3" t="s">
        <v>306</v>
      </c>
      <c r="D3">
        <v>-1</v>
      </c>
    </row>
    <row r="4" spans="1:4" x14ac:dyDescent="0.25">
      <c r="A4" t="s">
        <v>4</v>
      </c>
      <c r="B4" t="s">
        <v>933</v>
      </c>
      <c r="C4" t="s">
        <v>2297</v>
      </c>
      <c r="D4">
        <v>-4</v>
      </c>
    </row>
    <row r="5" spans="1:4" x14ac:dyDescent="0.25">
      <c r="A5" t="s">
        <v>4</v>
      </c>
      <c r="B5" t="s">
        <v>271</v>
      </c>
      <c r="C5" t="s">
        <v>310</v>
      </c>
      <c r="D5">
        <v>-2</v>
      </c>
    </row>
    <row r="6" spans="1:4" x14ac:dyDescent="0.25">
      <c r="A6" t="s">
        <v>4</v>
      </c>
      <c r="B6" t="s">
        <v>305</v>
      </c>
      <c r="C6" t="s">
        <v>2046</v>
      </c>
      <c r="D6">
        <v>0</v>
      </c>
    </row>
    <row r="7" spans="1:4" x14ac:dyDescent="0.25">
      <c r="A7" t="s">
        <v>4</v>
      </c>
      <c r="B7" t="s">
        <v>588</v>
      </c>
      <c r="C7" t="s">
        <v>2559</v>
      </c>
      <c r="D7">
        <v>3</v>
      </c>
    </row>
    <row r="8" spans="1:4" x14ac:dyDescent="0.25">
      <c r="A8" t="s">
        <v>4</v>
      </c>
      <c r="B8" t="s">
        <v>1248</v>
      </c>
      <c r="C8" t="s">
        <v>2560</v>
      </c>
      <c r="D8">
        <v>5</v>
      </c>
    </row>
    <row r="9" spans="1:4" x14ac:dyDescent="0.25">
      <c r="A9" t="s">
        <v>4</v>
      </c>
      <c r="B9" t="s">
        <v>1432</v>
      </c>
      <c r="C9" t="s">
        <v>314</v>
      </c>
      <c r="D9">
        <v>6</v>
      </c>
    </row>
    <row r="10" spans="1:4" x14ac:dyDescent="0.25">
      <c r="A10" t="s">
        <v>4</v>
      </c>
      <c r="B10" t="s">
        <v>802</v>
      </c>
      <c r="C10" t="s">
        <v>24</v>
      </c>
      <c r="D10">
        <v>4</v>
      </c>
    </row>
    <row r="11" spans="1:4" x14ac:dyDescent="0.25">
      <c r="A11" t="s">
        <v>4</v>
      </c>
      <c r="B11" t="s">
        <v>1441</v>
      </c>
      <c r="C11" t="s">
        <v>917</v>
      </c>
      <c r="D11">
        <v>2</v>
      </c>
    </row>
    <row r="12" spans="1:4" x14ac:dyDescent="0.25">
      <c r="A12" t="s">
        <v>4</v>
      </c>
      <c r="B12" t="s">
        <v>726</v>
      </c>
      <c r="C12" t="s">
        <v>918</v>
      </c>
      <c r="D12">
        <v>3</v>
      </c>
    </row>
    <row r="13" spans="1:4" x14ac:dyDescent="0.25">
      <c r="A13" t="s">
        <v>4</v>
      </c>
      <c r="B13" t="s">
        <v>2962</v>
      </c>
      <c r="C13" t="s">
        <v>1575</v>
      </c>
      <c r="D13">
        <v>4</v>
      </c>
    </row>
    <row r="14" spans="1:4" x14ac:dyDescent="0.25">
      <c r="A14" t="s">
        <v>4</v>
      </c>
      <c r="B14" t="s">
        <v>922</v>
      </c>
      <c r="C14" t="s">
        <v>1872</v>
      </c>
      <c r="D14">
        <v>2</v>
      </c>
    </row>
    <row r="15" spans="1:4" x14ac:dyDescent="0.25">
      <c r="A15" t="s">
        <v>4</v>
      </c>
      <c r="B15" t="s">
        <v>747</v>
      </c>
      <c r="C15" t="s">
        <v>1577</v>
      </c>
      <c r="D15">
        <v>5</v>
      </c>
    </row>
    <row r="16" spans="1:4" x14ac:dyDescent="0.25">
      <c r="A16" t="s">
        <v>4</v>
      </c>
      <c r="B16" t="s">
        <v>70</v>
      </c>
      <c r="C16" t="s">
        <v>324</v>
      </c>
      <c r="D16">
        <v>7</v>
      </c>
    </row>
    <row r="17" spans="1:4" x14ac:dyDescent="0.25">
      <c r="A17" t="s">
        <v>4</v>
      </c>
      <c r="B17" t="s">
        <v>710</v>
      </c>
      <c r="C17" t="s">
        <v>1579</v>
      </c>
      <c r="D17">
        <v>6</v>
      </c>
    </row>
    <row r="18" spans="1:4" x14ac:dyDescent="0.25">
      <c r="A18" t="s">
        <v>4</v>
      </c>
      <c r="B18" t="s">
        <v>710</v>
      </c>
      <c r="C18" t="s">
        <v>1580</v>
      </c>
      <c r="D18">
        <v>5</v>
      </c>
    </row>
    <row r="19" spans="1:4" x14ac:dyDescent="0.25">
      <c r="A19" t="s">
        <v>4</v>
      </c>
      <c r="B19" t="s">
        <v>74</v>
      </c>
      <c r="C19" t="s">
        <v>708</v>
      </c>
      <c r="D19">
        <v>3</v>
      </c>
    </row>
    <row r="20" spans="1:4" x14ac:dyDescent="0.25">
      <c r="A20" t="s">
        <v>4</v>
      </c>
      <c r="B20" t="s">
        <v>1646</v>
      </c>
      <c r="C20" t="s">
        <v>330</v>
      </c>
      <c r="D20">
        <v>5</v>
      </c>
    </row>
    <row r="21" spans="1:4" x14ac:dyDescent="0.25">
      <c r="A21" t="s">
        <v>4</v>
      </c>
      <c r="B21" t="s">
        <v>38</v>
      </c>
      <c r="C21" t="s">
        <v>923</v>
      </c>
      <c r="D21">
        <v>7</v>
      </c>
    </row>
    <row r="22" spans="1:4" x14ac:dyDescent="0.25">
      <c r="A22" t="s">
        <v>40</v>
      </c>
      <c r="B22" t="s">
        <v>3056</v>
      </c>
      <c r="C22" t="s">
        <v>1207</v>
      </c>
      <c r="D22">
        <v>5</v>
      </c>
    </row>
    <row r="23" spans="1:4" x14ac:dyDescent="0.25">
      <c r="A23" t="s">
        <v>40</v>
      </c>
      <c r="B23" t="s">
        <v>1765</v>
      </c>
      <c r="C23" t="s">
        <v>206</v>
      </c>
      <c r="D23">
        <v>6</v>
      </c>
    </row>
    <row r="24" spans="1:4" x14ac:dyDescent="0.25">
      <c r="A24" t="s">
        <v>40</v>
      </c>
      <c r="B24" t="s">
        <v>1765</v>
      </c>
      <c r="C24" t="s">
        <v>1581</v>
      </c>
      <c r="D24">
        <v>7</v>
      </c>
    </row>
    <row r="25" spans="1:4" x14ac:dyDescent="0.25">
      <c r="A25" t="s">
        <v>40</v>
      </c>
      <c r="B25" t="s">
        <v>244</v>
      </c>
      <c r="C25" t="s">
        <v>1439</v>
      </c>
      <c r="D25">
        <v>4</v>
      </c>
    </row>
    <row r="26" spans="1:4" x14ac:dyDescent="0.25">
      <c r="A26" t="s">
        <v>40</v>
      </c>
      <c r="B26" t="s">
        <v>1244</v>
      </c>
      <c r="C26" t="s">
        <v>1209</v>
      </c>
      <c r="D26">
        <v>7</v>
      </c>
    </row>
    <row r="27" spans="1:4" x14ac:dyDescent="0.25">
      <c r="A27" t="s">
        <v>40</v>
      </c>
      <c r="B27" t="s">
        <v>1573</v>
      </c>
      <c r="C27" t="s">
        <v>2963</v>
      </c>
      <c r="D27">
        <v>5</v>
      </c>
    </row>
    <row r="28" spans="1:4" x14ac:dyDescent="0.25">
      <c r="A28" t="s">
        <v>40</v>
      </c>
      <c r="B28" t="s">
        <v>643</v>
      </c>
      <c r="C28" t="s">
        <v>1583</v>
      </c>
      <c r="D28">
        <v>7</v>
      </c>
    </row>
    <row r="29" spans="1:4" x14ac:dyDescent="0.25">
      <c r="A29" t="s">
        <v>40</v>
      </c>
      <c r="B29" t="s">
        <v>1033</v>
      </c>
      <c r="C29" t="s">
        <v>3090</v>
      </c>
      <c r="D29">
        <v>9</v>
      </c>
    </row>
    <row r="30" spans="1:4" x14ac:dyDescent="0.25">
      <c r="A30" t="s">
        <v>40</v>
      </c>
      <c r="B30" t="s">
        <v>698</v>
      </c>
      <c r="C30" t="s">
        <v>1585</v>
      </c>
      <c r="D30">
        <v>7</v>
      </c>
    </row>
    <row r="31" spans="1:4" x14ac:dyDescent="0.25">
      <c r="A31" t="s">
        <v>40</v>
      </c>
      <c r="B31" t="s">
        <v>60</v>
      </c>
      <c r="C31" t="s">
        <v>1586</v>
      </c>
      <c r="D31">
        <v>9</v>
      </c>
    </row>
    <row r="32" spans="1:4" x14ac:dyDescent="0.25">
      <c r="A32" t="s">
        <v>40</v>
      </c>
      <c r="B32" t="s">
        <v>1288</v>
      </c>
      <c r="C32" t="s">
        <v>2782</v>
      </c>
      <c r="D32">
        <v>7</v>
      </c>
    </row>
    <row r="33" spans="1:4" x14ac:dyDescent="0.25">
      <c r="A33" t="s">
        <v>40</v>
      </c>
      <c r="B33" t="s">
        <v>1230</v>
      </c>
      <c r="C33" t="s">
        <v>3123</v>
      </c>
      <c r="D33">
        <v>9</v>
      </c>
    </row>
    <row r="34" spans="1:4" x14ac:dyDescent="0.25">
      <c r="A34" t="s">
        <v>40</v>
      </c>
      <c r="B34" t="s">
        <v>378</v>
      </c>
      <c r="C34" t="s">
        <v>2161</v>
      </c>
      <c r="D34">
        <v>7</v>
      </c>
    </row>
    <row r="35" spans="1:4" x14ac:dyDescent="0.25">
      <c r="A35" t="s">
        <v>40</v>
      </c>
      <c r="B35" t="s">
        <v>285</v>
      </c>
      <c r="C35" t="s">
        <v>3124</v>
      </c>
      <c r="D35">
        <v>10</v>
      </c>
    </row>
    <row r="36" spans="1:4" x14ac:dyDescent="0.25">
      <c r="A36" t="s">
        <v>40</v>
      </c>
      <c r="B36" t="s">
        <v>1638</v>
      </c>
      <c r="C36" t="s">
        <v>2163</v>
      </c>
      <c r="D36">
        <v>12</v>
      </c>
    </row>
    <row r="37" spans="1:4" x14ac:dyDescent="0.25">
      <c r="A37" t="s">
        <v>40</v>
      </c>
      <c r="B37" t="s">
        <v>116</v>
      </c>
      <c r="C37" t="s">
        <v>4024</v>
      </c>
      <c r="D37">
        <v>15</v>
      </c>
    </row>
    <row r="38" spans="1:4" x14ac:dyDescent="0.25">
      <c r="A38" t="s">
        <v>40</v>
      </c>
      <c r="B38" t="s">
        <v>581</v>
      </c>
      <c r="C38" t="s">
        <v>4146</v>
      </c>
      <c r="D38">
        <v>16</v>
      </c>
    </row>
    <row r="39" spans="1:4" x14ac:dyDescent="0.25">
      <c r="A39" t="s">
        <v>40</v>
      </c>
      <c r="B39" t="s">
        <v>581</v>
      </c>
      <c r="C39" t="s">
        <v>4025</v>
      </c>
      <c r="D39">
        <v>17</v>
      </c>
    </row>
    <row r="40" spans="1:4" x14ac:dyDescent="0.25">
      <c r="A40" t="s">
        <v>40</v>
      </c>
      <c r="B40" t="s">
        <v>1204</v>
      </c>
      <c r="C40" t="s">
        <v>3396</v>
      </c>
      <c r="D40">
        <v>19</v>
      </c>
    </row>
    <row r="41" spans="1:4" x14ac:dyDescent="0.25">
      <c r="A41" t="s">
        <v>40</v>
      </c>
      <c r="B41" t="s">
        <v>1206</v>
      </c>
      <c r="C41" t="s">
        <v>3397</v>
      </c>
      <c r="D41">
        <v>22</v>
      </c>
    </row>
    <row r="42" spans="1:4" x14ac:dyDescent="0.25">
      <c r="A42" t="s">
        <v>40</v>
      </c>
      <c r="B42" t="s">
        <v>396</v>
      </c>
      <c r="C42" t="s">
        <v>3740</v>
      </c>
      <c r="D42">
        <v>20</v>
      </c>
    </row>
    <row r="43" spans="1:4" x14ac:dyDescent="0.25">
      <c r="A43" t="s">
        <v>40</v>
      </c>
      <c r="B43" t="s">
        <v>396</v>
      </c>
      <c r="C43" t="s">
        <v>3375</v>
      </c>
      <c r="D43">
        <v>19</v>
      </c>
    </row>
    <row r="44" spans="1:4" x14ac:dyDescent="0.25">
      <c r="A44" t="s">
        <v>80</v>
      </c>
      <c r="B44" t="s">
        <v>616</v>
      </c>
      <c r="C44" t="s">
        <v>4147</v>
      </c>
      <c r="D44">
        <v>18</v>
      </c>
    </row>
    <row r="45" spans="1:4" x14ac:dyDescent="0.25">
      <c r="A45" t="s">
        <v>80</v>
      </c>
      <c r="B45" t="s">
        <v>1851</v>
      </c>
      <c r="C45" t="s">
        <v>4148</v>
      </c>
      <c r="D45">
        <v>20</v>
      </c>
    </row>
    <row r="46" spans="1:4" x14ac:dyDescent="0.25">
      <c r="A46" t="s">
        <v>80</v>
      </c>
      <c r="B46" t="s">
        <v>1325</v>
      </c>
      <c r="C46" t="s">
        <v>4149</v>
      </c>
      <c r="D46">
        <v>22</v>
      </c>
    </row>
    <row r="47" spans="1:4" x14ac:dyDescent="0.25">
      <c r="A47" t="s">
        <v>80</v>
      </c>
      <c r="B47" t="s">
        <v>13</v>
      </c>
      <c r="C47" t="s">
        <v>3127</v>
      </c>
      <c r="D47">
        <v>19</v>
      </c>
    </row>
    <row r="48" spans="1:4" x14ac:dyDescent="0.25">
      <c r="A48" t="s">
        <v>80</v>
      </c>
      <c r="B48" t="s">
        <v>56</v>
      </c>
      <c r="C48" t="s">
        <v>3171</v>
      </c>
      <c r="D48">
        <v>22</v>
      </c>
    </row>
    <row r="49" spans="1:4" x14ac:dyDescent="0.25">
      <c r="A49" t="s">
        <v>80</v>
      </c>
      <c r="B49" t="s">
        <v>58</v>
      </c>
      <c r="C49" t="s">
        <v>4150</v>
      </c>
      <c r="D49">
        <v>21</v>
      </c>
    </row>
    <row r="50" spans="1:4" x14ac:dyDescent="0.25">
      <c r="A50" t="s">
        <v>80</v>
      </c>
      <c r="B50" t="s">
        <v>58</v>
      </c>
      <c r="C50" t="s">
        <v>958</v>
      </c>
      <c r="D50">
        <v>20</v>
      </c>
    </row>
    <row r="51" spans="1:4" x14ac:dyDescent="0.25">
      <c r="A51" t="s">
        <v>80</v>
      </c>
      <c r="B51" t="s">
        <v>726</v>
      </c>
      <c r="C51" t="s">
        <v>3130</v>
      </c>
      <c r="D51">
        <v>18</v>
      </c>
    </row>
    <row r="52" spans="1:4" x14ac:dyDescent="0.25">
      <c r="A52" t="s">
        <v>80</v>
      </c>
      <c r="B52" t="s">
        <v>1434</v>
      </c>
      <c r="C52" t="s">
        <v>960</v>
      </c>
      <c r="D52">
        <v>20</v>
      </c>
    </row>
    <row r="53" spans="1:4" x14ac:dyDescent="0.25">
      <c r="A53" t="s">
        <v>80</v>
      </c>
      <c r="B53" t="s">
        <v>577</v>
      </c>
      <c r="C53" t="s">
        <v>3210</v>
      </c>
      <c r="D53">
        <v>22</v>
      </c>
    </row>
    <row r="54" spans="1:4" x14ac:dyDescent="0.25">
      <c r="A54" t="s">
        <v>80</v>
      </c>
      <c r="B54" t="s">
        <v>319</v>
      </c>
      <c r="C54" t="s">
        <v>4151</v>
      </c>
      <c r="D54">
        <v>21</v>
      </c>
    </row>
    <row r="55" spans="1:4" x14ac:dyDescent="0.25">
      <c r="A55" t="s">
        <v>80</v>
      </c>
      <c r="B55" t="s">
        <v>1043</v>
      </c>
      <c r="C55" t="s">
        <v>3673</v>
      </c>
      <c r="D55">
        <v>24</v>
      </c>
    </row>
    <row r="56" spans="1:4" x14ac:dyDescent="0.25">
      <c r="A56" t="s">
        <v>80</v>
      </c>
      <c r="B56" t="s">
        <v>1202</v>
      </c>
      <c r="C56" t="s">
        <v>2825</v>
      </c>
      <c r="D56">
        <v>21</v>
      </c>
    </row>
    <row r="57" spans="1:4" x14ac:dyDescent="0.25">
      <c r="A57" t="s">
        <v>80</v>
      </c>
      <c r="B57" t="s">
        <v>198</v>
      </c>
      <c r="C57" t="s">
        <v>4152</v>
      </c>
      <c r="D57">
        <v>22</v>
      </c>
    </row>
    <row r="58" spans="1:4" x14ac:dyDescent="0.25">
      <c r="A58" t="s">
        <v>80</v>
      </c>
      <c r="B58" t="s">
        <v>1750</v>
      </c>
      <c r="C58" t="s">
        <v>2826</v>
      </c>
      <c r="D58">
        <v>24</v>
      </c>
    </row>
    <row r="59" spans="1:4" x14ac:dyDescent="0.25">
      <c r="A59" t="s">
        <v>80</v>
      </c>
      <c r="B59" t="s">
        <v>296</v>
      </c>
      <c r="C59" t="s">
        <v>3747</v>
      </c>
      <c r="D59">
        <v>26</v>
      </c>
    </row>
    <row r="60" spans="1:4" x14ac:dyDescent="0.25">
      <c r="A60" t="s">
        <v>80</v>
      </c>
      <c r="B60" t="s">
        <v>1135</v>
      </c>
      <c r="C60" t="s">
        <v>4058</v>
      </c>
      <c r="D60">
        <v>29</v>
      </c>
    </row>
    <row r="61" spans="1:4" x14ac:dyDescent="0.25">
      <c r="A61" t="s">
        <v>80</v>
      </c>
      <c r="B61" t="s">
        <v>817</v>
      </c>
      <c r="C61" t="s">
        <v>2833</v>
      </c>
      <c r="D61">
        <v>26</v>
      </c>
    </row>
    <row r="62" spans="1:4" x14ac:dyDescent="0.25">
      <c r="A62" t="s">
        <v>123</v>
      </c>
      <c r="B62" t="s">
        <v>170</v>
      </c>
      <c r="C62" t="s">
        <v>3139</v>
      </c>
      <c r="D62">
        <v>24</v>
      </c>
    </row>
    <row r="63" spans="1:4" x14ac:dyDescent="0.25">
      <c r="A63" t="s">
        <v>123</v>
      </c>
      <c r="B63" t="s">
        <v>2443</v>
      </c>
      <c r="C63" t="s">
        <v>4153</v>
      </c>
      <c r="D63">
        <v>25</v>
      </c>
    </row>
    <row r="64" spans="1:4" x14ac:dyDescent="0.25">
      <c r="A64" t="s">
        <v>123</v>
      </c>
      <c r="B64" t="s">
        <v>130</v>
      </c>
      <c r="C64" t="s">
        <v>3851</v>
      </c>
      <c r="D64">
        <v>22</v>
      </c>
    </row>
    <row r="65" spans="1:4" x14ac:dyDescent="0.25">
      <c r="A65" t="s">
        <v>123</v>
      </c>
      <c r="B65" t="s">
        <v>1192</v>
      </c>
      <c r="C65" t="s">
        <v>4154</v>
      </c>
      <c r="D65">
        <v>24</v>
      </c>
    </row>
    <row r="66" spans="1:4" x14ac:dyDescent="0.25">
      <c r="A66" t="s">
        <v>123</v>
      </c>
      <c r="B66" t="s">
        <v>912</v>
      </c>
      <c r="C66" t="s">
        <v>2090</v>
      </c>
      <c r="D66">
        <v>23</v>
      </c>
    </row>
    <row r="67" spans="1:4" x14ac:dyDescent="0.25">
      <c r="A67" t="s">
        <v>123</v>
      </c>
      <c r="B67" t="s">
        <v>912</v>
      </c>
      <c r="C67" t="s">
        <v>4077</v>
      </c>
      <c r="D67">
        <v>22</v>
      </c>
    </row>
    <row r="68" spans="1:4" x14ac:dyDescent="0.25">
      <c r="A68" t="s">
        <v>123</v>
      </c>
      <c r="B68" t="s">
        <v>1118</v>
      </c>
      <c r="C68" t="s">
        <v>4155</v>
      </c>
      <c r="D68">
        <v>24</v>
      </c>
    </row>
    <row r="69" spans="1:4" x14ac:dyDescent="0.25">
      <c r="A69" t="s">
        <v>123</v>
      </c>
      <c r="B69" t="s">
        <v>54</v>
      </c>
      <c r="C69" t="s">
        <v>3143</v>
      </c>
      <c r="D69">
        <v>26</v>
      </c>
    </row>
    <row r="70" spans="1:4" x14ac:dyDescent="0.25">
      <c r="A70" t="s">
        <v>123</v>
      </c>
      <c r="B70" t="s">
        <v>433</v>
      </c>
      <c r="C70" t="s">
        <v>3874</v>
      </c>
      <c r="D70">
        <v>25</v>
      </c>
    </row>
    <row r="71" spans="1:4" x14ac:dyDescent="0.25">
      <c r="A71" t="s">
        <v>123</v>
      </c>
      <c r="B71" t="s">
        <v>433</v>
      </c>
      <c r="C71" t="s">
        <v>4156</v>
      </c>
      <c r="D71">
        <v>24</v>
      </c>
    </row>
    <row r="72" spans="1:4" x14ac:dyDescent="0.25">
      <c r="A72" t="s">
        <v>123</v>
      </c>
      <c r="B72" t="s">
        <v>2431</v>
      </c>
      <c r="C72" t="s">
        <v>3146</v>
      </c>
      <c r="D72">
        <v>26</v>
      </c>
    </row>
    <row r="73" spans="1:4" x14ac:dyDescent="0.25">
      <c r="A73" t="s">
        <v>123</v>
      </c>
      <c r="B73" t="s">
        <v>1775</v>
      </c>
      <c r="C73" t="s">
        <v>4157</v>
      </c>
      <c r="D73">
        <v>25</v>
      </c>
    </row>
    <row r="74" spans="1:4" x14ac:dyDescent="0.25">
      <c r="A74" t="s">
        <v>123</v>
      </c>
      <c r="B74" t="s">
        <v>872</v>
      </c>
      <c r="C74" t="s">
        <v>3754</v>
      </c>
      <c r="D74">
        <v>23</v>
      </c>
    </row>
    <row r="75" spans="1:4" x14ac:dyDescent="0.25">
      <c r="A75" t="s">
        <v>123</v>
      </c>
      <c r="B75" t="s">
        <v>1819</v>
      </c>
      <c r="C75" t="s">
        <v>3755</v>
      </c>
      <c r="D75">
        <v>25</v>
      </c>
    </row>
    <row r="76" spans="1:4" x14ac:dyDescent="0.25">
      <c r="A76" t="s">
        <v>123</v>
      </c>
      <c r="B76" t="s">
        <v>805</v>
      </c>
      <c r="C76" t="s">
        <v>4158</v>
      </c>
      <c r="D76">
        <v>24</v>
      </c>
    </row>
    <row r="77" spans="1:4" x14ac:dyDescent="0.25">
      <c r="A77" t="s">
        <v>123</v>
      </c>
      <c r="B77" t="s">
        <v>805</v>
      </c>
      <c r="C77" t="s">
        <v>4159</v>
      </c>
      <c r="D77">
        <v>23</v>
      </c>
    </row>
    <row r="78" spans="1:4" x14ac:dyDescent="0.25">
      <c r="A78" t="s">
        <v>123</v>
      </c>
      <c r="B78" t="s">
        <v>337</v>
      </c>
      <c r="C78" t="s">
        <v>3151</v>
      </c>
      <c r="D78">
        <v>25</v>
      </c>
    </row>
    <row r="79" spans="1:4" x14ac:dyDescent="0.25">
      <c r="A79" t="s">
        <v>123</v>
      </c>
      <c r="B79" t="s">
        <v>1882</v>
      </c>
      <c r="C79" t="s">
        <v>3690</v>
      </c>
      <c r="D79">
        <v>22</v>
      </c>
    </row>
    <row r="80" spans="1:4" x14ac:dyDescent="0.25">
      <c r="A80" t="s">
        <v>123</v>
      </c>
      <c r="B80" t="s">
        <v>671</v>
      </c>
      <c r="C80" t="s">
        <v>2950</v>
      </c>
      <c r="D80">
        <v>20</v>
      </c>
    </row>
    <row r="81" spans="1:4" x14ac:dyDescent="0.25">
      <c r="A81" t="s">
        <v>123</v>
      </c>
      <c r="B81" t="s">
        <v>1177</v>
      </c>
      <c r="C81" t="s">
        <v>2951</v>
      </c>
      <c r="D81">
        <v>22</v>
      </c>
    </row>
    <row r="82" spans="1:4" x14ac:dyDescent="0.25">
      <c r="A82" t="s">
        <v>123</v>
      </c>
      <c r="B82" t="s">
        <v>31</v>
      </c>
      <c r="C82" t="s">
        <v>2952</v>
      </c>
      <c r="D82">
        <v>20</v>
      </c>
    </row>
    <row r="83" spans="1:4" x14ac:dyDescent="0.25">
      <c r="A83" t="s">
        <v>123</v>
      </c>
      <c r="B83" t="s">
        <v>927</v>
      </c>
      <c r="C83" t="s">
        <v>2954</v>
      </c>
      <c r="D83">
        <v>22</v>
      </c>
    </row>
    <row r="84" spans="1:4" x14ac:dyDescent="0.25">
      <c r="A84" t="s">
        <v>123</v>
      </c>
      <c r="B84" t="s">
        <v>1990</v>
      </c>
      <c r="C84" t="s">
        <v>2955</v>
      </c>
      <c r="D84">
        <v>20</v>
      </c>
    </row>
    <row r="85" spans="1:4" x14ac:dyDescent="0.25">
      <c r="A85" t="s">
        <v>123</v>
      </c>
      <c r="B85" t="s">
        <v>1627</v>
      </c>
      <c r="C85" t="s">
        <v>2851</v>
      </c>
      <c r="D85">
        <v>18</v>
      </c>
    </row>
    <row r="86" spans="1:4" x14ac:dyDescent="0.25">
      <c r="A86" t="s">
        <v>123</v>
      </c>
      <c r="B86" t="s">
        <v>1627</v>
      </c>
      <c r="C86" t="s">
        <v>1000</v>
      </c>
      <c r="D86">
        <v>17</v>
      </c>
    </row>
    <row r="87" spans="1:4" x14ac:dyDescent="0.25">
      <c r="A87" t="s">
        <v>123</v>
      </c>
      <c r="B87" t="s">
        <v>451</v>
      </c>
      <c r="C87" t="s">
        <v>3695</v>
      </c>
      <c r="D87">
        <v>18</v>
      </c>
    </row>
    <row r="88" spans="1:4" x14ac:dyDescent="0.25">
      <c r="A88" t="s">
        <v>123</v>
      </c>
      <c r="B88" t="s">
        <v>451</v>
      </c>
      <c r="C88" t="s">
        <v>1001</v>
      </c>
      <c r="D88">
        <v>19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14.931034482758621</v>
      </c>
    </row>
    <row r="92" spans="1:4" x14ac:dyDescent="0.25">
      <c r="A92" t="s">
        <v>159</v>
      </c>
      <c r="D92">
        <f>MAX(D2:D88)</f>
        <v>29</v>
      </c>
    </row>
    <row r="93" spans="1:4" x14ac:dyDescent="0.25">
      <c r="A93" t="s">
        <v>160</v>
      </c>
      <c r="D93">
        <f>MIN(D2:D88)</f>
        <v>-4</v>
      </c>
    </row>
    <row r="94" spans="1:4" x14ac:dyDescent="0.25">
      <c r="A94" t="s">
        <v>161</v>
      </c>
      <c r="D94">
        <f>COUNTIF(D2:D88,"&gt;0")</f>
        <v>82</v>
      </c>
    </row>
    <row r="95" spans="1:4" x14ac:dyDescent="0.25">
      <c r="A95" t="s">
        <v>162</v>
      </c>
      <c r="D95">
        <f>COUNTIF(D2:D88,"=0")</f>
        <v>1</v>
      </c>
    </row>
    <row r="96" spans="1:4" x14ac:dyDescent="0.25">
      <c r="A96" t="s">
        <v>561</v>
      </c>
      <c r="D96">
        <f>COUNTIF(D2:D88,"&lt;0")</f>
        <v>4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AVERAGE(D2,D3,D4,D5,D6,D7,D8,D9,D10,D11,D12,D13,D14,D15,D16,D17,D18,D19,D20,D21)</f>
        <v>2.85</v>
      </c>
    </row>
    <row r="100" spans="1:4" x14ac:dyDescent="0.25">
      <c r="A100" t="s">
        <v>166</v>
      </c>
      <c r="D100">
        <f>AVERAGE(D22,D23,D24,D25,D26,D27,D28,D29,D30,D31,D32,D33,D34,D35,D36,D37,D38,D39,D40,D41,D42,D43)</f>
        <v>10.863636363636363</v>
      </c>
    </row>
    <row r="101" spans="1:4" x14ac:dyDescent="0.25">
      <c r="A101" t="s">
        <v>167</v>
      </c>
      <c r="D101">
        <f>AVERAGE(D44,D45,D46,D47,D48,D49,D50,D51,D52,D53,D54,D55,D56,D57,D58,D59,D60,D61)</f>
        <v>21.944444444444443</v>
      </c>
    </row>
    <row r="102" spans="1:4" x14ac:dyDescent="0.25">
      <c r="A102" t="s">
        <v>168</v>
      </c>
      <c r="D102">
        <f>AVERAGE(D62,D63,D64,D65,D66,D67,D68,D69,D70,D71,D72,D73,D74,D75,D76,D77,D78,D79,D80,D81,D82,D83,D84,D85,D86,D87,D88)</f>
        <v>22.518518518518519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10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3999</v>
      </c>
    </row>
    <row r="2" spans="1:4" x14ac:dyDescent="0.25">
      <c r="A2" t="s">
        <v>4</v>
      </c>
      <c r="B2" t="s">
        <v>83</v>
      </c>
      <c r="C2" t="s">
        <v>908</v>
      </c>
      <c r="D2">
        <v>-2</v>
      </c>
    </row>
    <row r="3" spans="1:4" x14ac:dyDescent="0.25">
      <c r="A3" t="s">
        <v>4</v>
      </c>
      <c r="B3" t="s">
        <v>2405</v>
      </c>
      <c r="C3" t="s">
        <v>1692</v>
      </c>
      <c r="D3">
        <v>-4</v>
      </c>
    </row>
    <row r="4" spans="1:4" x14ac:dyDescent="0.25">
      <c r="A4" t="s">
        <v>4</v>
      </c>
      <c r="B4" t="s">
        <v>1246</v>
      </c>
      <c r="C4" t="s">
        <v>909</v>
      </c>
      <c r="D4">
        <v>-5</v>
      </c>
    </row>
    <row r="5" spans="1:4" x14ac:dyDescent="0.25">
      <c r="A5" t="s">
        <v>4</v>
      </c>
      <c r="B5" t="s">
        <v>1246</v>
      </c>
      <c r="C5" t="s">
        <v>3551</v>
      </c>
      <c r="D5">
        <v>-6</v>
      </c>
    </row>
    <row r="6" spans="1:4" x14ac:dyDescent="0.25">
      <c r="A6" t="s">
        <v>4</v>
      </c>
      <c r="B6" t="s">
        <v>625</v>
      </c>
      <c r="C6" t="s">
        <v>2746</v>
      </c>
      <c r="D6">
        <v>-8</v>
      </c>
    </row>
    <row r="7" spans="1:4" x14ac:dyDescent="0.25">
      <c r="A7" t="s">
        <v>4</v>
      </c>
      <c r="B7" t="s">
        <v>15</v>
      </c>
      <c r="C7" t="s">
        <v>4086</v>
      </c>
      <c r="D7">
        <v>-7</v>
      </c>
    </row>
    <row r="8" spans="1:4" x14ac:dyDescent="0.25">
      <c r="A8" t="s">
        <v>4</v>
      </c>
      <c r="B8" t="s">
        <v>15</v>
      </c>
      <c r="C8" t="s">
        <v>3756</v>
      </c>
      <c r="D8">
        <v>-6</v>
      </c>
    </row>
    <row r="9" spans="1:4" x14ac:dyDescent="0.25">
      <c r="A9" t="s">
        <v>4</v>
      </c>
      <c r="B9" t="s">
        <v>2266</v>
      </c>
      <c r="C9" t="s">
        <v>2200</v>
      </c>
      <c r="D9">
        <v>-5</v>
      </c>
    </row>
    <row r="10" spans="1:4" x14ac:dyDescent="0.25">
      <c r="A10" t="s">
        <v>4</v>
      </c>
      <c r="B10" t="s">
        <v>1725</v>
      </c>
      <c r="C10" t="s">
        <v>1741</v>
      </c>
      <c r="D10">
        <v>-7</v>
      </c>
    </row>
    <row r="11" spans="1:4" x14ac:dyDescent="0.25">
      <c r="A11" t="s">
        <v>4</v>
      </c>
      <c r="B11" t="s">
        <v>1288</v>
      </c>
      <c r="C11" t="s">
        <v>4160</v>
      </c>
      <c r="D11">
        <v>-9</v>
      </c>
    </row>
    <row r="12" spans="1:4" x14ac:dyDescent="0.25">
      <c r="A12" t="s">
        <v>4</v>
      </c>
      <c r="B12" t="s">
        <v>2311</v>
      </c>
      <c r="C12" t="s">
        <v>4000</v>
      </c>
      <c r="D12">
        <v>-7</v>
      </c>
    </row>
    <row r="13" spans="1:4" x14ac:dyDescent="0.25">
      <c r="A13" t="s">
        <v>4</v>
      </c>
      <c r="B13" t="s">
        <v>2311</v>
      </c>
      <c r="C13" t="s">
        <v>1697</v>
      </c>
      <c r="D13">
        <v>-6</v>
      </c>
    </row>
    <row r="14" spans="1:4" x14ac:dyDescent="0.25">
      <c r="A14" t="s">
        <v>4</v>
      </c>
      <c r="B14" t="s">
        <v>1795</v>
      </c>
      <c r="C14" t="s">
        <v>4161</v>
      </c>
      <c r="D14">
        <v>-7</v>
      </c>
    </row>
    <row r="15" spans="1:4" x14ac:dyDescent="0.25">
      <c r="A15" t="s">
        <v>4</v>
      </c>
      <c r="B15" t="s">
        <v>1795</v>
      </c>
      <c r="C15" t="s">
        <v>4162</v>
      </c>
      <c r="D15">
        <v>-8</v>
      </c>
    </row>
    <row r="16" spans="1:4" x14ac:dyDescent="0.25">
      <c r="A16" t="s">
        <v>4</v>
      </c>
      <c r="B16" t="s">
        <v>2629</v>
      </c>
      <c r="C16" t="s">
        <v>3757</v>
      </c>
      <c r="D16">
        <v>-6</v>
      </c>
    </row>
    <row r="17" spans="1:4" x14ac:dyDescent="0.25">
      <c r="A17" t="s">
        <v>4</v>
      </c>
      <c r="B17" t="s">
        <v>984</v>
      </c>
      <c r="C17" t="s">
        <v>2754</v>
      </c>
      <c r="D17">
        <v>-7</v>
      </c>
    </row>
    <row r="18" spans="1:4" x14ac:dyDescent="0.25">
      <c r="A18" t="s">
        <v>4</v>
      </c>
      <c r="B18" t="s">
        <v>605</v>
      </c>
      <c r="C18" t="s">
        <v>1701</v>
      </c>
      <c r="D18">
        <v>-5</v>
      </c>
    </row>
    <row r="19" spans="1:4" x14ac:dyDescent="0.25">
      <c r="A19" t="s">
        <v>4</v>
      </c>
      <c r="B19" t="s">
        <v>319</v>
      </c>
      <c r="C19" t="s">
        <v>1502</v>
      </c>
      <c r="D19">
        <v>-7</v>
      </c>
    </row>
    <row r="20" spans="1:4" x14ac:dyDescent="0.25">
      <c r="A20" t="s">
        <v>4</v>
      </c>
      <c r="B20" t="s">
        <v>196</v>
      </c>
      <c r="C20" t="s">
        <v>1504</v>
      </c>
      <c r="D20">
        <v>-4</v>
      </c>
    </row>
    <row r="21" spans="1:4" x14ac:dyDescent="0.25">
      <c r="A21" t="s">
        <v>4</v>
      </c>
      <c r="B21" t="s">
        <v>990</v>
      </c>
      <c r="C21" t="s">
        <v>1705</v>
      </c>
      <c r="D21">
        <v>-6</v>
      </c>
    </row>
    <row r="22" spans="1:4" x14ac:dyDescent="0.25">
      <c r="A22" t="s">
        <v>4</v>
      </c>
      <c r="B22" t="s">
        <v>1398</v>
      </c>
      <c r="C22" t="s">
        <v>3585</v>
      </c>
      <c r="D22">
        <v>-9</v>
      </c>
    </row>
    <row r="23" spans="1:4" x14ac:dyDescent="0.25">
      <c r="A23" t="s">
        <v>4</v>
      </c>
      <c r="B23" t="s">
        <v>1132</v>
      </c>
      <c r="C23" t="s">
        <v>3615</v>
      </c>
      <c r="D23">
        <v>-10</v>
      </c>
    </row>
    <row r="24" spans="1:4" x14ac:dyDescent="0.25">
      <c r="A24" t="s">
        <v>4</v>
      </c>
      <c r="B24" t="s">
        <v>1132</v>
      </c>
      <c r="C24" t="s">
        <v>2402</v>
      </c>
      <c r="D24">
        <v>-11</v>
      </c>
    </row>
    <row r="25" spans="1:4" x14ac:dyDescent="0.25">
      <c r="A25" t="s">
        <v>4</v>
      </c>
      <c r="B25" t="s">
        <v>815</v>
      </c>
      <c r="C25" t="s">
        <v>3670</v>
      </c>
      <c r="D25">
        <v>-10</v>
      </c>
    </row>
    <row r="26" spans="1:4" x14ac:dyDescent="0.25">
      <c r="A26" t="s">
        <v>4</v>
      </c>
      <c r="B26" t="s">
        <v>505</v>
      </c>
      <c r="C26" t="s">
        <v>4163</v>
      </c>
      <c r="D26">
        <v>-12</v>
      </c>
    </row>
    <row r="27" spans="1:4" x14ac:dyDescent="0.25">
      <c r="A27" t="s">
        <v>4</v>
      </c>
      <c r="B27" t="s">
        <v>481</v>
      </c>
      <c r="C27" t="s">
        <v>4164</v>
      </c>
      <c r="D27">
        <v>-9</v>
      </c>
    </row>
    <row r="28" spans="1:4" x14ac:dyDescent="0.25">
      <c r="A28" t="s">
        <v>4</v>
      </c>
      <c r="B28" t="s">
        <v>793</v>
      </c>
      <c r="C28" t="s">
        <v>2436</v>
      </c>
      <c r="D28">
        <v>-12</v>
      </c>
    </row>
    <row r="29" spans="1:4" x14ac:dyDescent="0.25">
      <c r="A29" t="s">
        <v>4</v>
      </c>
      <c r="B29" t="s">
        <v>396</v>
      </c>
      <c r="C29" t="s">
        <v>2437</v>
      </c>
      <c r="D29">
        <v>-9</v>
      </c>
    </row>
    <row r="30" spans="1:4" x14ac:dyDescent="0.25">
      <c r="A30" t="s">
        <v>40</v>
      </c>
      <c r="B30" t="s">
        <v>1541</v>
      </c>
      <c r="C30" t="s">
        <v>2859</v>
      </c>
      <c r="D30">
        <v>-12</v>
      </c>
    </row>
    <row r="31" spans="1:4" x14ac:dyDescent="0.25">
      <c r="A31" t="s">
        <v>40</v>
      </c>
      <c r="B31" t="s">
        <v>716</v>
      </c>
      <c r="C31" t="s">
        <v>1660</v>
      </c>
      <c r="D31">
        <v>-10</v>
      </c>
    </row>
    <row r="32" spans="1:4" x14ac:dyDescent="0.25">
      <c r="A32" t="s">
        <v>40</v>
      </c>
      <c r="B32" t="s">
        <v>1849</v>
      </c>
      <c r="C32" t="s">
        <v>2410</v>
      </c>
      <c r="D32">
        <v>-7</v>
      </c>
    </row>
    <row r="33" spans="1:4" x14ac:dyDescent="0.25">
      <c r="A33" t="s">
        <v>40</v>
      </c>
      <c r="B33" t="s">
        <v>51</v>
      </c>
      <c r="C33" t="s">
        <v>3557</v>
      </c>
      <c r="D33">
        <v>-8</v>
      </c>
    </row>
    <row r="34" spans="1:4" x14ac:dyDescent="0.25">
      <c r="A34" t="s">
        <v>40</v>
      </c>
      <c r="B34" t="s">
        <v>51</v>
      </c>
      <c r="C34" t="s">
        <v>2438</v>
      </c>
      <c r="D34">
        <v>-9</v>
      </c>
    </row>
    <row r="35" spans="1:4" x14ac:dyDescent="0.25">
      <c r="A35" t="s">
        <v>40</v>
      </c>
      <c r="B35" t="s">
        <v>307</v>
      </c>
      <c r="C35" t="s">
        <v>4134</v>
      </c>
      <c r="D35">
        <v>-11</v>
      </c>
    </row>
    <row r="36" spans="1:4" x14ac:dyDescent="0.25">
      <c r="A36" t="s">
        <v>40</v>
      </c>
      <c r="B36" t="s">
        <v>1683</v>
      </c>
      <c r="C36" t="s">
        <v>3945</v>
      </c>
      <c r="D36">
        <v>-9</v>
      </c>
    </row>
    <row r="37" spans="1:4" x14ac:dyDescent="0.25">
      <c r="A37" t="s">
        <v>40</v>
      </c>
      <c r="B37" t="s">
        <v>1498</v>
      </c>
      <c r="C37" t="s">
        <v>4165</v>
      </c>
      <c r="D37">
        <v>-11</v>
      </c>
    </row>
    <row r="38" spans="1:4" x14ac:dyDescent="0.25">
      <c r="A38" t="s">
        <v>40</v>
      </c>
      <c r="B38" t="s">
        <v>17</v>
      </c>
      <c r="C38" t="s">
        <v>71</v>
      </c>
      <c r="D38">
        <v>-8</v>
      </c>
    </row>
    <row r="39" spans="1:4" x14ac:dyDescent="0.25">
      <c r="A39" t="s">
        <v>40</v>
      </c>
      <c r="B39" t="s">
        <v>872</v>
      </c>
      <c r="C39" t="s">
        <v>809</v>
      </c>
      <c r="D39">
        <v>-9</v>
      </c>
    </row>
    <row r="40" spans="1:4" x14ac:dyDescent="0.25">
      <c r="A40" t="s">
        <v>40</v>
      </c>
      <c r="B40" t="s">
        <v>1695</v>
      </c>
      <c r="C40" t="s">
        <v>811</v>
      </c>
      <c r="D40">
        <v>-11</v>
      </c>
    </row>
    <row r="41" spans="1:4" x14ac:dyDescent="0.25">
      <c r="A41" t="s">
        <v>40</v>
      </c>
      <c r="B41" t="s">
        <v>729</v>
      </c>
      <c r="C41" t="s">
        <v>75</v>
      </c>
      <c r="D41">
        <v>-9</v>
      </c>
    </row>
    <row r="42" spans="1:4" x14ac:dyDescent="0.25">
      <c r="A42" t="s">
        <v>40</v>
      </c>
      <c r="B42" t="s">
        <v>2629</v>
      </c>
      <c r="C42" t="s">
        <v>613</v>
      </c>
      <c r="D42">
        <v>-7</v>
      </c>
    </row>
    <row r="43" spans="1:4" x14ac:dyDescent="0.25">
      <c r="A43" t="s">
        <v>40</v>
      </c>
      <c r="B43" t="s">
        <v>890</v>
      </c>
      <c r="C43" t="s">
        <v>614</v>
      </c>
      <c r="D43">
        <v>-9</v>
      </c>
    </row>
    <row r="44" spans="1:4" x14ac:dyDescent="0.25">
      <c r="A44" t="s">
        <v>40</v>
      </c>
      <c r="B44" t="s">
        <v>544</v>
      </c>
      <c r="C44" t="s">
        <v>1832</v>
      </c>
      <c r="D44">
        <v>-6</v>
      </c>
    </row>
    <row r="45" spans="1:4" x14ac:dyDescent="0.25">
      <c r="A45" t="s">
        <v>40</v>
      </c>
      <c r="B45" t="s">
        <v>1127</v>
      </c>
      <c r="C45" t="s">
        <v>3973</v>
      </c>
      <c r="D45">
        <v>-8</v>
      </c>
    </row>
    <row r="46" spans="1:4" x14ac:dyDescent="0.25">
      <c r="A46" t="s">
        <v>40</v>
      </c>
      <c r="B46" t="s">
        <v>1675</v>
      </c>
      <c r="C46" t="s">
        <v>4141</v>
      </c>
      <c r="D46">
        <v>-11</v>
      </c>
    </row>
    <row r="47" spans="1:4" x14ac:dyDescent="0.25">
      <c r="A47" t="s">
        <v>40</v>
      </c>
      <c r="B47" t="s">
        <v>880</v>
      </c>
      <c r="C47" t="s">
        <v>620</v>
      </c>
      <c r="D47">
        <v>-9</v>
      </c>
    </row>
    <row r="48" spans="1:4" x14ac:dyDescent="0.25">
      <c r="A48" t="s">
        <v>40</v>
      </c>
      <c r="B48" t="s">
        <v>1261</v>
      </c>
      <c r="C48" t="s">
        <v>821</v>
      </c>
      <c r="D48">
        <v>-7</v>
      </c>
    </row>
    <row r="49" spans="1:4" x14ac:dyDescent="0.25">
      <c r="A49" t="s">
        <v>80</v>
      </c>
      <c r="B49" t="s">
        <v>1208</v>
      </c>
      <c r="C49" t="s">
        <v>2444</v>
      </c>
      <c r="D49">
        <v>-9</v>
      </c>
    </row>
    <row r="50" spans="1:4" x14ac:dyDescent="0.25">
      <c r="A50" t="s">
        <v>80</v>
      </c>
      <c r="B50" t="s">
        <v>428</v>
      </c>
      <c r="C50" t="s">
        <v>4166</v>
      </c>
      <c r="D50">
        <v>-12</v>
      </c>
    </row>
    <row r="51" spans="1:4" x14ac:dyDescent="0.25">
      <c r="A51" t="s">
        <v>80</v>
      </c>
      <c r="B51" t="s">
        <v>273</v>
      </c>
      <c r="C51" t="s">
        <v>3598</v>
      </c>
      <c r="D51">
        <v>-15</v>
      </c>
    </row>
    <row r="52" spans="1:4" x14ac:dyDescent="0.25">
      <c r="A52" t="s">
        <v>80</v>
      </c>
      <c r="B52" t="s">
        <v>1321</v>
      </c>
      <c r="C52" t="s">
        <v>4167</v>
      </c>
      <c r="D52">
        <v>-13</v>
      </c>
    </row>
    <row r="53" spans="1:4" x14ac:dyDescent="0.25">
      <c r="A53" t="s">
        <v>80</v>
      </c>
      <c r="B53" t="s">
        <v>723</v>
      </c>
      <c r="C53" t="s">
        <v>4168</v>
      </c>
      <c r="D53">
        <v>-11</v>
      </c>
    </row>
    <row r="54" spans="1:4" x14ac:dyDescent="0.25">
      <c r="A54" t="s">
        <v>80</v>
      </c>
      <c r="B54" t="s">
        <v>1011</v>
      </c>
      <c r="C54" t="s">
        <v>4169</v>
      </c>
      <c r="D54">
        <v>-14</v>
      </c>
    </row>
    <row r="55" spans="1:4" x14ac:dyDescent="0.25">
      <c r="A55" t="s">
        <v>80</v>
      </c>
      <c r="B55" t="s">
        <v>91</v>
      </c>
      <c r="C55" t="s">
        <v>4170</v>
      </c>
      <c r="D55">
        <v>-12</v>
      </c>
    </row>
    <row r="56" spans="1:4" x14ac:dyDescent="0.25">
      <c r="A56" t="s">
        <v>80</v>
      </c>
      <c r="B56" t="s">
        <v>1441</v>
      </c>
      <c r="C56" t="s">
        <v>4171</v>
      </c>
      <c r="D56">
        <v>-15</v>
      </c>
    </row>
    <row r="57" spans="1:4" x14ac:dyDescent="0.25">
      <c r="A57" t="s">
        <v>80</v>
      </c>
      <c r="B57" t="s">
        <v>60</v>
      </c>
      <c r="C57" t="s">
        <v>4172</v>
      </c>
      <c r="D57">
        <v>-17</v>
      </c>
    </row>
    <row r="58" spans="1:4" x14ac:dyDescent="0.25">
      <c r="A58" t="s">
        <v>80</v>
      </c>
      <c r="B58" t="s">
        <v>2250</v>
      </c>
      <c r="C58" t="s">
        <v>4173</v>
      </c>
      <c r="D58">
        <v>-20</v>
      </c>
    </row>
    <row r="59" spans="1:4" x14ac:dyDescent="0.25">
      <c r="A59" t="s">
        <v>80</v>
      </c>
      <c r="B59" t="s">
        <v>223</v>
      </c>
      <c r="C59" t="s">
        <v>4174</v>
      </c>
      <c r="D59">
        <v>-18</v>
      </c>
    </row>
    <row r="60" spans="1:4" x14ac:dyDescent="0.25">
      <c r="A60" t="s">
        <v>80</v>
      </c>
      <c r="B60" t="s">
        <v>285</v>
      </c>
      <c r="C60" t="s">
        <v>3797</v>
      </c>
      <c r="D60">
        <v>-21</v>
      </c>
    </row>
    <row r="61" spans="1:4" x14ac:dyDescent="0.25">
      <c r="A61" t="s">
        <v>80</v>
      </c>
      <c r="B61" t="s">
        <v>1217</v>
      </c>
      <c r="C61" t="s">
        <v>3798</v>
      </c>
      <c r="D61">
        <v>-22</v>
      </c>
    </row>
    <row r="62" spans="1:4" x14ac:dyDescent="0.25">
      <c r="A62" t="s">
        <v>80</v>
      </c>
      <c r="B62" t="s">
        <v>1127</v>
      </c>
      <c r="C62" t="s">
        <v>3634</v>
      </c>
      <c r="D62">
        <v>-19</v>
      </c>
    </row>
    <row r="63" spans="1:4" x14ac:dyDescent="0.25">
      <c r="A63" t="s">
        <v>80</v>
      </c>
      <c r="B63" t="s">
        <v>1940</v>
      </c>
      <c r="C63" t="s">
        <v>3636</v>
      </c>
      <c r="D63">
        <v>-17</v>
      </c>
    </row>
    <row r="64" spans="1:4" x14ac:dyDescent="0.25">
      <c r="A64" t="s">
        <v>80</v>
      </c>
      <c r="B64" t="s">
        <v>1177</v>
      </c>
      <c r="C64" t="s">
        <v>4175</v>
      </c>
      <c r="D64">
        <v>-20</v>
      </c>
    </row>
    <row r="65" spans="1:4" x14ac:dyDescent="0.25">
      <c r="A65" t="s">
        <v>80</v>
      </c>
      <c r="B65" t="s">
        <v>1622</v>
      </c>
      <c r="C65" t="s">
        <v>3802</v>
      </c>
      <c r="D65">
        <v>-22</v>
      </c>
    </row>
    <row r="66" spans="1:4" x14ac:dyDescent="0.25">
      <c r="A66" t="s">
        <v>80</v>
      </c>
      <c r="B66" t="s">
        <v>1809</v>
      </c>
      <c r="C66" t="s">
        <v>3640</v>
      </c>
      <c r="D66">
        <v>-19</v>
      </c>
    </row>
    <row r="67" spans="1:4" x14ac:dyDescent="0.25">
      <c r="A67" t="s">
        <v>80</v>
      </c>
      <c r="B67" t="s">
        <v>154</v>
      </c>
      <c r="C67" t="s">
        <v>3931</v>
      </c>
      <c r="D67">
        <v>-22</v>
      </c>
    </row>
    <row r="68" spans="1:4" x14ac:dyDescent="0.25">
      <c r="A68" t="s">
        <v>80</v>
      </c>
      <c r="B68" t="s">
        <v>559</v>
      </c>
      <c r="C68" t="s">
        <v>4176</v>
      </c>
      <c r="D68">
        <v>-19</v>
      </c>
    </row>
    <row r="69" spans="1:4" x14ac:dyDescent="0.25">
      <c r="A69" t="s">
        <v>123</v>
      </c>
      <c r="B69" t="s">
        <v>855</v>
      </c>
      <c r="C69" t="s">
        <v>4177</v>
      </c>
      <c r="D69">
        <v>-17</v>
      </c>
    </row>
    <row r="70" spans="1:4" x14ac:dyDescent="0.25">
      <c r="A70" t="s">
        <v>123</v>
      </c>
      <c r="B70" t="s">
        <v>1346</v>
      </c>
      <c r="C70" t="s">
        <v>2587</v>
      </c>
      <c r="D70">
        <v>-18</v>
      </c>
    </row>
    <row r="71" spans="1:4" x14ac:dyDescent="0.25">
      <c r="A71" t="s">
        <v>123</v>
      </c>
      <c r="B71" t="s">
        <v>797</v>
      </c>
      <c r="C71" t="s">
        <v>4178</v>
      </c>
      <c r="D71">
        <v>-15</v>
      </c>
    </row>
    <row r="72" spans="1:4" x14ac:dyDescent="0.25">
      <c r="A72" t="s">
        <v>123</v>
      </c>
      <c r="B72" t="s">
        <v>1119</v>
      </c>
      <c r="C72" t="s">
        <v>2589</v>
      </c>
      <c r="D72">
        <v>-18</v>
      </c>
    </row>
    <row r="73" spans="1:4" x14ac:dyDescent="0.25">
      <c r="A73" t="s">
        <v>123</v>
      </c>
      <c r="B73" t="s">
        <v>1958</v>
      </c>
      <c r="C73" t="s">
        <v>2591</v>
      </c>
      <c r="D73">
        <v>-15</v>
      </c>
    </row>
    <row r="74" spans="1:4" x14ac:dyDescent="0.25">
      <c r="A74" t="s">
        <v>123</v>
      </c>
      <c r="B74" t="s">
        <v>916</v>
      </c>
      <c r="C74" t="s">
        <v>3102</v>
      </c>
      <c r="D74">
        <v>-13</v>
      </c>
    </row>
    <row r="75" spans="1:4" x14ac:dyDescent="0.25">
      <c r="A75" t="s">
        <v>123</v>
      </c>
      <c r="B75" t="s">
        <v>517</v>
      </c>
      <c r="C75" t="s">
        <v>3103</v>
      </c>
      <c r="D75">
        <v>-16</v>
      </c>
    </row>
    <row r="76" spans="1:4" x14ac:dyDescent="0.25">
      <c r="A76" t="s">
        <v>123</v>
      </c>
      <c r="B76" t="s">
        <v>312</v>
      </c>
      <c r="C76" t="s">
        <v>1555</v>
      </c>
      <c r="D76">
        <v>-13</v>
      </c>
    </row>
    <row r="77" spans="1:4" x14ac:dyDescent="0.25">
      <c r="A77" t="s">
        <v>123</v>
      </c>
      <c r="B77" t="s">
        <v>313</v>
      </c>
      <c r="C77" t="s">
        <v>4179</v>
      </c>
      <c r="D77">
        <v>-10</v>
      </c>
    </row>
    <row r="78" spans="1:4" x14ac:dyDescent="0.25">
      <c r="A78" t="s">
        <v>123</v>
      </c>
      <c r="B78" t="s">
        <v>663</v>
      </c>
      <c r="C78" t="s">
        <v>4180</v>
      </c>
      <c r="D78">
        <v>-7</v>
      </c>
    </row>
    <row r="79" spans="1:4" x14ac:dyDescent="0.25">
      <c r="A79" t="s">
        <v>123</v>
      </c>
      <c r="B79" t="s">
        <v>378</v>
      </c>
      <c r="C79" t="s">
        <v>1559</v>
      </c>
      <c r="D79">
        <v>-10</v>
      </c>
    </row>
    <row r="80" spans="1:4" x14ac:dyDescent="0.25">
      <c r="A80" t="s">
        <v>123</v>
      </c>
      <c r="B80" t="s">
        <v>1153</v>
      </c>
      <c r="C80" t="s">
        <v>4181</v>
      </c>
      <c r="D80">
        <v>-8</v>
      </c>
    </row>
    <row r="81" spans="1:4" x14ac:dyDescent="0.25">
      <c r="A81" t="s">
        <v>123</v>
      </c>
      <c r="B81" t="s">
        <v>442</v>
      </c>
      <c r="C81" t="s">
        <v>4182</v>
      </c>
      <c r="D81">
        <v>-9</v>
      </c>
    </row>
    <row r="82" spans="1:4" x14ac:dyDescent="0.25">
      <c r="A82" t="s">
        <v>123</v>
      </c>
      <c r="B82" t="s">
        <v>442</v>
      </c>
      <c r="C82" t="s">
        <v>4183</v>
      </c>
      <c r="D82">
        <v>-10</v>
      </c>
    </row>
    <row r="83" spans="1:4" x14ac:dyDescent="0.25">
      <c r="A83" t="s">
        <v>123</v>
      </c>
      <c r="B83" t="s">
        <v>473</v>
      </c>
      <c r="C83" t="s">
        <v>4184</v>
      </c>
      <c r="D83">
        <v>-7</v>
      </c>
    </row>
    <row r="84" spans="1:4" x14ac:dyDescent="0.25">
      <c r="A84" t="s">
        <v>123</v>
      </c>
      <c r="B84" t="s">
        <v>473</v>
      </c>
      <c r="C84" t="s">
        <v>4185</v>
      </c>
      <c r="D84">
        <v>-6</v>
      </c>
    </row>
    <row r="85" spans="1:4" x14ac:dyDescent="0.25">
      <c r="A85" t="s">
        <v>123</v>
      </c>
      <c r="B85" t="s">
        <v>2363</v>
      </c>
      <c r="C85" t="s">
        <v>2627</v>
      </c>
      <c r="D85">
        <v>-9</v>
      </c>
    </row>
    <row r="86" spans="1:4" x14ac:dyDescent="0.25">
      <c r="A86" t="s">
        <v>123</v>
      </c>
      <c r="B86" t="s">
        <v>1237</v>
      </c>
      <c r="C86" t="s">
        <v>2628</v>
      </c>
      <c r="D86">
        <v>-10</v>
      </c>
    </row>
    <row r="87" spans="1:4" x14ac:dyDescent="0.25">
      <c r="A87" t="s">
        <v>123</v>
      </c>
      <c r="B87" t="s">
        <v>900</v>
      </c>
      <c r="C87" t="s">
        <v>4186</v>
      </c>
      <c r="D87">
        <v>-11</v>
      </c>
    </row>
    <row r="88" spans="1:4" x14ac:dyDescent="0.25">
      <c r="A88" t="s">
        <v>123</v>
      </c>
      <c r="B88" t="s">
        <v>1809</v>
      </c>
      <c r="C88" t="s">
        <v>4187</v>
      </c>
      <c r="D88">
        <v>-8</v>
      </c>
    </row>
    <row r="89" spans="1:4" x14ac:dyDescent="0.25">
      <c r="A89" t="s">
        <v>123</v>
      </c>
      <c r="B89" t="s">
        <v>770</v>
      </c>
      <c r="C89" t="s">
        <v>4188</v>
      </c>
      <c r="D89">
        <v>-10</v>
      </c>
    </row>
    <row r="91" spans="1:4" x14ac:dyDescent="0.25">
      <c r="A91" s="2" t="s">
        <v>157</v>
      </c>
    </row>
    <row r="92" spans="1:4" x14ac:dyDescent="0.25">
      <c r="A92" t="s">
        <v>158</v>
      </c>
      <c r="D92">
        <f>AVERAGE(D2:D89)</f>
        <v>-10.818181818181818</v>
      </c>
    </row>
    <row r="93" spans="1:4" x14ac:dyDescent="0.25">
      <c r="A93" t="s">
        <v>159</v>
      </c>
      <c r="D93">
        <f>MAX(D2:D89)</f>
        <v>-2</v>
      </c>
    </row>
    <row r="94" spans="1:4" x14ac:dyDescent="0.25">
      <c r="A94" t="s">
        <v>160</v>
      </c>
      <c r="D94">
        <f>MIN(D2:D89)</f>
        <v>-22</v>
      </c>
    </row>
    <row r="95" spans="1:4" x14ac:dyDescent="0.25">
      <c r="A95" t="s">
        <v>161</v>
      </c>
      <c r="D95">
        <f>COUNTIF(D2:D89,"&gt;0")</f>
        <v>0</v>
      </c>
    </row>
    <row r="96" spans="1:4" x14ac:dyDescent="0.25">
      <c r="A96" t="s">
        <v>162</v>
      </c>
      <c r="D96">
        <f>COUNTIF(D2:D89,"=0")</f>
        <v>0</v>
      </c>
    </row>
    <row r="97" spans="1:4" x14ac:dyDescent="0.25">
      <c r="A97" t="s">
        <v>4010</v>
      </c>
      <c r="D97">
        <f>COUNTIF(D2:D89,"&lt;0")</f>
        <v>88</v>
      </c>
    </row>
    <row r="99" spans="1:4" x14ac:dyDescent="0.25">
      <c r="A99" s="2" t="s">
        <v>164</v>
      </c>
    </row>
    <row r="100" spans="1:4" x14ac:dyDescent="0.25">
      <c r="A100" t="s">
        <v>165</v>
      </c>
      <c r="D100">
        <f>AVERAGE(D2,D3,D4,D5,D6,D7,D8,D9,D10,D11,D12,D13,D14,D15,D16,D17,D18,D19,D20,D21,D22,D23,D24,D25,D26,D27,D28,D29)</f>
        <v>-7.2857142857142856</v>
      </c>
    </row>
    <row r="101" spans="1:4" x14ac:dyDescent="0.25">
      <c r="A101" t="s">
        <v>166</v>
      </c>
      <c r="D101">
        <f>AVERAGE(D30,D31,D32,D33,D34,D35,D36,D37,D38,D39,D40,D41,D42,D43,D44,D45,D46,D47,D48)</f>
        <v>-9</v>
      </c>
    </row>
    <row r="102" spans="1:4" x14ac:dyDescent="0.25">
      <c r="A102" t="s">
        <v>167</v>
      </c>
      <c r="D102">
        <f>AVERAGE(D49,D50,D51,D52,D53,D54,D55,D56,D57,D58,D59,D60,D61,D62,D63,D64,D65,D66,D67,D68)</f>
        <v>-16.850000000000001</v>
      </c>
    </row>
    <row r="103" spans="1:4" x14ac:dyDescent="0.25">
      <c r="A103" t="s">
        <v>168</v>
      </c>
      <c r="D103">
        <f>AVERAGE(D69,D70,D71,D72,D73,D74,D75,D76,D77,D78,D79,D80,D81,D82,D83,D84,D85,D86,D87,D88,D89)</f>
        <v>-11.428571428571429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563</v>
      </c>
      <c r="C2" t="s">
        <v>6</v>
      </c>
      <c r="D2">
        <v>2</v>
      </c>
    </row>
    <row r="3" spans="1:4" x14ac:dyDescent="0.25">
      <c r="A3" t="s">
        <v>4</v>
      </c>
      <c r="B3" t="s">
        <v>1116</v>
      </c>
      <c r="C3" t="s">
        <v>2353</v>
      </c>
      <c r="D3">
        <v>4</v>
      </c>
    </row>
    <row r="4" spans="1:4" x14ac:dyDescent="0.25">
      <c r="A4" t="s">
        <v>4</v>
      </c>
      <c r="B4" t="s">
        <v>1545</v>
      </c>
      <c r="C4" t="s">
        <v>1572</v>
      </c>
      <c r="D4">
        <v>5</v>
      </c>
    </row>
    <row r="5" spans="1:4" x14ac:dyDescent="0.25">
      <c r="A5" t="s">
        <v>4</v>
      </c>
      <c r="B5" t="s">
        <v>1545</v>
      </c>
      <c r="C5" t="s">
        <v>690</v>
      </c>
      <c r="D5">
        <v>6</v>
      </c>
    </row>
    <row r="6" spans="1:4" x14ac:dyDescent="0.25">
      <c r="A6" t="s">
        <v>4</v>
      </c>
      <c r="B6" t="s">
        <v>1666</v>
      </c>
      <c r="C6" t="s">
        <v>692</v>
      </c>
      <c r="D6">
        <v>3</v>
      </c>
    </row>
    <row r="7" spans="1:4" x14ac:dyDescent="0.25">
      <c r="A7" t="s">
        <v>4</v>
      </c>
      <c r="B7" t="s">
        <v>737</v>
      </c>
      <c r="C7" t="s">
        <v>178</v>
      </c>
      <c r="D7">
        <v>2</v>
      </c>
    </row>
    <row r="8" spans="1:4" x14ac:dyDescent="0.25">
      <c r="A8" t="s">
        <v>4</v>
      </c>
      <c r="B8" t="s">
        <v>366</v>
      </c>
      <c r="C8" t="s">
        <v>180</v>
      </c>
      <c r="D8">
        <v>4</v>
      </c>
    </row>
    <row r="9" spans="1:4" x14ac:dyDescent="0.25">
      <c r="A9" t="s">
        <v>4</v>
      </c>
      <c r="B9" t="s">
        <v>1090</v>
      </c>
      <c r="C9" t="s">
        <v>183</v>
      </c>
      <c r="D9">
        <v>6</v>
      </c>
    </row>
    <row r="10" spans="1:4" x14ac:dyDescent="0.25">
      <c r="A10" t="s">
        <v>4</v>
      </c>
      <c r="B10" t="s">
        <v>1795</v>
      </c>
      <c r="C10" t="s">
        <v>1351</v>
      </c>
      <c r="D10">
        <v>3</v>
      </c>
    </row>
    <row r="11" spans="1:4" x14ac:dyDescent="0.25">
      <c r="A11" t="s">
        <v>4</v>
      </c>
      <c r="B11" t="s">
        <v>746</v>
      </c>
      <c r="C11" t="s">
        <v>1352</v>
      </c>
      <c r="D11">
        <v>4</v>
      </c>
    </row>
    <row r="12" spans="1:4" x14ac:dyDescent="0.25">
      <c r="A12" t="s">
        <v>4</v>
      </c>
      <c r="B12" t="s">
        <v>746</v>
      </c>
      <c r="C12" t="s">
        <v>784</v>
      </c>
      <c r="D12">
        <v>5</v>
      </c>
    </row>
    <row r="13" spans="1:4" x14ac:dyDescent="0.25">
      <c r="A13" t="s">
        <v>4</v>
      </c>
      <c r="B13" t="s">
        <v>106</v>
      </c>
      <c r="C13" t="s">
        <v>2647</v>
      </c>
      <c r="D13">
        <v>6</v>
      </c>
    </row>
    <row r="14" spans="1:4" x14ac:dyDescent="0.25">
      <c r="A14" t="s">
        <v>4</v>
      </c>
      <c r="B14" t="s">
        <v>106</v>
      </c>
      <c r="C14" t="s">
        <v>1196</v>
      </c>
      <c r="D14">
        <v>7</v>
      </c>
    </row>
    <row r="15" spans="1:4" x14ac:dyDescent="0.25">
      <c r="A15" t="s">
        <v>4</v>
      </c>
      <c r="B15" t="s">
        <v>341</v>
      </c>
      <c r="C15" t="s">
        <v>1197</v>
      </c>
      <c r="D15">
        <v>9</v>
      </c>
    </row>
    <row r="16" spans="1:4" x14ac:dyDescent="0.25">
      <c r="A16" t="s">
        <v>4</v>
      </c>
      <c r="B16" t="s">
        <v>702</v>
      </c>
      <c r="C16" t="s">
        <v>191</v>
      </c>
      <c r="D16">
        <v>8</v>
      </c>
    </row>
    <row r="17" spans="1:4" x14ac:dyDescent="0.25">
      <c r="A17" t="s">
        <v>4</v>
      </c>
      <c r="B17" t="s">
        <v>702</v>
      </c>
      <c r="C17" t="s">
        <v>3195</v>
      </c>
      <c r="D17">
        <v>7</v>
      </c>
    </row>
    <row r="18" spans="1:4" x14ac:dyDescent="0.25">
      <c r="A18" t="s">
        <v>4</v>
      </c>
      <c r="B18" t="s">
        <v>1040</v>
      </c>
      <c r="C18" t="s">
        <v>194</v>
      </c>
      <c r="D18">
        <v>9</v>
      </c>
    </row>
    <row r="19" spans="1:4" x14ac:dyDescent="0.25">
      <c r="A19" t="s">
        <v>4</v>
      </c>
      <c r="B19" t="s">
        <v>631</v>
      </c>
      <c r="C19" t="s">
        <v>3680</v>
      </c>
      <c r="D19">
        <v>11</v>
      </c>
    </row>
    <row r="20" spans="1:4" x14ac:dyDescent="0.25">
      <c r="A20" t="s">
        <v>4</v>
      </c>
      <c r="B20" t="s">
        <v>1437</v>
      </c>
      <c r="C20" t="s">
        <v>1357</v>
      </c>
      <c r="D20">
        <v>9</v>
      </c>
    </row>
    <row r="21" spans="1:4" x14ac:dyDescent="0.25">
      <c r="A21" t="s">
        <v>4</v>
      </c>
      <c r="B21" t="s">
        <v>1733</v>
      </c>
      <c r="C21" t="s">
        <v>326</v>
      </c>
      <c r="D21">
        <v>8</v>
      </c>
    </row>
    <row r="22" spans="1:4" x14ac:dyDescent="0.25">
      <c r="A22" t="s">
        <v>4</v>
      </c>
      <c r="B22" t="s">
        <v>1733</v>
      </c>
      <c r="C22" t="s">
        <v>199</v>
      </c>
      <c r="D22">
        <v>7</v>
      </c>
    </row>
    <row r="23" spans="1:4" x14ac:dyDescent="0.25">
      <c r="A23" t="s">
        <v>4</v>
      </c>
      <c r="B23" t="s">
        <v>422</v>
      </c>
      <c r="C23" t="s">
        <v>2518</v>
      </c>
      <c r="D23">
        <v>10</v>
      </c>
    </row>
    <row r="24" spans="1:4" x14ac:dyDescent="0.25">
      <c r="A24" t="s">
        <v>40</v>
      </c>
      <c r="B24" t="s">
        <v>1704</v>
      </c>
      <c r="C24" t="s">
        <v>923</v>
      </c>
      <c r="D24">
        <v>7</v>
      </c>
    </row>
    <row r="25" spans="1:4" x14ac:dyDescent="0.25">
      <c r="A25" t="s">
        <v>40</v>
      </c>
      <c r="B25" t="s">
        <v>427</v>
      </c>
      <c r="C25" t="s">
        <v>1207</v>
      </c>
      <c r="D25">
        <v>5</v>
      </c>
    </row>
    <row r="26" spans="1:4" x14ac:dyDescent="0.25">
      <c r="A26" t="s">
        <v>40</v>
      </c>
      <c r="B26" t="s">
        <v>83</v>
      </c>
      <c r="C26" t="s">
        <v>1025</v>
      </c>
      <c r="D26">
        <v>8</v>
      </c>
    </row>
    <row r="27" spans="1:4" x14ac:dyDescent="0.25">
      <c r="A27" t="s">
        <v>40</v>
      </c>
      <c r="B27" t="s">
        <v>458</v>
      </c>
      <c r="C27" t="s">
        <v>1026</v>
      </c>
      <c r="D27">
        <v>10</v>
      </c>
    </row>
    <row r="28" spans="1:4" x14ac:dyDescent="0.25">
      <c r="A28" t="s">
        <v>40</v>
      </c>
      <c r="B28" t="s">
        <v>621</v>
      </c>
      <c r="C28" t="s">
        <v>1028</v>
      </c>
      <c r="D28">
        <v>12</v>
      </c>
    </row>
    <row r="29" spans="1:4" x14ac:dyDescent="0.25">
      <c r="A29" t="s">
        <v>40</v>
      </c>
      <c r="B29" t="s">
        <v>914</v>
      </c>
      <c r="C29" t="s">
        <v>1368</v>
      </c>
      <c r="D29">
        <v>14</v>
      </c>
    </row>
    <row r="30" spans="1:4" x14ac:dyDescent="0.25">
      <c r="A30" t="s">
        <v>40</v>
      </c>
      <c r="B30" t="s">
        <v>363</v>
      </c>
      <c r="C30" t="s">
        <v>2929</v>
      </c>
      <c r="D30">
        <v>13</v>
      </c>
    </row>
    <row r="31" spans="1:4" x14ac:dyDescent="0.25">
      <c r="A31" t="s">
        <v>40</v>
      </c>
      <c r="B31" t="s">
        <v>517</v>
      </c>
      <c r="C31" t="s">
        <v>3089</v>
      </c>
      <c r="D31">
        <v>12</v>
      </c>
    </row>
    <row r="32" spans="1:4" x14ac:dyDescent="0.25">
      <c r="A32" t="s">
        <v>40</v>
      </c>
      <c r="B32" t="s">
        <v>517</v>
      </c>
      <c r="C32" t="s">
        <v>2930</v>
      </c>
      <c r="D32">
        <v>11</v>
      </c>
    </row>
    <row r="33" spans="1:4" x14ac:dyDescent="0.25">
      <c r="A33" t="s">
        <v>40</v>
      </c>
      <c r="B33" t="s">
        <v>517</v>
      </c>
      <c r="C33" t="s">
        <v>2931</v>
      </c>
      <c r="D33">
        <v>10</v>
      </c>
    </row>
    <row r="34" spans="1:4" x14ac:dyDescent="0.25">
      <c r="A34" t="s">
        <v>40</v>
      </c>
      <c r="B34" t="s">
        <v>804</v>
      </c>
      <c r="C34" t="s">
        <v>2650</v>
      </c>
      <c r="D34">
        <v>12</v>
      </c>
    </row>
    <row r="35" spans="1:4" x14ac:dyDescent="0.25">
      <c r="A35" t="s">
        <v>40</v>
      </c>
      <c r="B35" t="s">
        <v>887</v>
      </c>
      <c r="C35" t="s">
        <v>1035</v>
      </c>
      <c r="D35">
        <v>14</v>
      </c>
    </row>
    <row r="36" spans="1:4" x14ac:dyDescent="0.25">
      <c r="A36" t="s">
        <v>40</v>
      </c>
      <c r="B36" t="s">
        <v>225</v>
      </c>
      <c r="C36" t="s">
        <v>2933</v>
      </c>
      <c r="D36">
        <v>12</v>
      </c>
    </row>
    <row r="37" spans="1:4" x14ac:dyDescent="0.25">
      <c r="A37" t="s">
        <v>40</v>
      </c>
      <c r="B37" t="s">
        <v>667</v>
      </c>
      <c r="C37" t="s">
        <v>2814</v>
      </c>
      <c r="D37">
        <v>11</v>
      </c>
    </row>
    <row r="38" spans="1:4" x14ac:dyDescent="0.25">
      <c r="A38" t="s">
        <v>40</v>
      </c>
      <c r="B38" t="s">
        <v>473</v>
      </c>
      <c r="C38" t="s">
        <v>2934</v>
      </c>
      <c r="D38">
        <v>10</v>
      </c>
    </row>
    <row r="39" spans="1:4" x14ac:dyDescent="0.25">
      <c r="A39" t="s">
        <v>40</v>
      </c>
      <c r="B39" t="s">
        <v>1177</v>
      </c>
      <c r="C39" t="s">
        <v>2542</v>
      </c>
      <c r="D39">
        <v>11</v>
      </c>
    </row>
    <row r="40" spans="1:4" x14ac:dyDescent="0.25">
      <c r="A40" t="s">
        <v>40</v>
      </c>
      <c r="B40" t="s">
        <v>1177</v>
      </c>
      <c r="C40" t="s">
        <v>2543</v>
      </c>
      <c r="D40">
        <v>12</v>
      </c>
    </row>
    <row r="41" spans="1:4" x14ac:dyDescent="0.25">
      <c r="A41" t="s">
        <v>40</v>
      </c>
      <c r="B41" t="s">
        <v>392</v>
      </c>
      <c r="C41" t="s">
        <v>2977</v>
      </c>
      <c r="D41">
        <v>11</v>
      </c>
    </row>
    <row r="42" spans="1:4" x14ac:dyDescent="0.25">
      <c r="A42" t="s">
        <v>40</v>
      </c>
      <c r="B42" t="s">
        <v>392</v>
      </c>
      <c r="C42" t="s">
        <v>2544</v>
      </c>
      <c r="D42">
        <v>10</v>
      </c>
    </row>
    <row r="43" spans="1:4" x14ac:dyDescent="0.25">
      <c r="A43" t="s">
        <v>40</v>
      </c>
      <c r="B43" t="s">
        <v>634</v>
      </c>
      <c r="C43" t="s">
        <v>2162</v>
      </c>
      <c r="D43">
        <v>9</v>
      </c>
    </row>
    <row r="44" spans="1:4" x14ac:dyDescent="0.25">
      <c r="A44" t="s">
        <v>40</v>
      </c>
      <c r="B44" t="s">
        <v>634</v>
      </c>
      <c r="C44" t="s">
        <v>1937</v>
      </c>
      <c r="D44">
        <v>8</v>
      </c>
    </row>
    <row r="45" spans="1:4" x14ac:dyDescent="0.25">
      <c r="A45" t="s">
        <v>40</v>
      </c>
      <c r="B45" t="s">
        <v>1646</v>
      </c>
      <c r="C45" t="s">
        <v>1446</v>
      </c>
      <c r="D45">
        <v>10</v>
      </c>
    </row>
    <row r="46" spans="1:4" x14ac:dyDescent="0.25">
      <c r="A46" t="s">
        <v>40</v>
      </c>
      <c r="B46" t="s">
        <v>770</v>
      </c>
      <c r="C46" t="s">
        <v>1589</v>
      </c>
      <c r="D46">
        <v>9</v>
      </c>
    </row>
    <row r="47" spans="1:4" x14ac:dyDescent="0.25">
      <c r="A47" t="s">
        <v>40</v>
      </c>
      <c r="B47" t="s">
        <v>770</v>
      </c>
      <c r="C47" t="s">
        <v>4189</v>
      </c>
      <c r="D47">
        <v>8</v>
      </c>
    </row>
    <row r="48" spans="1:4" x14ac:dyDescent="0.25">
      <c r="A48" t="s">
        <v>40</v>
      </c>
      <c r="B48" t="s">
        <v>772</v>
      </c>
      <c r="C48" t="s">
        <v>2980</v>
      </c>
      <c r="D48">
        <v>9</v>
      </c>
    </row>
    <row r="49" spans="1:4" x14ac:dyDescent="0.25">
      <c r="A49" t="s">
        <v>40</v>
      </c>
      <c r="B49" t="s">
        <v>772</v>
      </c>
      <c r="C49" t="s">
        <v>2910</v>
      </c>
      <c r="D49">
        <v>10</v>
      </c>
    </row>
    <row r="50" spans="1:4" x14ac:dyDescent="0.25">
      <c r="A50" t="s">
        <v>40</v>
      </c>
      <c r="B50" t="s">
        <v>559</v>
      </c>
      <c r="C50" t="s">
        <v>1139</v>
      </c>
      <c r="D50">
        <v>8</v>
      </c>
    </row>
    <row r="51" spans="1:4" x14ac:dyDescent="0.25">
      <c r="A51" t="s">
        <v>80</v>
      </c>
      <c r="B51" t="s">
        <v>352</v>
      </c>
      <c r="C51" t="s">
        <v>1141</v>
      </c>
      <c r="D51">
        <v>10</v>
      </c>
    </row>
    <row r="52" spans="1:4" x14ac:dyDescent="0.25">
      <c r="A52" t="s">
        <v>80</v>
      </c>
      <c r="B52" t="s">
        <v>1973</v>
      </c>
      <c r="C52" t="s">
        <v>2816</v>
      </c>
      <c r="D52">
        <v>13</v>
      </c>
    </row>
    <row r="53" spans="1:4" x14ac:dyDescent="0.25">
      <c r="A53" t="s">
        <v>80</v>
      </c>
      <c r="B53" t="s">
        <v>132</v>
      </c>
      <c r="C53" t="s">
        <v>2817</v>
      </c>
      <c r="D53">
        <v>15</v>
      </c>
    </row>
    <row r="54" spans="1:4" x14ac:dyDescent="0.25">
      <c r="A54" t="s">
        <v>80</v>
      </c>
      <c r="B54" t="s">
        <v>333</v>
      </c>
      <c r="C54" t="s">
        <v>3684</v>
      </c>
      <c r="D54">
        <v>13</v>
      </c>
    </row>
    <row r="55" spans="1:4" x14ac:dyDescent="0.25">
      <c r="A55" t="s">
        <v>80</v>
      </c>
      <c r="B55" t="s">
        <v>832</v>
      </c>
      <c r="C55" t="s">
        <v>2981</v>
      </c>
      <c r="D55">
        <v>15</v>
      </c>
    </row>
    <row r="56" spans="1:4" x14ac:dyDescent="0.25">
      <c r="A56" t="s">
        <v>80</v>
      </c>
      <c r="B56" t="s">
        <v>366</v>
      </c>
      <c r="C56" t="s">
        <v>1677</v>
      </c>
      <c r="D56">
        <v>13</v>
      </c>
    </row>
    <row r="57" spans="1:4" x14ac:dyDescent="0.25">
      <c r="A57" t="s">
        <v>80</v>
      </c>
      <c r="B57" t="s">
        <v>499</v>
      </c>
      <c r="C57" t="s">
        <v>1678</v>
      </c>
      <c r="D57">
        <v>10</v>
      </c>
    </row>
    <row r="58" spans="1:4" x14ac:dyDescent="0.25">
      <c r="A58" t="s">
        <v>80</v>
      </c>
      <c r="B58" t="s">
        <v>19</v>
      </c>
      <c r="C58" t="s">
        <v>2365</v>
      </c>
      <c r="D58">
        <v>13</v>
      </c>
    </row>
    <row r="59" spans="1:4" x14ac:dyDescent="0.25">
      <c r="A59" t="s">
        <v>80</v>
      </c>
      <c r="B59" t="s">
        <v>435</v>
      </c>
      <c r="C59" t="s">
        <v>1601</v>
      </c>
      <c r="D59">
        <v>10</v>
      </c>
    </row>
    <row r="60" spans="1:4" x14ac:dyDescent="0.25">
      <c r="A60" t="s">
        <v>80</v>
      </c>
      <c r="B60" t="s">
        <v>541</v>
      </c>
      <c r="C60" t="s">
        <v>1155</v>
      </c>
      <c r="D60">
        <v>8</v>
      </c>
    </row>
    <row r="61" spans="1:4" x14ac:dyDescent="0.25">
      <c r="A61" t="s">
        <v>80</v>
      </c>
      <c r="B61" t="s">
        <v>766</v>
      </c>
      <c r="C61" t="s">
        <v>4015</v>
      </c>
      <c r="D61">
        <v>7</v>
      </c>
    </row>
    <row r="62" spans="1:4" x14ac:dyDescent="0.25">
      <c r="A62" t="s">
        <v>80</v>
      </c>
      <c r="B62" t="s">
        <v>766</v>
      </c>
      <c r="C62" t="s">
        <v>3583</v>
      </c>
      <c r="D62">
        <v>6</v>
      </c>
    </row>
    <row r="63" spans="1:4" x14ac:dyDescent="0.25">
      <c r="A63" t="s">
        <v>80</v>
      </c>
      <c r="B63" t="s">
        <v>414</v>
      </c>
      <c r="C63" t="s">
        <v>1835</v>
      </c>
      <c r="D63">
        <v>4</v>
      </c>
    </row>
    <row r="64" spans="1:4" x14ac:dyDescent="0.25">
      <c r="A64" t="s">
        <v>80</v>
      </c>
      <c r="B64" t="s">
        <v>27</v>
      </c>
      <c r="C64" t="s">
        <v>495</v>
      </c>
      <c r="D64">
        <v>5</v>
      </c>
    </row>
    <row r="65" spans="1:4" x14ac:dyDescent="0.25">
      <c r="A65" t="s">
        <v>80</v>
      </c>
      <c r="B65" t="s">
        <v>1990</v>
      </c>
      <c r="C65" t="s">
        <v>2492</v>
      </c>
      <c r="D65">
        <v>3</v>
      </c>
    </row>
    <row r="66" spans="1:4" x14ac:dyDescent="0.25">
      <c r="A66" t="s">
        <v>80</v>
      </c>
      <c r="B66" t="s">
        <v>1646</v>
      </c>
      <c r="C66" t="s">
        <v>1531</v>
      </c>
      <c r="D66">
        <v>4</v>
      </c>
    </row>
    <row r="67" spans="1:4" x14ac:dyDescent="0.25">
      <c r="A67" t="s">
        <v>80</v>
      </c>
      <c r="B67" t="s">
        <v>1646</v>
      </c>
      <c r="C67" t="s">
        <v>2176</v>
      </c>
      <c r="D67">
        <v>5</v>
      </c>
    </row>
    <row r="68" spans="1:4" x14ac:dyDescent="0.25">
      <c r="A68" t="s">
        <v>80</v>
      </c>
      <c r="B68" t="s">
        <v>1002</v>
      </c>
      <c r="C68" t="s">
        <v>2177</v>
      </c>
      <c r="D68">
        <v>4</v>
      </c>
    </row>
    <row r="69" spans="1:4" x14ac:dyDescent="0.25">
      <c r="A69" t="s">
        <v>80</v>
      </c>
      <c r="B69" t="s">
        <v>1002</v>
      </c>
      <c r="C69" t="s">
        <v>2178</v>
      </c>
      <c r="D69">
        <v>3</v>
      </c>
    </row>
    <row r="70" spans="1:4" x14ac:dyDescent="0.25">
      <c r="A70" t="s">
        <v>80</v>
      </c>
      <c r="B70" t="s">
        <v>78</v>
      </c>
      <c r="C70" t="s">
        <v>1605</v>
      </c>
      <c r="D70">
        <v>5</v>
      </c>
    </row>
    <row r="71" spans="1:4" x14ac:dyDescent="0.25">
      <c r="A71" t="s">
        <v>123</v>
      </c>
      <c r="B71" t="s">
        <v>1208</v>
      </c>
      <c r="C71" t="s">
        <v>1606</v>
      </c>
      <c r="D71">
        <v>7</v>
      </c>
    </row>
    <row r="72" spans="1:4" x14ac:dyDescent="0.25">
      <c r="A72" t="s">
        <v>123</v>
      </c>
      <c r="B72" t="s">
        <v>1267</v>
      </c>
      <c r="C72" t="s">
        <v>502</v>
      </c>
      <c r="D72">
        <v>4</v>
      </c>
    </row>
    <row r="73" spans="1:4" x14ac:dyDescent="0.25">
      <c r="A73" t="s">
        <v>123</v>
      </c>
      <c r="B73" t="s">
        <v>691</v>
      </c>
      <c r="C73" t="s">
        <v>1167</v>
      </c>
      <c r="D73">
        <v>5</v>
      </c>
    </row>
    <row r="74" spans="1:4" x14ac:dyDescent="0.25">
      <c r="A74" t="s">
        <v>123</v>
      </c>
      <c r="B74" t="s">
        <v>691</v>
      </c>
      <c r="C74" t="s">
        <v>2278</v>
      </c>
      <c r="D74">
        <v>6</v>
      </c>
    </row>
    <row r="75" spans="1:4" x14ac:dyDescent="0.25">
      <c r="A75" t="s">
        <v>123</v>
      </c>
      <c r="B75" t="s">
        <v>588</v>
      </c>
      <c r="C75" t="s">
        <v>395</v>
      </c>
      <c r="D75">
        <v>5</v>
      </c>
    </row>
    <row r="76" spans="1:4" x14ac:dyDescent="0.25">
      <c r="A76" t="s">
        <v>123</v>
      </c>
      <c r="B76" t="s">
        <v>588</v>
      </c>
      <c r="C76" t="s">
        <v>1841</v>
      </c>
      <c r="D76">
        <v>4</v>
      </c>
    </row>
    <row r="77" spans="1:4" x14ac:dyDescent="0.25">
      <c r="A77" t="s">
        <v>123</v>
      </c>
      <c r="B77" t="s">
        <v>1453</v>
      </c>
      <c r="C77" t="s">
        <v>2553</v>
      </c>
      <c r="D77">
        <v>6</v>
      </c>
    </row>
    <row r="78" spans="1:4" x14ac:dyDescent="0.25">
      <c r="A78" t="s">
        <v>123</v>
      </c>
      <c r="B78" t="s">
        <v>643</v>
      </c>
      <c r="C78" t="s">
        <v>1957</v>
      </c>
      <c r="D78">
        <v>4</v>
      </c>
    </row>
    <row r="79" spans="1:4" x14ac:dyDescent="0.25">
      <c r="A79" t="s">
        <v>123</v>
      </c>
      <c r="B79" t="s">
        <v>1065</v>
      </c>
      <c r="C79" t="s">
        <v>509</v>
      </c>
      <c r="D79">
        <v>2</v>
      </c>
    </row>
    <row r="80" spans="1:4" x14ac:dyDescent="0.25">
      <c r="A80" t="s">
        <v>123</v>
      </c>
      <c r="B80" t="s">
        <v>2431</v>
      </c>
      <c r="C80" t="s">
        <v>1738</v>
      </c>
      <c r="D80">
        <v>4</v>
      </c>
    </row>
    <row r="81" spans="1:4" x14ac:dyDescent="0.25">
      <c r="A81" t="s">
        <v>123</v>
      </c>
      <c r="B81" t="s">
        <v>1288</v>
      </c>
      <c r="C81" t="s">
        <v>1959</v>
      </c>
      <c r="D81">
        <v>6</v>
      </c>
    </row>
    <row r="82" spans="1:4" x14ac:dyDescent="0.25">
      <c r="A82" t="s">
        <v>123</v>
      </c>
      <c r="B82" t="s">
        <v>743</v>
      </c>
      <c r="C82" t="s">
        <v>2554</v>
      </c>
      <c r="D82">
        <v>5</v>
      </c>
    </row>
    <row r="83" spans="1:4" x14ac:dyDescent="0.25">
      <c r="A83" t="s">
        <v>123</v>
      </c>
      <c r="B83" t="s">
        <v>339</v>
      </c>
      <c r="C83" t="s">
        <v>2731</v>
      </c>
      <c r="D83">
        <v>6</v>
      </c>
    </row>
    <row r="84" spans="1:4" x14ac:dyDescent="0.25">
      <c r="A84" t="s">
        <v>123</v>
      </c>
      <c r="B84" t="s">
        <v>469</v>
      </c>
      <c r="C84" t="s">
        <v>1178</v>
      </c>
      <c r="D84">
        <v>4</v>
      </c>
    </row>
    <row r="85" spans="1:4" x14ac:dyDescent="0.25">
      <c r="A85" t="s">
        <v>123</v>
      </c>
      <c r="B85" t="s">
        <v>1638</v>
      </c>
      <c r="C85" t="s">
        <v>765</v>
      </c>
      <c r="D85">
        <v>7</v>
      </c>
    </row>
    <row r="86" spans="1:4" x14ac:dyDescent="0.25">
      <c r="A86" t="s">
        <v>123</v>
      </c>
      <c r="B86" t="s">
        <v>1619</v>
      </c>
      <c r="C86" t="s">
        <v>2996</v>
      </c>
      <c r="D86">
        <v>10</v>
      </c>
    </row>
    <row r="87" spans="1:4" x14ac:dyDescent="0.25">
      <c r="A87" t="s">
        <v>123</v>
      </c>
      <c r="B87" t="s">
        <v>417</v>
      </c>
      <c r="C87" t="s">
        <v>415</v>
      </c>
      <c r="D87">
        <v>9</v>
      </c>
    </row>
    <row r="88" spans="1:4" x14ac:dyDescent="0.25">
      <c r="A88" t="s">
        <v>123</v>
      </c>
      <c r="B88" t="s">
        <v>1132</v>
      </c>
      <c r="C88" t="s">
        <v>1848</v>
      </c>
      <c r="D88">
        <v>8</v>
      </c>
    </row>
    <row r="89" spans="1:4" x14ac:dyDescent="0.25">
      <c r="A89" t="s">
        <v>123</v>
      </c>
      <c r="B89" t="s">
        <v>294</v>
      </c>
      <c r="C89" t="s">
        <v>2558</v>
      </c>
      <c r="D89">
        <v>9</v>
      </c>
    </row>
    <row r="90" spans="1:4" x14ac:dyDescent="0.25">
      <c r="A90" t="s">
        <v>123</v>
      </c>
      <c r="B90" t="s">
        <v>294</v>
      </c>
      <c r="C90" t="s">
        <v>2678</v>
      </c>
      <c r="D90">
        <v>10</v>
      </c>
    </row>
    <row r="91" spans="1:4" x14ac:dyDescent="0.25">
      <c r="A91" t="s">
        <v>123</v>
      </c>
      <c r="B91" t="s">
        <v>537</v>
      </c>
      <c r="C91" t="s">
        <v>4190</v>
      </c>
      <c r="D91">
        <v>11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7.8777777777777782</v>
      </c>
    </row>
    <row r="95" spans="1:4" x14ac:dyDescent="0.25">
      <c r="A95" t="s">
        <v>159</v>
      </c>
      <c r="D95">
        <f>MAX(D2:D91)</f>
        <v>15</v>
      </c>
    </row>
    <row r="96" spans="1:4" x14ac:dyDescent="0.25">
      <c r="A96" t="s">
        <v>160</v>
      </c>
      <c r="D96">
        <f>MIN(D2:D91)</f>
        <v>2</v>
      </c>
    </row>
    <row r="97" spans="1:4" x14ac:dyDescent="0.25">
      <c r="A97" t="s">
        <v>161</v>
      </c>
      <c r="D97">
        <f>COUNTIF(D2:D91,"&gt;0")</f>
        <v>90</v>
      </c>
    </row>
    <row r="98" spans="1:4" x14ac:dyDescent="0.25">
      <c r="A98" t="s">
        <v>162</v>
      </c>
      <c r="D98">
        <f>COUNTIF(D2:D91,"=0")</f>
        <v>0</v>
      </c>
    </row>
    <row r="99" spans="1:4" x14ac:dyDescent="0.25">
      <c r="A99" t="s">
        <v>2920</v>
      </c>
      <c r="D99">
        <f>COUNTIF(D2:D91,"&lt;0")</f>
        <v>0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AVERAGE(D2,D3,D4,D5,D6,D7,D8,D9,D10,D11,D12,D13,D14,D15,D16,D17,D18,D19,D20,D21,D22,D23)</f>
        <v>6.1363636363636367</v>
      </c>
    </row>
    <row r="103" spans="1:4" x14ac:dyDescent="0.25">
      <c r="A103" t="s">
        <v>166</v>
      </c>
      <c r="D103">
        <f>AVERAGE(D24,D25,D26,D27,D28,D29,D30,D31,D32,D33,D34,D35,D36,D37,D38,D39,D40,D41,D42,D43,D44,D45,D46,D47,D48,D49,D50)</f>
        <v>10.222222222222221</v>
      </c>
    </row>
    <row r="104" spans="1:4" x14ac:dyDescent="0.25">
      <c r="A104" t="s">
        <v>167</v>
      </c>
      <c r="D104">
        <f>AVERAGE(D51,D52,D53,D54,D55,D56,D57,D58,D59,D60,D61,D62,D63,D64,D65,D66,D67,D68,D69,D70)</f>
        <v>8.3000000000000007</v>
      </c>
    </row>
    <row r="105" spans="1:4" x14ac:dyDescent="0.25">
      <c r="A105" t="s">
        <v>168</v>
      </c>
      <c r="D105">
        <f>AVERAGE(D71,D72,D73,D74,D75,D76,D77,D78,D79,D80,D81,D82,D83,D84,D85,D86,D87,D88,D89,D90,D91)</f>
        <v>6.2857142857142856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1648</v>
      </c>
      <c r="C2" t="s">
        <v>1008</v>
      </c>
      <c r="D2">
        <v>-3</v>
      </c>
    </row>
    <row r="3" spans="1:4" x14ac:dyDescent="0.25">
      <c r="A3" t="s">
        <v>4</v>
      </c>
      <c r="B3" t="s">
        <v>128</v>
      </c>
      <c r="C3" t="s">
        <v>1191</v>
      </c>
      <c r="D3">
        <v>0</v>
      </c>
    </row>
    <row r="4" spans="1:4" x14ac:dyDescent="0.25">
      <c r="A4" t="s">
        <v>4</v>
      </c>
      <c r="B4" t="s">
        <v>2443</v>
      </c>
      <c r="C4" t="s">
        <v>1494</v>
      </c>
      <c r="D4">
        <v>-3</v>
      </c>
    </row>
    <row r="5" spans="1:4" x14ac:dyDescent="0.25">
      <c r="A5" t="s">
        <v>4</v>
      </c>
      <c r="B5" t="s">
        <v>759</v>
      </c>
      <c r="C5" t="s">
        <v>2200</v>
      </c>
      <c r="D5">
        <v>-5</v>
      </c>
    </row>
    <row r="6" spans="1:4" x14ac:dyDescent="0.25">
      <c r="A6" t="s">
        <v>4</v>
      </c>
      <c r="B6" t="s">
        <v>364</v>
      </c>
      <c r="C6" t="s">
        <v>1109</v>
      </c>
      <c r="D6">
        <v>-3</v>
      </c>
    </row>
    <row r="7" spans="1:4" x14ac:dyDescent="0.25">
      <c r="A7" t="s">
        <v>4</v>
      </c>
      <c r="B7" t="s">
        <v>834</v>
      </c>
      <c r="C7" t="s">
        <v>1635</v>
      </c>
      <c r="D7">
        <v>-5</v>
      </c>
    </row>
    <row r="8" spans="1:4" x14ac:dyDescent="0.25">
      <c r="A8" t="s">
        <v>4</v>
      </c>
      <c r="B8" t="s">
        <v>2032</v>
      </c>
      <c r="C8" t="s">
        <v>915</v>
      </c>
      <c r="D8">
        <v>-2</v>
      </c>
    </row>
    <row r="9" spans="1:4" x14ac:dyDescent="0.25">
      <c r="A9" t="s">
        <v>4</v>
      </c>
      <c r="B9" t="s">
        <v>62</v>
      </c>
      <c r="C9" t="s">
        <v>3697</v>
      </c>
      <c r="D9">
        <v>-5</v>
      </c>
    </row>
    <row r="10" spans="1:4" x14ac:dyDescent="0.25">
      <c r="A10" t="s">
        <v>4</v>
      </c>
      <c r="B10" t="s">
        <v>943</v>
      </c>
      <c r="C10" t="s">
        <v>1925</v>
      </c>
      <c r="D10">
        <v>-3</v>
      </c>
    </row>
    <row r="11" spans="1:4" x14ac:dyDescent="0.25">
      <c r="A11" t="s">
        <v>4</v>
      </c>
      <c r="B11" t="s">
        <v>887</v>
      </c>
      <c r="C11" t="s">
        <v>30</v>
      </c>
      <c r="D11">
        <v>-1</v>
      </c>
    </row>
    <row r="12" spans="1:4" x14ac:dyDescent="0.25">
      <c r="A12" t="s">
        <v>4</v>
      </c>
      <c r="B12" t="s">
        <v>378</v>
      </c>
      <c r="C12" t="s">
        <v>2119</v>
      </c>
      <c r="D12">
        <v>-2</v>
      </c>
    </row>
    <row r="13" spans="1:4" x14ac:dyDescent="0.25">
      <c r="A13" t="s">
        <v>4</v>
      </c>
      <c r="B13" t="s">
        <v>1040</v>
      </c>
      <c r="C13" t="s">
        <v>3667</v>
      </c>
      <c r="D13">
        <v>-4</v>
      </c>
    </row>
    <row r="14" spans="1:4" x14ac:dyDescent="0.25">
      <c r="A14" t="s">
        <v>4</v>
      </c>
      <c r="B14" t="s">
        <v>228</v>
      </c>
      <c r="C14" t="s">
        <v>3554</v>
      </c>
      <c r="D14">
        <v>-6</v>
      </c>
    </row>
    <row r="15" spans="1:4" x14ac:dyDescent="0.25">
      <c r="A15" t="s">
        <v>4</v>
      </c>
      <c r="B15" t="s">
        <v>148</v>
      </c>
      <c r="C15" t="s">
        <v>1703</v>
      </c>
      <c r="D15">
        <v>-7</v>
      </c>
    </row>
    <row r="16" spans="1:4" x14ac:dyDescent="0.25">
      <c r="A16" t="s">
        <v>4</v>
      </c>
      <c r="B16" t="s">
        <v>1940</v>
      </c>
      <c r="C16" t="s">
        <v>4191</v>
      </c>
      <c r="D16">
        <v>-9</v>
      </c>
    </row>
    <row r="17" spans="1:4" x14ac:dyDescent="0.25">
      <c r="A17" t="s">
        <v>4</v>
      </c>
      <c r="B17" t="s">
        <v>1339</v>
      </c>
      <c r="C17" t="s">
        <v>4099</v>
      </c>
      <c r="D17">
        <v>-7</v>
      </c>
    </row>
    <row r="18" spans="1:4" x14ac:dyDescent="0.25">
      <c r="A18" t="s">
        <v>4</v>
      </c>
      <c r="B18" t="s">
        <v>1437</v>
      </c>
      <c r="C18" t="s">
        <v>2701</v>
      </c>
      <c r="D18">
        <v>-5</v>
      </c>
    </row>
    <row r="19" spans="1:4" x14ac:dyDescent="0.25">
      <c r="A19" t="s">
        <v>4</v>
      </c>
      <c r="B19" t="s">
        <v>74</v>
      </c>
      <c r="C19" t="s">
        <v>2403</v>
      </c>
      <c r="D19">
        <v>-8</v>
      </c>
    </row>
    <row r="20" spans="1:4" x14ac:dyDescent="0.25">
      <c r="A20" t="s">
        <v>40</v>
      </c>
      <c r="B20" t="s">
        <v>1704</v>
      </c>
      <c r="C20" t="s">
        <v>2404</v>
      </c>
      <c r="D20">
        <v>-6</v>
      </c>
    </row>
    <row r="21" spans="1:4" x14ac:dyDescent="0.25">
      <c r="A21" t="s">
        <v>40</v>
      </c>
      <c r="B21" t="s">
        <v>1704</v>
      </c>
      <c r="C21" t="s">
        <v>46</v>
      </c>
      <c r="D21">
        <v>-5</v>
      </c>
    </row>
    <row r="22" spans="1:4" x14ac:dyDescent="0.25">
      <c r="A22" t="s">
        <v>40</v>
      </c>
      <c r="B22" t="s">
        <v>757</v>
      </c>
      <c r="C22" t="s">
        <v>48</v>
      </c>
      <c r="D22">
        <v>-3</v>
      </c>
    </row>
    <row r="23" spans="1:4" x14ac:dyDescent="0.25">
      <c r="A23" t="s">
        <v>40</v>
      </c>
      <c r="B23" t="s">
        <v>244</v>
      </c>
      <c r="C23" t="s">
        <v>2329</v>
      </c>
      <c r="D23">
        <v>-4</v>
      </c>
    </row>
    <row r="24" spans="1:4" x14ac:dyDescent="0.25">
      <c r="A24" t="s">
        <v>40</v>
      </c>
      <c r="B24" t="s">
        <v>244</v>
      </c>
      <c r="C24" t="s">
        <v>50</v>
      </c>
      <c r="D24">
        <v>-5</v>
      </c>
    </row>
    <row r="25" spans="1:4" x14ac:dyDescent="0.25">
      <c r="A25" t="s">
        <v>40</v>
      </c>
      <c r="B25" t="s">
        <v>400</v>
      </c>
      <c r="C25" t="s">
        <v>3832</v>
      </c>
      <c r="D25">
        <v>-7</v>
      </c>
    </row>
    <row r="26" spans="1:4" x14ac:dyDescent="0.25">
      <c r="A26" t="s">
        <v>40</v>
      </c>
      <c r="B26" t="s">
        <v>2074</v>
      </c>
      <c r="C26" t="s">
        <v>3833</v>
      </c>
      <c r="D26">
        <v>-5</v>
      </c>
    </row>
    <row r="27" spans="1:4" x14ac:dyDescent="0.25">
      <c r="A27" t="s">
        <v>40</v>
      </c>
      <c r="B27" t="s">
        <v>2074</v>
      </c>
      <c r="C27" t="s">
        <v>2207</v>
      </c>
      <c r="D27">
        <v>-4</v>
      </c>
    </row>
    <row r="28" spans="1:4" x14ac:dyDescent="0.25">
      <c r="A28" t="s">
        <v>40</v>
      </c>
      <c r="B28" t="s">
        <v>364</v>
      </c>
      <c r="C28" t="s">
        <v>597</v>
      </c>
      <c r="D28">
        <v>-2</v>
      </c>
    </row>
    <row r="29" spans="1:4" x14ac:dyDescent="0.25">
      <c r="A29" t="s">
        <v>40</v>
      </c>
      <c r="B29" t="s">
        <v>2032</v>
      </c>
      <c r="C29" t="s">
        <v>1715</v>
      </c>
      <c r="D29">
        <v>-3</v>
      </c>
    </row>
    <row r="30" spans="1:4" x14ac:dyDescent="0.25">
      <c r="A30" t="s">
        <v>40</v>
      </c>
      <c r="B30" t="s">
        <v>1230</v>
      </c>
      <c r="C30" t="s">
        <v>2209</v>
      </c>
      <c r="D30">
        <v>-5</v>
      </c>
    </row>
    <row r="31" spans="1:4" x14ac:dyDescent="0.25">
      <c r="A31" t="s">
        <v>40</v>
      </c>
      <c r="B31" t="s">
        <v>2562</v>
      </c>
      <c r="C31" t="s">
        <v>1514</v>
      </c>
      <c r="D31">
        <v>-2</v>
      </c>
    </row>
    <row r="32" spans="1:4" x14ac:dyDescent="0.25">
      <c r="A32" t="s">
        <v>40</v>
      </c>
      <c r="B32" t="s">
        <v>225</v>
      </c>
      <c r="C32" t="s">
        <v>1716</v>
      </c>
      <c r="D32">
        <v>-4</v>
      </c>
    </row>
    <row r="33" spans="1:4" x14ac:dyDescent="0.25">
      <c r="A33" t="s">
        <v>40</v>
      </c>
      <c r="B33" t="s">
        <v>546</v>
      </c>
      <c r="C33" t="s">
        <v>2485</v>
      </c>
      <c r="D33">
        <v>-5</v>
      </c>
    </row>
    <row r="34" spans="1:4" x14ac:dyDescent="0.25">
      <c r="A34" t="s">
        <v>40</v>
      </c>
      <c r="B34" t="s">
        <v>546</v>
      </c>
      <c r="C34" t="s">
        <v>606</v>
      </c>
      <c r="D34">
        <v>-6</v>
      </c>
    </row>
    <row r="35" spans="1:4" x14ac:dyDescent="0.25">
      <c r="A35" t="s">
        <v>40</v>
      </c>
      <c r="B35" t="s">
        <v>710</v>
      </c>
      <c r="C35" t="s">
        <v>2761</v>
      </c>
      <c r="D35">
        <v>-7</v>
      </c>
    </row>
    <row r="36" spans="1:4" x14ac:dyDescent="0.25">
      <c r="A36" t="s">
        <v>40</v>
      </c>
      <c r="B36" t="s">
        <v>710</v>
      </c>
      <c r="C36" t="s">
        <v>608</v>
      </c>
      <c r="D36">
        <v>-8</v>
      </c>
    </row>
    <row r="37" spans="1:4" x14ac:dyDescent="0.25">
      <c r="A37" t="s">
        <v>40</v>
      </c>
      <c r="B37" t="s">
        <v>1113</v>
      </c>
      <c r="C37" t="s">
        <v>609</v>
      </c>
      <c r="D37">
        <v>-5</v>
      </c>
    </row>
    <row r="38" spans="1:4" x14ac:dyDescent="0.25">
      <c r="A38" t="s">
        <v>40</v>
      </c>
      <c r="B38" t="s">
        <v>582</v>
      </c>
      <c r="C38" t="s">
        <v>2362</v>
      </c>
      <c r="D38">
        <v>-3</v>
      </c>
    </row>
    <row r="39" spans="1:4" x14ac:dyDescent="0.25">
      <c r="A39" t="s">
        <v>40</v>
      </c>
      <c r="B39" t="s">
        <v>348</v>
      </c>
      <c r="C39" t="s">
        <v>1720</v>
      </c>
      <c r="D39">
        <v>-4</v>
      </c>
    </row>
    <row r="40" spans="1:4" x14ac:dyDescent="0.25">
      <c r="A40" t="s">
        <v>40</v>
      </c>
      <c r="B40" t="s">
        <v>1489</v>
      </c>
      <c r="C40" t="s">
        <v>2763</v>
      </c>
      <c r="D40">
        <v>-2</v>
      </c>
    </row>
    <row r="41" spans="1:4" x14ac:dyDescent="0.25">
      <c r="A41" t="s">
        <v>80</v>
      </c>
      <c r="B41" t="s">
        <v>857</v>
      </c>
      <c r="C41" t="s">
        <v>236</v>
      </c>
      <c r="D41">
        <v>-4</v>
      </c>
    </row>
    <row r="42" spans="1:4" x14ac:dyDescent="0.25">
      <c r="A42" t="s">
        <v>80</v>
      </c>
      <c r="B42" t="s">
        <v>1116</v>
      </c>
      <c r="C42" t="s">
        <v>238</v>
      </c>
      <c r="D42">
        <v>-2</v>
      </c>
    </row>
    <row r="43" spans="1:4" x14ac:dyDescent="0.25">
      <c r="A43" t="s">
        <v>80</v>
      </c>
      <c r="B43" t="s">
        <v>273</v>
      </c>
      <c r="C43" t="s">
        <v>362</v>
      </c>
      <c r="D43">
        <v>1</v>
      </c>
    </row>
    <row r="44" spans="1:4" x14ac:dyDescent="0.25">
      <c r="A44" t="s">
        <v>80</v>
      </c>
      <c r="B44" t="s">
        <v>1192</v>
      </c>
      <c r="C44" t="s">
        <v>243</v>
      </c>
      <c r="D44">
        <v>-1</v>
      </c>
    </row>
    <row r="45" spans="1:4" x14ac:dyDescent="0.25">
      <c r="A45" t="s">
        <v>80</v>
      </c>
      <c r="B45" t="s">
        <v>355</v>
      </c>
      <c r="C45" t="s">
        <v>365</v>
      </c>
      <c r="D45">
        <v>2</v>
      </c>
    </row>
    <row r="46" spans="1:4" x14ac:dyDescent="0.25">
      <c r="A46" t="s">
        <v>80</v>
      </c>
      <c r="B46" t="s">
        <v>1453</v>
      </c>
      <c r="C46" t="s">
        <v>1226</v>
      </c>
      <c r="D46">
        <v>1</v>
      </c>
    </row>
    <row r="47" spans="1:4" x14ac:dyDescent="0.25">
      <c r="A47" t="s">
        <v>80</v>
      </c>
      <c r="B47" t="s">
        <v>1453</v>
      </c>
      <c r="C47" t="s">
        <v>367</v>
      </c>
      <c r="D47">
        <v>0</v>
      </c>
    </row>
    <row r="48" spans="1:4" x14ac:dyDescent="0.25">
      <c r="A48" t="s">
        <v>80</v>
      </c>
      <c r="B48" t="s">
        <v>250</v>
      </c>
      <c r="C48" t="s">
        <v>369</v>
      </c>
      <c r="D48">
        <v>3</v>
      </c>
    </row>
    <row r="49" spans="1:4" x14ac:dyDescent="0.25">
      <c r="A49" t="s">
        <v>80</v>
      </c>
      <c r="B49" t="s">
        <v>832</v>
      </c>
      <c r="C49" t="s">
        <v>488</v>
      </c>
      <c r="D49">
        <v>6</v>
      </c>
    </row>
    <row r="50" spans="1:4" x14ac:dyDescent="0.25">
      <c r="A50" t="s">
        <v>80</v>
      </c>
      <c r="B50" t="s">
        <v>335</v>
      </c>
      <c r="C50" t="s">
        <v>489</v>
      </c>
      <c r="D50">
        <v>4</v>
      </c>
    </row>
    <row r="51" spans="1:4" x14ac:dyDescent="0.25">
      <c r="A51" t="s">
        <v>80</v>
      </c>
      <c r="B51" t="s">
        <v>366</v>
      </c>
      <c r="C51" t="s">
        <v>4192</v>
      </c>
      <c r="D51">
        <v>3</v>
      </c>
    </row>
    <row r="52" spans="1:4" x14ac:dyDescent="0.25">
      <c r="A52" t="s">
        <v>80</v>
      </c>
      <c r="B52" t="s">
        <v>366</v>
      </c>
      <c r="C52" t="s">
        <v>3963</v>
      </c>
      <c r="D52">
        <v>2</v>
      </c>
    </row>
    <row r="53" spans="1:4" x14ac:dyDescent="0.25">
      <c r="A53" t="s">
        <v>80</v>
      </c>
      <c r="B53" t="s">
        <v>2032</v>
      </c>
      <c r="C53" t="s">
        <v>1526</v>
      </c>
      <c r="D53">
        <v>5</v>
      </c>
    </row>
    <row r="54" spans="1:4" x14ac:dyDescent="0.25">
      <c r="A54" t="s">
        <v>80</v>
      </c>
      <c r="B54" t="s">
        <v>2311</v>
      </c>
      <c r="C54" t="s">
        <v>2728</v>
      </c>
      <c r="D54">
        <v>7</v>
      </c>
    </row>
    <row r="55" spans="1:4" x14ac:dyDescent="0.25">
      <c r="A55" t="s">
        <v>80</v>
      </c>
      <c r="B55" t="s">
        <v>519</v>
      </c>
      <c r="C55" t="s">
        <v>495</v>
      </c>
      <c r="D55">
        <v>5</v>
      </c>
    </row>
    <row r="56" spans="1:4" x14ac:dyDescent="0.25">
      <c r="A56" t="s">
        <v>80</v>
      </c>
      <c r="B56" t="s">
        <v>339</v>
      </c>
      <c r="C56" t="s">
        <v>383</v>
      </c>
      <c r="D56">
        <v>2</v>
      </c>
    </row>
    <row r="57" spans="1:4" x14ac:dyDescent="0.25">
      <c r="A57" t="s">
        <v>80</v>
      </c>
      <c r="B57" t="s">
        <v>766</v>
      </c>
      <c r="C57" t="s">
        <v>2177</v>
      </c>
      <c r="D57">
        <v>4</v>
      </c>
    </row>
    <row r="58" spans="1:4" x14ac:dyDescent="0.25">
      <c r="A58" t="s">
        <v>80</v>
      </c>
      <c r="B58" t="s">
        <v>1396</v>
      </c>
      <c r="C58" t="s">
        <v>3723</v>
      </c>
      <c r="D58">
        <v>7</v>
      </c>
    </row>
    <row r="59" spans="1:4" x14ac:dyDescent="0.25">
      <c r="A59" t="s">
        <v>80</v>
      </c>
      <c r="B59" t="s">
        <v>579</v>
      </c>
      <c r="C59" t="s">
        <v>1688</v>
      </c>
      <c r="D59">
        <v>8</v>
      </c>
    </row>
    <row r="60" spans="1:4" x14ac:dyDescent="0.25">
      <c r="A60" t="s">
        <v>80</v>
      </c>
      <c r="B60" t="s">
        <v>1874</v>
      </c>
      <c r="C60" t="s">
        <v>1607</v>
      </c>
      <c r="D60">
        <v>5</v>
      </c>
    </row>
    <row r="61" spans="1:4" x14ac:dyDescent="0.25">
      <c r="A61" t="s">
        <v>123</v>
      </c>
      <c r="B61" t="s">
        <v>4193</v>
      </c>
      <c r="C61" t="s">
        <v>1956</v>
      </c>
      <c r="D61">
        <v>7</v>
      </c>
    </row>
    <row r="62" spans="1:4" x14ac:dyDescent="0.25">
      <c r="A62" t="s">
        <v>123</v>
      </c>
      <c r="B62" t="s">
        <v>2052</v>
      </c>
      <c r="C62" t="s">
        <v>2602</v>
      </c>
      <c r="D62">
        <v>9</v>
      </c>
    </row>
    <row r="63" spans="1:4" x14ac:dyDescent="0.25">
      <c r="A63" t="s">
        <v>123</v>
      </c>
      <c r="B63" t="s">
        <v>273</v>
      </c>
      <c r="C63" t="s">
        <v>2868</v>
      </c>
      <c r="D63">
        <v>12</v>
      </c>
    </row>
    <row r="64" spans="1:4" x14ac:dyDescent="0.25">
      <c r="A64" t="s">
        <v>123</v>
      </c>
      <c r="B64" t="s">
        <v>723</v>
      </c>
      <c r="C64" t="s">
        <v>1612</v>
      </c>
      <c r="D64">
        <v>9</v>
      </c>
    </row>
    <row r="65" spans="1:4" x14ac:dyDescent="0.25">
      <c r="A65" t="s">
        <v>123</v>
      </c>
      <c r="B65" t="s">
        <v>643</v>
      </c>
      <c r="C65" t="s">
        <v>401</v>
      </c>
      <c r="D65">
        <v>8</v>
      </c>
    </row>
    <row r="66" spans="1:4" x14ac:dyDescent="0.25">
      <c r="A66" t="s">
        <v>123</v>
      </c>
      <c r="B66" t="s">
        <v>643</v>
      </c>
      <c r="C66" t="s">
        <v>1614</v>
      </c>
      <c r="D66">
        <v>7</v>
      </c>
    </row>
    <row r="67" spans="1:4" x14ac:dyDescent="0.25">
      <c r="A67" t="s">
        <v>123</v>
      </c>
      <c r="B67" t="s">
        <v>333</v>
      </c>
      <c r="C67" t="s">
        <v>2730</v>
      </c>
      <c r="D67">
        <v>8</v>
      </c>
    </row>
    <row r="68" spans="1:4" x14ac:dyDescent="0.25">
      <c r="A68" t="s">
        <v>123</v>
      </c>
      <c r="B68" t="s">
        <v>333</v>
      </c>
      <c r="C68" t="s">
        <v>403</v>
      </c>
      <c r="D68">
        <v>9</v>
      </c>
    </row>
    <row r="69" spans="1:4" x14ac:dyDescent="0.25">
      <c r="A69" t="s">
        <v>123</v>
      </c>
      <c r="B69" t="s">
        <v>1065</v>
      </c>
      <c r="C69" t="s">
        <v>2992</v>
      </c>
      <c r="D69">
        <v>10</v>
      </c>
    </row>
    <row r="70" spans="1:4" x14ac:dyDescent="0.25">
      <c r="A70" t="s">
        <v>123</v>
      </c>
      <c r="B70" t="s">
        <v>1065</v>
      </c>
      <c r="C70" t="s">
        <v>3942</v>
      </c>
      <c r="D70">
        <v>11</v>
      </c>
    </row>
    <row r="71" spans="1:4" x14ac:dyDescent="0.25">
      <c r="A71" t="s">
        <v>123</v>
      </c>
      <c r="B71" t="s">
        <v>280</v>
      </c>
      <c r="C71" t="s">
        <v>407</v>
      </c>
      <c r="D71">
        <v>9</v>
      </c>
    </row>
    <row r="72" spans="1:4" x14ac:dyDescent="0.25">
      <c r="A72" t="s">
        <v>123</v>
      </c>
      <c r="B72" t="s">
        <v>465</v>
      </c>
      <c r="C72" t="s">
        <v>2918</v>
      </c>
      <c r="D72">
        <v>11</v>
      </c>
    </row>
    <row r="73" spans="1:4" x14ac:dyDescent="0.25">
      <c r="A73" t="s">
        <v>123</v>
      </c>
      <c r="B73" t="s">
        <v>539</v>
      </c>
      <c r="C73" t="s">
        <v>2995</v>
      </c>
      <c r="D73">
        <v>13</v>
      </c>
    </row>
    <row r="74" spans="1:4" x14ac:dyDescent="0.25">
      <c r="A74" t="s">
        <v>123</v>
      </c>
      <c r="B74" t="s">
        <v>376</v>
      </c>
      <c r="C74" t="s">
        <v>2946</v>
      </c>
      <c r="D74">
        <v>14</v>
      </c>
    </row>
    <row r="75" spans="1:4" x14ac:dyDescent="0.25">
      <c r="A75" t="s">
        <v>123</v>
      </c>
      <c r="B75" t="s">
        <v>376</v>
      </c>
      <c r="C75" t="s">
        <v>3188</v>
      </c>
      <c r="D75">
        <v>15</v>
      </c>
    </row>
    <row r="76" spans="1:4" x14ac:dyDescent="0.25">
      <c r="A76" t="s">
        <v>123</v>
      </c>
      <c r="B76" t="s">
        <v>1882</v>
      </c>
      <c r="C76" t="s">
        <v>2997</v>
      </c>
      <c r="D76">
        <v>12</v>
      </c>
    </row>
    <row r="77" spans="1:4" x14ac:dyDescent="0.25">
      <c r="A77" t="s">
        <v>123</v>
      </c>
      <c r="B77" t="s">
        <v>296</v>
      </c>
      <c r="C77" t="s">
        <v>3357</v>
      </c>
      <c r="D77">
        <v>14</v>
      </c>
    </row>
    <row r="78" spans="1:4" x14ac:dyDescent="0.25">
      <c r="A78" t="s">
        <v>123</v>
      </c>
      <c r="B78" t="s">
        <v>396</v>
      </c>
      <c r="C78" t="s">
        <v>2805</v>
      </c>
      <c r="D78">
        <v>16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1.025974025974026</v>
      </c>
    </row>
    <row r="82" spans="1:4" x14ac:dyDescent="0.25">
      <c r="A82" t="s">
        <v>159</v>
      </c>
      <c r="D82">
        <f>MAX(D2:D78)</f>
        <v>16</v>
      </c>
    </row>
    <row r="83" spans="1:4" x14ac:dyDescent="0.25">
      <c r="A83" t="s">
        <v>160</v>
      </c>
      <c r="D83">
        <f>MIN(D2:D78)</f>
        <v>-9</v>
      </c>
    </row>
    <row r="84" spans="1:4" x14ac:dyDescent="0.25">
      <c r="A84" t="s">
        <v>161</v>
      </c>
      <c r="D84">
        <f>COUNTIF(D2:D78,"&gt;0")</f>
        <v>34</v>
      </c>
    </row>
    <row r="85" spans="1:4" x14ac:dyDescent="0.25">
      <c r="A85" t="s">
        <v>162</v>
      </c>
      <c r="D85">
        <f>COUNTIF(D2:D78,"=0")</f>
        <v>2</v>
      </c>
    </row>
    <row r="86" spans="1:4" x14ac:dyDescent="0.25">
      <c r="A86" t="s">
        <v>1570</v>
      </c>
      <c r="D86">
        <f>COUNTIF(D2:D78,"&lt;0")</f>
        <v>41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AVERAGE(D2,D3,D4,D5,D6,D7,D8,D9,D10,D11,D12,D13,D14,D15,D16,D17,D18,D19)</f>
        <v>-4.333333333333333</v>
      </c>
    </row>
    <row r="90" spans="1:4" x14ac:dyDescent="0.25">
      <c r="A90" t="s">
        <v>166</v>
      </c>
      <c r="D90">
        <f>AVERAGE(D20,D21,D22,D23,D24,D25,D26,D27,D28,D29,D30,D31,D32,D33,D34,D35,D36,D37,D38,D39,D40)</f>
        <v>-4.5238095238095237</v>
      </c>
    </row>
    <row r="91" spans="1:4" x14ac:dyDescent="0.25">
      <c r="A91" t="s">
        <v>167</v>
      </c>
      <c r="D91">
        <f>AVERAGE(D41,D42,D43,D44,D45,D46,D47,D48,D49,D50,D51,D52,D53,D54,D55,D56,D57,D58,D59,D60)</f>
        <v>2.9</v>
      </c>
    </row>
    <row r="92" spans="1:4" x14ac:dyDescent="0.25">
      <c r="A92" t="s">
        <v>168</v>
      </c>
      <c r="D92">
        <f>AVERAGE(D61,D62,D63,D64,D65,D66,D67,D68,D69,D70,D71,D72,D73,D74,D75,D76,D77,D78)</f>
        <v>10.777777777777779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7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3980</v>
      </c>
    </row>
    <row r="2" spans="1:4" x14ac:dyDescent="0.25">
      <c r="A2" t="s">
        <v>4</v>
      </c>
      <c r="B2" t="s">
        <v>1680</v>
      </c>
      <c r="C2" t="s">
        <v>6</v>
      </c>
      <c r="D2">
        <v>2</v>
      </c>
    </row>
    <row r="3" spans="1:4" x14ac:dyDescent="0.25">
      <c r="A3" t="s">
        <v>4</v>
      </c>
      <c r="B3" t="s">
        <v>565</v>
      </c>
      <c r="C3" t="s">
        <v>2353</v>
      </c>
      <c r="D3">
        <v>4</v>
      </c>
    </row>
    <row r="4" spans="1:4" x14ac:dyDescent="0.25">
      <c r="A4" t="s">
        <v>4</v>
      </c>
      <c r="B4" t="s">
        <v>779</v>
      </c>
      <c r="C4" t="s">
        <v>1572</v>
      </c>
      <c r="D4">
        <v>5</v>
      </c>
    </row>
    <row r="5" spans="1:4" x14ac:dyDescent="0.25">
      <c r="A5" t="s">
        <v>4</v>
      </c>
      <c r="B5" t="s">
        <v>779</v>
      </c>
      <c r="C5" t="s">
        <v>690</v>
      </c>
      <c r="D5">
        <v>6</v>
      </c>
    </row>
    <row r="6" spans="1:4" x14ac:dyDescent="0.25">
      <c r="A6" t="s">
        <v>4</v>
      </c>
      <c r="B6" t="s">
        <v>1065</v>
      </c>
      <c r="C6" t="s">
        <v>1268</v>
      </c>
      <c r="D6">
        <v>8</v>
      </c>
    </row>
    <row r="7" spans="1:4" x14ac:dyDescent="0.25">
      <c r="A7" t="s">
        <v>4</v>
      </c>
      <c r="B7" t="s">
        <v>1284</v>
      </c>
      <c r="C7" t="s">
        <v>694</v>
      </c>
      <c r="D7">
        <v>5</v>
      </c>
    </row>
    <row r="8" spans="1:4" x14ac:dyDescent="0.25">
      <c r="A8" t="s">
        <v>4</v>
      </c>
      <c r="B8" t="s">
        <v>1441</v>
      </c>
      <c r="C8" t="s">
        <v>781</v>
      </c>
      <c r="D8">
        <v>7</v>
      </c>
    </row>
    <row r="9" spans="1:4" x14ac:dyDescent="0.25">
      <c r="A9" t="s">
        <v>4</v>
      </c>
      <c r="B9" t="s">
        <v>1092</v>
      </c>
      <c r="C9" t="s">
        <v>183</v>
      </c>
      <c r="D9">
        <v>6</v>
      </c>
    </row>
    <row r="10" spans="1:4" x14ac:dyDescent="0.25">
      <c r="A10" t="s">
        <v>4</v>
      </c>
      <c r="B10" t="s">
        <v>1092</v>
      </c>
      <c r="C10" t="s">
        <v>1974</v>
      </c>
      <c r="D10">
        <v>5</v>
      </c>
    </row>
    <row r="11" spans="1:4" x14ac:dyDescent="0.25">
      <c r="A11" t="s">
        <v>4</v>
      </c>
      <c r="B11" t="s">
        <v>1739</v>
      </c>
      <c r="C11" t="s">
        <v>783</v>
      </c>
      <c r="D11">
        <v>7</v>
      </c>
    </row>
    <row r="12" spans="1:4" x14ac:dyDescent="0.25">
      <c r="A12" t="s">
        <v>4</v>
      </c>
      <c r="B12" t="s">
        <v>146</v>
      </c>
      <c r="C12" t="s">
        <v>784</v>
      </c>
      <c r="D12">
        <v>5</v>
      </c>
    </row>
    <row r="13" spans="1:4" x14ac:dyDescent="0.25">
      <c r="A13" t="s">
        <v>4</v>
      </c>
      <c r="B13" t="s">
        <v>267</v>
      </c>
      <c r="C13" t="s">
        <v>1196</v>
      </c>
      <c r="D13">
        <v>7</v>
      </c>
    </row>
    <row r="14" spans="1:4" x14ac:dyDescent="0.25">
      <c r="A14" t="s">
        <v>4</v>
      </c>
      <c r="B14" t="s">
        <v>2363</v>
      </c>
      <c r="C14" t="s">
        <v>1014</v>
      </c>
      <c r="D14">
        <v>8</v>
      </c>
    </row>
    <row r="15" spans="1:4" x14ac:dyDescent="0.25">
      <c r="A15" t="s">
        <v>4</v>
      </c>
      <c r="B15" t="s">
        <v>1050</v>
      </c>
      <c r="C15" t="s">
        <v>1273</v>
      </c>
      <c r="D15">
        <v>10</v>
      </c>
    </row>
    <row r="16" spans="1:4" x14ac:dyDescent="0.25">
      <c r="A16" t="s">
        <v>4</v>
      </c>
      <c r="B16" t="s">
        <v>233</v>
      </c>
      <c r="C16" t="s">
        <v>1274</v>
      </c>
      <c r="D16">
        <v>8</v>
      </c>
    </row>
    <row r="17" spans="1:4" x14ac:dyDescent="0.25">
      <c r="A17" t="s">
        <v>4</v>
      </c>
      <c r="B17" t="s">
        <v>233</v>
      </c>
      <c r="C17" t="s">
        <v>1576</v>
      </c>
      <c r="D17">
        <v>7</v>
      </c>
    </row>
    <row r="18" spans="1:4" x14ac:dyDescent="0.25">
      <c r="A18" t="s">
        <v>40</v>
      </c>
      <c r="B18" t="s">
        <v>1010</v>
      </c>
      <c r="C18" t="s">
        <v>1578</v>
      </c>
      <c r="D18">
        <v>4</v>
      </c>
    </row>
    <row r="19" spans="1:4" x14ac:dyDescent="0.25">
      <c r="A19" t="s">
        <v>40</v>
      </c>
      <c r="B19" t="s">
        <v>1280</v>
      </c>
      <c r="C19" t="s">
        <v>707</v>
      </c>
      <c r="D19">
        <v>1</v>
      </c>
    </row>
    <row r="20" spans="1:4" x14ac:dyDescent="0.25">
      <c r="A20" t="s">
        <v>40</v>
      </c>
      <c r="B20" t="s">
        <v>274</v>
      </c>
      <c r="C20" t="s">
        <v>708</v>
      </c>
      <c r="D20">
        <v>3</v>
      </c>
    </row>
    <row r="21" spans="1:4" x14ac:dyDescent="0.25">
      <c r="A21" t="s">
        <v>40</v>
      </c>
      <c r="B21" t="s">
        <v>1432</v>
      </c>
      <c r="C21" t="s">
        <v>1748</v>
      </c>
      <c r="D21">
        <v>6</v>
      </c>
    </row>
    <row r="22" spans="1:4" x14ac:dyDescent="0.25">
      <c r="A22" t="s">
        <v>40</v>
      </c>
      <c r="B22" t="s">
        <v>15</v>
      </c>
      <c r="C22" t="s">
        <v>1120</v>
      </c>
      <c r="D22">
        <v>4</v>
      </c>
    </row>
    <row r="23" spans="1:4" x14ac:dyDescent="0.25">
      <c r="A23" t="s">
        <v>40</v>
      </c>
      <c r="B23" t="s">
        <v>15</v>
      </c>
      <c r="C23" t="s">
        <v>586</v>
      </c>
      <c r="D23">
        <v>3</v>
      </c>
    </row>
    <row r="24" spans="1:4" x14ac:dyDescent="0.25">
      <c r="A24" t="s">
        <v>40</v>
      </c>
      <c r="B24" t="s">
        <v>2431</v>
      </c>
      <c r="C24" t="s">
        <v>207</v>
      </c>
      <c r="D24">
        <v>5</v>
      </c>
    </row>
    <row r="25" spans="1:4" x14ac:dyDescent="0.25">
      <c r="A25" t="s">
        <v>40</v>
      </c>
      <c r="B25" t="s">
        <v>1817</v>
      </c>
      <c r="C25" t="s">
        <v>1751</v>
      </c>
      <c r="D25">
        <v>2</v>
      </c>
    </row>
    <row r="26" spans="1:4" x14ac:dyDescent="0.25">
      <c r="A26" t="s">
        <v>40</v>
      </c>
      <c r="B26" t="s">
        <v>1434</v>
      </c>
      <c r="C26" t="s">
        <v>1752</v>
      </c>
      <c r="D26">
        <v>4</v>
      </c>
    </row>
    <row r="27" spans="1:4" x14ac:dyDescent="0.25">
      <c r="A27" t="s">
        <v>40</v>
      </c>
      <c r="B27" t="s">
        <v>1829</v>
      </c>
      <c r="C27" t="s">
        <v>2124</v>
      </c>
      <c r="D27">
        <v>6</v>
      </c>
    </row>
    <row r="28" spans="1:4" x14ac:dyDescent="0.25">
      <c r="A28" t="s">
        <v>40</v>
      </c>
      <c r="B28" t="s">
        <v>337</v>
      </c>
      <c r="C28" t="s">
        <v>2963</v>
      </c>
      <c r="D28">
        <v>5</v>
      </c>
    </row>
    <row r="29" spans="1:4" x14ac:dyDescent="0.25">
      <c r="A29" t="s">
        <v>40</v>
      </c>
      <c r="B29" t="s">
        <v>337</v>
      </c>
      <c r="C29" t="s">
        <v>338</v>
      </c>
      <c r="D29">
        <v>4</v>
      </c>
    </row>
    <row r="30" spans="1:4" x14ac:dyDescent="0.25">
      <c r="A30" t="s">
        <v>40</v>
      </c>
      <c r="B30" t="s">
        <v>108</v>
      </c>
      <c r="C30" t="s">
        <v>1211</v>
      </c>
      <c r="D30">
        <v>6</v>
      </c>
    </row>
    <row r="31" spans="1:4" x14ac:dyDescent="0.25">
      <c r="A31" t="s">
        <v>40</v>
      </c>
      <c r="B31" t="s">
        <v>112</v>
      </c>
      <c r="C31" t="s">
        <v>2976</v>
      </c>
      <c r="D31">
        <v>8</v>
      </c>
    </row>
    <row r="32" spans="1:4" x14ac:dyDescent="0.25">
      <c r="A32" t="s">
        <v>40</v>
      </c>
      <c r="B32" t="s">
        <v>2317</v>
      </c>
      <c r="C32" t="s">
        <v>3008</v>
      </c>
      <c r="D32">
        <v>11</v>
      </c>
    </row>
    <row r="33" spans="1:4" x14ac:dyDescent="0.25">
      <c r="A33" t="s">
        <v>40</v>
      </c>
      <c r="B33" t="s">
        <v>880</v>
      </c>
      <c r="C33" t="s">
        <v>2528</v>
      </c>
      <c r="D33">
        <v>9</v>
      </c>
    </row>
    <row r="34" spans="1:4" x14ac:dyDescent="0.25">
      <c r="A34" t="s">
        <v>40</v>
      </c>
      <c r="B34" t="s">
        <v>78</v>
      </c>
      <c r="C34" t="s">
        <v>1443</v>
      </c>
      <c r="D34">
        <v>7</v>
      </c>
    </row>
    <row r="35" spans="1:4" x14ac:dyDescent="0.25">
      <c r="A35" t="s">
        <v>80</v>
      </c>
      <c r="B35" t="s">
        <v>237</v>
      </c>
      <c r="C35" t="s">
        <v>1444</v>
      </c>
      <c r="D35">
        <v>5</v>
      </c>
    </row>
    <row r="36" spans="1:4" x14ac:dyDescent="0.25">
      <c r="A36" t="s">
        <v>80</v>
      </c>
      <c r="B36" t="s">
        <v>269</v>
      </c>
      <c r="C36" t="s">
        <v>2267</v>
      </c>
      <c r="D36">
        <v>3</v>
      </c>
    </row>
    <row r="37" spans="1:4" x14ac:dyDescent="0.25">
      <c r="A37" t="s">
        <v>80</v>
      </c>
      <c r="B37" t="s">
        <v>1691</v>
      </c>
      <c r="C37" t="s">
        <v>1516</v>
      </c>
      <c r="D37">
        <v>1</v>
      </c>
    </row>
    <row r="38" spans="1:4" x14ac:dyDescent="0.25">
      <c r="A38" t="s">
        <v>80</v>
      </c>
      <c r="B38" t="s">
        <v>1246</v>
      </c>
      <c r="C38" t="s">
        <v>2725</v>
      </c>
      <c r="D38">
        <v>-1</v>
      </c>
    </row>
    <row r="39" spans="1:4" x14ac:dyDescent="0.25">
      <c r="A39" t="s">
        <v>80</v>
      </c>
      <c r="B39" t="s">
        <v>566</v>
      </c>
      <c r="C39" t="s">
        <v>474</v>
      </c>
      <c r="D39">
        <v>2</v>
      </c>
    </row>
    <row r="40" spans="1:4" x14ac:dyDescent="0.25">
      <c r="A40" t="s">
        <v>80</v>
      </c>
      <c r="B40" t="s">
        <v>460</v>
      </c>
      <c r="C40" t="s">
        <v>476</v>
      </c>
      <c r="D40">
        <v>1</v>
      </c>
    </row>
    <row r="41" spans="1:4" x14ac:dyDescent="0.25">
      <c r="A41" t="s">
        <v>80</v>
      </c>
      <c r="B41" t="s">
        <v>460</v>
      </c>
      <c r="C41" t="s">
        <v>3574</v>
      </c>
      <c r="D41">
        <v>0</v>
      </c>
    </row>
    <row r="42" spans="1:4" x14ac:dyDescent="0.25">
      <c r="A42" t="s">
        <v>80</v>
      </c>
      <c r="B42" t="s">
        <v>832</v>
      </c>
      <c r="C42" t="s">
        <v>1759</v>
      </c>
      <c r="D42">
        <v>2</v>
      </c>
    </row>
    <row r="43" spans="1:4" x14ac:dyDescent="0.25">
      <c r="A43" t="s">
        <v>80</v>
      </c>
      <c r="B43" t="s">
        <v>654</v>
      </c>
      <c r="C43" t="s">
        <v>1760</v>
      </c>
      <c r="D43">
        <v>1</v>
      </c>
    </row>
    <row r="44" spans="1:4" x14ac:dyDescent="0.25">
      <c r="A44" t="s">
        <v>80</v>
      </c>
      <c r="B44" t="s">
        <v>1422</v>
      </c>
      <c r="C44" t="s">
        <v>1761</v>
      </c>
      <c r="D44">
        <v>-1</v>
      </c>
    </row>
    <row r="45" spans="1:4" x14ac:dyDescent="0.25">
      <c r="A45" t="s">
        <v>80</v>
      </c>
      <c r="B45" t="s">
        <v>1237</v>
      </c>
      <c r="C45" t="s">
        <v>1521</v>
      </c>
      <c r="D45">
        <v>-3</v>
      </c>
    </row>
    <row r="46" spans="1:4" x14ac:dyDescent="0.25">
      <c r="A46" t="s">
        <v>80</v>
      </c>
      <c r="B46" t="s">
        <v>534</v>
      </c>
      <c r="C46" t="s">
        <v>247</v>
      </c>
      <c r="D46">
        <v>-1</v>
      </c>
    </row>
    <row r="47" spans="1:4" x14ac:dyDescent="0.25">
      <c r="A47" t="s">
        <v>123</v>
      </c>
      <c r="B47" t="s">
        <v>1704</v>
      </c>
      <c r="C47" t="s">
        <v>1522</v>
      </c>
      <c r="D47">
        <v>2</v>
      </c>
    </row>
    <row r="48" spans="1:4" x14ac:dyDescent="0.25">
      <c r="A48" t="s">
        <v>123</v>
      </c>
      <c r="B48" t="s">
        <v>1922</v>
      </c>
      <c r="C48" t="s">
        <v>253</v>
      </c>
      <c r="D48">
        <v>0</v>
      </c>
    </row>
    <row r="49" spans="1:4" x14ac:dyDescent="0.25">
      <c r="A49" t="s">
        <v>123</v>
      </c>
      <c r="B49" t="s">
        <v>130</v>
      </c>
      <c r="C49" t="s">
        <v>2610</v>
      </c>
      <c r="D49">
        <v>3</v>
      </c>
    </row>
    <row r="50" spans="1:4" x14ac:dyDescent="0.25">
      <c r="A50" t="s">
        <v>123</v>
      </c>
      <c r="B50" t="s">
        <v>246</v>
      </c>
      <c r="C50" t="s">
        <v>2490</v>
      </c>
      <c r="D50">
        <v>0</v>
      </c>
    </row>
    <row r="51" spans="1:4" x14ac:dyDescent="0.25">
      <c r="A51" t="s">
        <v>123</v>
      </c>
      <c r="B51" t="s">
        <v>2074</v>
      </c>
      <c r="C51" t="s">
        <v>375</v>
      </c>
      <c r="D51">
        <v>1</v>
      </c>
    </row>
    <row r="52" spans="1:4" x14ac:dyDescent="0.25">
      <c r="A52" t="s">
        <v>123</v>
      </c>
      <c r="B52" t="s">
        <v>1325</v>
      </c>
      <c r="C52" t="s">
        <v>262</v>
      </c>
      <c r="D52">
        <v>-1</v>
      </c>
    </row>
    <row r="53" spans="1:4" x14ac:dyDescent="0.25">
      <c r="A53" t="s">
        <v>123</v>
      </c>
      <c r="B53" t="s">
        <v>259</v>
      </c>
      <c r="C53" t="s">
        <v>3029</v>
      </c>
      <c r="D53">
        <v>1</v>
      </c>
    </row>
    <row r="54" spans="1:4" x14ac:dyDescent="0.25">
      <c r="A54" t="s">
        <v>123</v>
      </c>
      <c r="B54" t="s">
        <v>1227</v>
      </c>
      <c r="C54" t="s">
        <v>2612</v>
      </c>
      <c r="D54">
        <v>-2</v>
      </c>
    </row>
    <row r="55" spans="1:4" x14ac:dyDescent="0.25">
      <c r="A55" t="s">
        <v>123</v>
      </c>
      <c r="B55" t="s">
        <v>263</v>
      </c>
      <c r="C55" t="s">
        <v>1232</v>
      </c>
      <c r="D55">
        <v>-4</v>
      </c>
    </row>
    <row r="56" spans="1:4" x14ac:dyDescent="0.25">
      <c r="A56" t="s">
        <v>123</v>
      </c>
      <c r="B56" t="s">
        <v>1436</v>
      </c>
      <c r="C56" t="s">
        <v>2569</v>
      </c>
      <c r="D56">
        <v>-6</v>
      </c>
    </row>
    <row r="57" spans="1:4" x14ac:dyDescent="0.25">
      <c r="A57" t="s">
        <v>123</v>
      </c>
      <c r="B57" t="s">
        <v>467</v>
      </c>
      <c r="C57" t="s">
        <v>3537</v>
      </c>
      <c r="D57">
        <v>-4</v>
      </c>
    </row>
    <row r="58" spans="1:4" x14ac:dyDescent="0.25">
      <c r="A58" t="s">
        <v>123</v>
      </c>
      <c r="B58" t="s">
        <v>1481</v>
      </c>
      <c r="C58" t="s">
        <v>2494</v>
      </c>
      <c r="D58">
        <v>-2</v>
      </c>
    </row>
    <row r="59" spans="1:4" x14ac:dyDescent="0.25">
      <c r="A59" t="s">
        <v>123</v>
      </c>
      <c r="B59" t="s">
        <v>1481</v>
      </c>
      <c r="C59" t="s">
        <v>753</v>
      </c>
      <c r="D59">
        <v>-1</v>
      </c>
    </row>
    <row r="60" spans="1:4" x14ac:dyDescent="0.25">
      <c r="A60" t="s">
        <v>123</v>
      </c>
      <c r="B60" t="s">
        <v>2608</v>
      </c>
      <c r="C60" t="s">
        <v>754</v>
      </c>
      <c r="D60">
        <v>-2</v>
      </c>
    </row>
    <row r="61" spans="1:4" x14ac:dyDescent="0.25">
      <c r="A61" t="s">
        <v>123</v>
      </c>
      <c r="B61" t="s">
        <v>1845</v>
      </c>
      <c r="C61" t="s">
        <v>390</v>
      </c>
      <c r="D61">
        <v>0</v>
      </c>
    </row>
    <row r="62" spans="1:4" x14ac:dyDescent="0.25">
      <c r="A62" t="s">
        <v>123</v>
      </c>
      <c r="B62" t="s">
        <v>1002</v>
      </c>
      <c r="C62" t="s">
        <v>393</v>
      </c>
      <c r="D62">
        <v>3</v>
      </c>
    </row>
    <row r="64" spans="1:4" x14ac:dyDescent="0.25">
      <c r="A64" s="2" t="s">
        <v>157</v>
      </c>
    </row>
    <row r="65" spans="1:4" x14ac:dyDescent="0.25">
      <c r="A65" t="s">
        <v>158</v>
      </c>
      <c r="D65">
        <f>AVERAGE(D2:D62)</f>
        <v>3.0327868852459017</v>
      </c>
    </row>
    <row r="66" spans="1:4" x14ac:dyDescent="0.25">
      <c r="A66" t="s">
        <v>159</v>
      </c>
      <c r="D66">
        <f>MAX(D2:D62)</f>
        <v>11</v>
      </c>
    </row>
    <row r="67" spans="1:4" x14ac:dyDescent="0.25">
      <c r="A67" t="s">
        <v>160</v>
      </c>
      <c r="D67">
        <f>MIN(D2:D62)</f>
        <v>-6</v>
      </c>
    </row>
    <row r="68" spans="1:4" x14ac:dyDescent="0.25">
      <c r="A68" t="s">
        <v>161</v>
      </c>
      <c r="D68">
        <f>COUNTIF(D2:D62,"&gt;0")</f>
        <v>45</v>
      </c>
    </row>
    <row r="69" spans="1:4" x14ac:dyDescent="0.25">
      <c r="A69" t="s">
        <v>162</v>
      </c>
      <c r="D69">
        <f>COUNTIF(D2:D62,"=0")</f>
        <v>4</v>
      </c>
    </row>
    <row r="70" spans="1:4" x14ac:dyDescent="0.25">
      <c r="A70" t="s">
        <v>3983</v>
      </c>
      <c r="D70">
        <f>COUNTIF(D2:D62,"&lt;0")</f>
        <v>12</v>
      </c>
    </row>
    <row r="72" spans="1:4" x14ac:dyDescent="0.25">
      <c r="A72" s="2" t="s">
        <v>164</v>
      </c>
    </row>
    <row r="73" spans="1:4" x14ac:dyDescent="0.25">
      <c r="A73" t="s">
        <v>165</v>
      </c>
      <c r="D73">
        <f>AVERAGE(D2,D3,D4,D5,D6,D7,D8,D9,D10,D11,D12,D13,D14,D15,D16,D17)</f>
        <v>6.25</v>
      </c>
    </row>
    <row r="74" spans="1:4" x14ac:dyDescent="0.25">
      <c r="A74" t="s">
        <v>166</v>
      </c>
      <c r="D74">
        <f>AVERAGE(D18,D19,D20,D21,D22,D23,D24,D25,D26,D27,D28,D29,D30,D31,D32,D33,D34)</f>
        <v>5.1764705882352944</v>
      </c>
    </row>
    <row r="75" spans="1:4" x14ac:dyDescent="0.25">
      <c r="A75" t="s">
        <v>167</v>
      </c>
      <c r="D75">
        <f>AVERAGE(D35,D36,D37,D38,D39,D40,D41,D42,D43,D44,D45,D46)</f>
        <v>0.75</v>
      </c>
    </row>
    <row r="76" spans="1:4" x14ac:dyDescent="0.25">
      <c r="A76" t="s">
        <v>168</v>
      </c>
      <c r="D76">
        <f>AVERAGE(D47,D48,D49,D50,D51,D52,D53,D54,D55,D56,D57,D58,D59,D60,D61,D62)</f>
        <v>-0.75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7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1691</v>
      </c>
      <c r="C2" t="s">
        <v>6</v>
      </c>
      <c r="D2">
        <v>2</v>
      </c>
    </row>
    <row r="3" spans="1:4" x14ac:dyDescent="0.25">
      <c r="A3" t="s">
        <v>4</v>
      </c>
      <c r="B3" t="s">
        <v>332</v>
      </c>
      <c r="C3" t="s">
        <v>8</v>
      </c>
      <c r="D3">
        <v>0</v>
      </c>
    </row>
    <row r="4" spans="1:4" x14ac:dyDescent="0.25">
      <c r="A4" t="s">
        <v>4</v>
      </c>
      <c r="B4" t="s">
        <v>937</v>
      </c>
      <c r="C4" t="s">
        <v>10</v>
      </c>
      <c r="D4">
        <v>-2</v>
      </c>
    </row>
    <row r="5" spans="1:4" x14ac:dyDescent="0.25">
      <c r="A5" t="s">
        <v>4</v>
      </c>
      <c r="B5" t="s">
        <v>95</v>
      </c>
      <c r="C5" t="s">
        <v>1106</v>
      </c>
      <c r="D5">
        <v>1</v>
      </c>
    </row>
    <row r="6" spans="1:4" x14ac:dyDescent="0.25">
      <c r="A6" t="s">
        <v>4</v>
      </c>
      <c r="B6" t="s">
        <v>186</v>
      </c>
      <c r="C6" t="s">
        <v>913</v>
      </c>
      <c r="D6">
        <v>-2</v>
      </c>
    </row>
    <row r="7" spans="1:4" x14ac:dyDescent="0.25">
      <c r="A7" t="s">
        <v>4</v>
      </c>
      <c r="B7" t="s">
        <v>2962</v>
      </c>
      <c r="C7" t="s">
        <v>16</v>
      </c>
      <c r="D7">
        <v>-1</v>
      </c>
    </row>
    <row r="8" spans="1:4" x14ac:dyDescent="0.25">
      <c r="A8" t="s">
        <v>4</v>
      </c>
      <c r="B8" t="s">
        <v>225</v>
      </c>
      <c r="C8" t="s">
        <v>696</v>
      </c>
      <c r="D8">
        <v>1</v>
      </c>
    </row>
    <row r="9" spans="1:4" x14ac:dyDescent="0.25">
      <c r="A9" t="s">
        <v>4</v>
      </c>
      <c r="B9" t="s">
        <v>706</v>
      </c>
      <c r="C9" t="s">
        <v>1352</v>
      </c>
      <c r="D9">
        <v>4</v>
      </c>
    </row>
    <row r="10" spans="1:4" x14ac:dyDescent="0.25">
      <c r="A10" t="s">
        <v>4</v>
      </c>
      <c r="B10" t="s">
        <v>2112</v>
      </c>
      <c r="C10" t="s">
        <v>1353</v>
      </c>
      <c r="D10">
        <v>3</v>
      </c>
    </row>
    <row r="11" spans="1:4" x14ac:dyDescent="0.25">
      <c r="A11" t="s">
        <v>4</v>
      </c>
      <c r="B11" t="s">
        <v>1640</v>
      </c>
      <c r="C11" t="s">
        <v>24</v>
      </c>
      <c r="D11">
        <v>4</v>
      </c>
    </row>
    <row r="12" spans="1:4" x14ac:dyDescent="0.25">
      <c r="A12" t="s">
        <v>4</v>
      </c>
      <c r="B12" t="s">
        <v>896</v>
      </c>
      <c r="C12" t="s">
        <v>26</v>
      </c>
      <c r="D12">
        <v>3</v>
      </c>
    </row>
    <row r="13" spans="1:4" x14ac:dyDescent="0.25">
      <c r="A13" t="s">
        <v>4</v>
      </c>
      <c r="B13" t="s">
        <v>896</v>
      </c>
      <c r="C13" t="s">
        <v>917</v>
      </c>
      <c r="D13">
        <v>2</v>
      </c>
    </row>
    <row r="14" spans="1:4" x14ac:dyDescent="0.25">
      <c r="A14" t="s">
        <v>4</v>
      </c>
      <c r="B14" t="s">
        <v>1627</v>
      </c>
      <c r="C14" t="s">
        <v>918</v>
      </c>
      <c r="D14">
        <v>3</v>
      </c>
    </row>
    <row r="15" spans="1:4" x14ac:dyDescent="0.25">
      <c r="A15" t="s">
        <v>40</v>
      </c>
      <c r="B15" t="s">
        <v>1765</v>
      </c>
      <c r="C15" t="s">
        <v>1111</v>
      </c>
      <c r="D15">
        <v>5</v>
      </c>
    </row>
    <row r="16" spans="1:4" x14ac:dyDescent="0.25">
      <c r="A16" t="s">
        <v>40</v>
      </c>
      <c r="B16" t="s">
        <v>691</v>
      </c>
      <c r="C16" t="s">
        <v>321</v>
      </c>
      <c r="D16">
        <v>6</v>
      </c>
    </row>
    <row r="17" spans="1:4" x14ac:dyDescent="0.25">
      <c r="A17" t="s">
        <v>40</v>
      </c>
      <c r="B17" t="s">
        <v>954</v>
      </c>
      <c r="C17" t="s">
        <v>1873</v>
      </c>
      <c r="D17">
        <v>4</v>
      </c>
    </row>
    <row r="18" spans="1:4" x14ac:dyDescent="0.25">
      <c r="A18" t="s">
        <v>40</v>
      </c>
      <c r="B18" t="s">
        <v>494</v>
      </c>
      <c r="C18" t="s">
        <v>324</v>
      </c>
      <c r="D18">
        <v>7</v>
      </c>
    </row>
    <row r="19" spans="1:4" x14ac:dyDescent="0.25">
      <c r="A19" t="s">
        <v>40</v>
      </c>
      <c r="B19" t="s">
        <v>177</v>
      </c>
      <c r="C19" t="s">
        <v>1580</v>
      </c>
      <c r="D19">
        <v>5</v>
      </c>
    </row>
    <row r="20" spans="1:4" x14ac:dyDescent="0.25">
      <c r="A20" t="s">
        <v>40</v>
      </c>
      <c r="B20" t="s">
        <v>572</v>
      </c>
      <c r="C20" t="s">
        <v>3388</v>
      </c>
      <c r="D20">
        <v>8</v>
      </c>
    </row>
    <row r="21" spans="1:4" x14ac:dyDescent="0.25">
      <c r="A21" t="s">
        <v>40</v>
      </c>
      <c r="B21" t="s">
        <v>628</v>
      </c>
      <c r="C21" t="s">
        <v>1748</v>
      </c>
      <c r="D21">
        <v>6</v>
      </c>
    </row>
    <row r="22" spans="1:4" x14ac:dyDescent="0.25">
      <c r="A22" t="s">
        <v>40</v>
      </c>
      <c r="B22" t="s">
        <v>628</v>
      </c>
      <c r="C22" t="s">
        <v>2540</v>
      </c>
      <c r="D22">
        <v>8</v>
      </c>
    </row>
    <row r="23" spans="1:4" x14ac:dyDescent="0.25">
      <c r="A23" t="s">
        <v>40</v>
      </c>
      <c r="B23" t="s">
        <v>524</v>
      </c>
      <c r="C23" t="s">
        <v>206</v>
      </c>
      <c r="D23">
        <v>6</v>
      </c>
    </row>
    <row r="24" spans="1:4" x14ac:dyDescent="0.25">
      <c r="A24" t="s">
        <v>40</v>
      </c>
      <c r="B24" t="s">
        <v>1619</v>
      </c>
      <c r="C24" t="s">
        <v>334</v>
      </c>
      <c r="D24">
        <v>3</v>
      </c>
    </row>
    <row r="25" spans="1:4" x14ac:dyDescent="0.25">
      <c r="A25" t="s">
        <v>40</v>
      </c>
      <c r="B25" t="s">
        <v>1177</v>
      </c>
      <c r="C25" t="s">
        <v>2482</v>
      </c>
      <c r="D25">
        <v>6</v>
      </c>
    </row>
    <row r="26" spans="1:4" x14ac:dyDescent="0.25">
      <c r="A26" t="s">
        <v>40</v>
      </c>
      <c r="B26" t="s">
        <v>1675</v>
      </c>
      <c r="C26" t="s">
        <v>717</v>
      </c>
      <c r="D26">
        <v>4</v>
      </c>
    </row>
    <row r="27" spans="1:4" x14ac:dyDescent="0.25">
      <c r="A27" t="s">
        <v>40</v>
      </c>
      <c r="B27" t="s">
        <v>1222</v>
      </c>
      <c r="C27" t="s">
        <v>2963</v>
      </c>
      <c r="D27">
        <v>5</v>
      </c>
    </row>
    <row r="28" spans="1:4" x14ac:dyDescent="0.25">
      <c r="A28" t="s">
        <v>40</v>
      </c>
      <c r="B28" t="s">
        <v>233</v>
      </c>
      <c r="C28" t="s">
        <v>340</v>
      </c>
      <c r="D28">
        <v>3</v>
      </c>
    </row>
    <row r="29" spans="1:4" x14ac:dyDescent="0.25">
      <c r="A29" t="s">
        <v>40</v>
      </c>
      <c r="B29" t="s">
        <v>1135</v>
      </c>
      <c r="C29" t="s">
        <v>1584</v>
      </c>
      <c r="D29">
        <v>5</v>
      </c>
    </row>
    <row r="30" spans="1:4" x14ac:dyDescent="0.25">
      <c r="A30" t="s">
        <v>80</v>
      </c>
      <c r="B30" t="s">
        <v>1024</v>
      </c>
      <c r="C30" t="s">
        <v>722</v>
      </c>
      <c r="D30">
        <v>3</v>
      </c>
    </row>
    <row r="31" spans="1:4" x14ac:dyDescent="0.25">
      <c r="A31" t="s">
        <v>80</v>
      </c>
      <c r="B31" t="s">
        <v>1117</v>
      </c>
      <c r="C31" t="s">
        <v>1212</v>
      </c>
      <c r="D31">
        <v>1</v>
      </c>
    </row>
    <row r="32" spans="1:4" x14ac:dyDescent="0.25">
      <c r="A32" t="s">
        <v>80</v>
      </c>
      <c r="B32" t="s">
        <v>800</v>
      </c>
      <c r="C32" t="s">
        <v>938</v>
      </c>
      <c r="D32">
        <v>4</v>
      </c>
    </row>
    <row r="33" spans="1:4" x14ac:dyDescent="0.25">
      <c r="A33" t="s">
        <v>80</v>
      </c>
      <c r="B33" t="s">
        <v>13</v>
      </c>
      <c r="C33" t="s">
        <v>347</v>
      </c>
      <c r="D33">
        <v>2</v>
      </c>
    </row>
    <row r="34" spans="1:4" x14ac:dyDescent="0.25">
      <c r="A34" t="s">
        <v>80</v>
      </c>
      <c r="B34" t="s">
        <v>1693</v>
      </c>
      <c r="C34" t="s">
        <v>727</v>
      </c>
      <c r="D34">
        <v>4</v>
      </c>
    </row>
    <row r="35" spans="1:4" x14ac:dyDescent="0.25">
      <c r="A35" t="s">
        <v>80</v>
      </c>
      <c r="B35" t="s">
        <v>1693</v>
      </c>
      <c r="C35" t="s">
        <v>939</v>
      </c>
      <c r="D35">
        <v>5</v>
      </c>
    </row>
    <row r="36" spans="1:4" x14ac:dyDescent="0.25">
      <c r="A36" t="s">
        <v>80</v>
      </c>
      <c r="B36" t="s">
        <v>17</v>
      </c>
      <c r="C36" t="s">
        <v>942</v>
      </c>
      <c r="D36">
        <v>8</v>
      </c>
    </row>
    <row r="37" spans="1:4" x14ac:dyDescent="0.25">
      <c r="A37" t="s">
        <v>80</v>
      </c>
      <c r="B37" t="s">
        <v>21</v>
      </c>
      <c r="C37" t="s">
        <v>1137</v>
      </c>
      <c r="D37">
        <v>5</v>
      </c>
    </row>
    <row r="38" spans="1:4" x14ac:dyDescent="0.25">
      <c r="A38" t="s">
        <v>80</v>
      </c>
      <c r="B38" t="s">
        <v>223</v>
      </c>
      <c r="C38" t="s">
        <v>1219</v>
      </c>
      <c r="D38">
        <v>4</v>
      </c>
    </row>
    <row r="39" spans="1:4" x14ac:dyDescent="0.25">
      <c r="A39" t="s">
        <v>80</v>
      </c>
      <c r="B39" t="s">
        <v>766</v>
      </c>
      <c r="C39" t="s">
        <v>1220</v>
      </c>
      <c r="D39">
        <v>2</v>
      </c>
    </row>
    <row r="40" spans="1:4" x14ac:dyDescent="0.25">
      <c r="A40" t="s">
        <v>80</v>
      </c>
      <c r="B40" t="s">
        <v>607</v>
      </c>
      <c r="C40" t="s">
        <v>1593</v>
      </c>
      <c r="D40">
        <v>5</v>
      </c>
    </row>
    <row r="41" spans="1:4" x14ac:dyDescent="0.25">
      <c r="A41" t="s">
        <v>80</v>
      </c>
      <c r="B41" t="s">
        <v>1202</v>
      </c>
      <c r="C41" t="s">
        <v>734</v>
      </c>
      <c r="D41">
        <v>2</v>
      </c>
    </row>
    <row r="42" spans="1:4" x14ac:dyDescent="0.25">
      <c r="A42" t="s">
        <v>80</v>
      </c>
      <c r="B42" t="s">
        <v>1112</v>
      </c>
      <c r="C42" t="s">
        <v>2596</v>
      </c>
      <c r="D42">
        <v>5</v>
      </c>
    </row>
    <row r="43" spans="1:4" x14ac:dyDescent="0.25">
      <c r="A43" t="s">
        <v>80</v>
      </c>
      <c r="B43" t="s">
        <v>1115</v>
      </c>
      <c r="C43" t="s">
        <v>1147</v>
      </c>
      <c r="D43">
        <v>7</v>
      </c>
    </row>
    <row r="44" spans="1:4" x14ac:dyDescent="0.25">
      <c r="A44" t="s">
        <v>80</v>
      </c>
      <c r="B44" t="s">
        <v>793</v>
      </c>
      <c r="C44" t="s">
        <v>1523</v>
      </c>
      <c r="D44">
        <v>4</v>
      </c>
    </row>
    <row r="45" spans="1:4" x14ac:dyDescent="0.25">
      <c r="A45" t="s">
        <v>123</v>
      </c>
      <c r="B45" t="s">
        <v>1922</v>
      </c>
      <c r="C45" t="s">
        <v>372</v>
      </c>
      <c r="D45">
        <v>1</v>
      </c>
    </row>
    <row r="46" spans="1:4" x14ac:dyDescent="0.25">
      <c r="A46" t="s">
        <v>123</v>
      </c>
      <c r="B46" t="s">
        <v>757</v>
      </c>
      <c r="C46" t="s">
        <v>373</v>
      </c>
      <c r="D46">
        <v>3</v>
      </c>
    </row>
    <row r="47" spans="1:4" x14ac:dyDescent="0.25">
      <c r="A47" t="s">
        <v>123</v>
      </c>
      <c r="B47" t="s">
        <v>1267</v>
      </c>
      <c r="C47" t="s">
        <v>2172</v>
      </c>
      <c r="D47">
        <v>5</v>
      </c>
    </row>
    <row r="48" spans="1:4" x14ac:dyDescent="0.25">
      <c r="A48" t="s">
        <v>123</v>
      </c>
      <c r="B48" t="s">
        <v>935</v>
      </c>
      <c r="C48" t="s">
        <v>1525</v>
      </c>
      <c r="D48">
        <v>3</v>
      </c>
    </row>
    <row r="49" spans="1:4" x14ac:dyDescent="0.25">
      <c r="A49" t="s">
        <v>123</v>
      </c>
      <c r="B49" t="s">
        <v>935</v>
      </c>
      <c r="C49" t="s">
        <v>2173</v>
      </c>
      <c r="D49">
        <v>2</v>
      </c>
    </row>
    <row r="50" spans="1:4" x14ac:dyDescent="0.25">
      <c r="A50" t="s">
        <v>123</v>
      </c>
      <c r="B50" t="s">
        <v>400</v>
      </c>
      <c r="C50" t="s">
        <v>3029</v>
      </c>
      <c r="D50">
        <v>1</v>
      </c>
    </row>
    <row r="51" spans="1:4" x14ac:dyDescent="0.25">
      <c r="A51" t="s">
        <v>123</v>
      </c>
      <c r="B51" t="s">
        <v>759</v>
      </c>
      <c r="C51" t="s">
        <v>1835</v>
      </c>
      <c r="D51">
        <v>4</v>
      </c>
    </row>
    <row r="52" spans="1:4" x14ac:dyDescent="0.25">
      <c r="A52" t="s">
        <v>123</v>
      </c>
      <c r="B52" t="s">
        <v>1086</v>
      </c>
      <c r="C52" t="s">
        <v>1731</v>
      </c>
      <c r="D52">
        <v>2</v>
      </c>
    </row>
    <row r="53" spans="1:4" x14ac:dyDescent="0.25">
      <c r="A53" t="s">
        <v>123</v>
      </c>
      <c r="B53" t="s">
        <v>213</v>
      </c>
      <c r="C53" t="s">
        <v>751</v>
      </c>
      <c r="D53">
        <v>-1</v>
      </c>
    </row>
    <row r="54" spans="1:4" x14ac:dyDescent="0.25">
      <c r="A54" t="s">
        <v>123</v>
      </c>
      <c r="B54" t="s">
        <v>1816</v>
      </c>
      <c r="C54" t="s">
        <v>752</v>
      </c>
      <c r="D54">
        <v>1</v>
      </c>
    </row>
    <row r="55" spans="1:4" x14ac:dyDescent="0.25">
      <c r="A55" t="s">
        <v>123</v>
      </c>
      <c r="B55" t="s">
        <v>95</v>
      </c>
      <c r="C55" t="s">
        <v>3455</v>
      </c>
      <c r="D55">
        <v>0</v>
      </c>
    </row>
    <row r="56" spans="1:4" x14ac:dyDescent="0.25">
      <c r="A56" t="s">
        <v>123</v>
      </c>
      <c r="B56" t="s">
        <v>95</v>
      </c>
      <c r="C56" t="s">
        <v>753</v>
      </c>
      <c r="D56">
        <v>-1</v>
      </c>
    </row>
    <row r="57" spans="1:4" x14ac:dyDescent="0.25">
      <c r="A57" t="s">
        <v>123</v>
      </c>
      <c r="B57" t="s">
        <v>435</v>
      </c>
      <c r="C57" t="s">
        <v>1534</v>
      </c>
      <c r="D57">
        <v>1</v>
      </c>
    </row>
    <row r="58" spans="1:4" x14ac:dyDescent="0.25">
      <c r="A58" t="s">
        <v>123</v>
      </c>
      <c r="B58" t="s">
        <v>315</v>
      </c>
      <c r="C58" t="s">
        <v>2496</v>
      </c>
      <c r="D58">
        <v>2</v>
      </c>
    </row>
    <row r="59" spans="1:4" x14ac:dyDescent="0.25">
      <c r="A59" t="s">
        <v>123</v>
      </c>
      <c r="B59" t="s">
        <v>987</v>
      </c>
      <c r="C59" t="s">
        <v>841</v>
      </c>
      <c r="D59">
        <v>0</v>
      </c>
    </row>
    <row r="60" spans="1:4" x14ac:dyDescent="0.25">
      <c r="A60" t="s">
        <v>123</v>
      </c>
      <c r="B60" t="s">
        <v>1043</v>
      </c>
      <c r="C60" t="s">
        <v>756</v>
      </c>
      <c r="D60">
        <v>-2</v>
      </c>
    </row>
    <row r="61" spans="1:4" x14ac:dyDescent="0.25">
      <c r="A61" t="s">
        <v>123</v>
      </c>
      <c r="B61" t="s">
        <v>1177</v>
      </c>
      <c r="C61" t="s">
        <v>276</v>
      </c>
      <c r="D61">
        <v>-3</v>
      </c>
    </row>
    <row r="62" spans="1:4" x14ac:dyDescent="0.25">
      <c r="A62" t="s">
        <v>123</v>
      </c>
      <c r="B62" t="s">
        <v>231</v>
      </c>
      <c r="C62" t="s">
        <v>2231</v>
      </c>
      <c r="D62">
        <v>-2</v>
      </c>
    </row>
    <row r="63" spans="1:4" x14ac:dyDescent="0.25">
      <c r="A63" t="s">
        <v>123</v>
      </c>
      <c r="B63" t="s">
        <v>231</v>
      </c>
      <c r="C63" t="s">
        <v>2497</v>
      </c>
      <c r="D63">
        <v>-1</v>
      </c>
    </row>
    <row r="64" spans="1:4" x14ac:dyDescent="0.25">
      <c r="A64" t="s">
        <v>123</v>
      </c>
      <c r="B64" t="s">
        <v>202</v>
      </c>
      <c r="C64" t="s">
        <v>758</v>
      </c>
      <c r="D64">
        <v>-2</v>
      </c>
    </row>
    <row r="65" spans="1:4" x14ac:dyDescent="0.25">
      <c r="A65" t="s">
        <v>123</v>
      </c>
      <c r="B65" t="s">
        <v>202</v>
      </c>
      <c r="C65" t="s">
        <v>281</v>
      </c>
      <c r="D65">
        <v>-3</v>
      </c>
    </row>
    <row r="67" spans="1:4" x14ac:dyDescent="0.25">
      <c r="A67" s="2" t="s">
        <v>157</v>
      </c>
    </row>
    <row r="68" spans="1:4" x14ac:dyDescent="0.25">
      <c r="A68" t="s">
        <v>158</v>
      </c>
      <c r="D68">
        <f>AVERAGE(D2:D65)</f>
        <v>2.65625</v>
      </c>
    </row>
    <row r="69" spans="1:4" x14ac:dyDescent="0.25">
      <c r="A69" t="s">
        <v>159</v>
      </c>
      <c r="D69">
        <f>MAX(D2:D65)</f>
        <v>8</v>
      </c>
    </row>
    <row r="70" spans="1:4" x14ac:dyDescent="0.25">
      <c r="A70" t="s">
        <v>160</v>
      </c>
      <c r="D70">
        <f>MIN(D2:D65)</f>
        <v>-3</v>
      </c>
    </row>
    <row r="71" spans="1:4" x14ac:dyDescent="0.25">
      <c r="A71" t="s">
        <v>161</v>
      </c>
      <c r="D71">
        <f>COUNTIF(D2:D65,"&gt;0")</f>
        <v>50</v>
      </c>
    </row>
    <row r="72" spans="1:4" x14ac:dyDescent="0.25">
      <c r="A72" t="s">
        <v>162</v>
      </c>
      <c r="D72">
        <f>COUNTIF(D2:D65,"=0")</f>
        <v>3</v>
      </c>
    </row>
    <row r="73" spans="1:4" x14ac:dyDescent="0.25">
      <c r="A73" t="s">
        <v>2150</v>
      </c>
      <c r="D73">
        <f>COUNTIF(D2:D65,"&lt;0")</f>
        <v>11</v>
      </c>
    </row>
    <row r="75" spans="1:4" x14ac:dyDescent="0.25">
      <c r="A75" s="2" t="s">
        <v>164</v>
      </c>
    </row>
    <row r="76" spans="1:4" x14ac:dyDescent="0.25">
      <c r="A76" t="s">
        <v>165</v>
      </c>
      <c r="D76">
        <f>AVERAGE(D2,D3,D4,D5,D6,D7,D8,D9,D10,D11,D12,D13,D14)</f>
        <v>1.3846153846153846</v>
      </c>
    </row>
    <row r="77" spans="1:4" x14ac:dyDescent="0.25">
      <c r="A77" t="s">
        <v>166</v>
      </c>
      <c r="D77">
        <f>AVERAGE(D15,D16,D17,D18,D19,D20,D21,D22,D23,D24,D25,D26,D27,D28,D29)</f>
        <v>5.4</v>
      </c>
    </row>
    <row r="78" spans="1:4" x14ac:dyDescent="0.25">
      <c r="A78" t="s">
        <v>167</v>
      </c>
      <c r="D78">
        <f>AVERAGE(D30,D31,D32,D33,D34,D35,D36,D37,D38,D39,D40,D41,D42,D43,D44)</f>
        <v>4.0666666666666664</v>
      </c>
    </row>
    <row r="79" spans="1:4" x14ac:dyDescent="0.25">
      <c r="A79" t="s">
        <v>168</v>
      </c>
      <c r="D79">
        <f>AVERAGE(D45,D46,D47,D48,D49,D50,D51,D52,D53,D54,D55,D56,D57,D58,D59,D60,D61,D62,D63,D64,D65)</f>
        <v>0.47619047619047616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237</v>
      </c>
      <c r="C2" t="s">
        <v>6</v>
      </c>
      <c r="D2">
        <v>2</v>
      </c>
    </row>
    <row r="3" spans="1:4" x14ac:dyDescent="0.25">
      <c r="A3" t="s">
        <v>4</v>
      </c>
      <c r="B3" t="s">
        <v>239</v>
      </c>
      <c r="C3" t="s">
        <v>3268</v>
      </c>
      <c r="D3">
        <v>1</v>
      </c>
    </row>
    <row r="4" spans="1:4" x14ac:dyDescent="0.25">
      <c r="A4" t="s">
        <v>4</v>
      </c>
      <c r="B4" t="s">
        <v>239</v>
      </c>
      <c r="C4" t="s">
        <v>8</v>
      </c>
      <c r="D4">
        <v>0</v>
      </c>
    </row>
    <row r="5" spans="1:4" x14ac:dyDescent="0.25">
      <c r="A5" t="s">
        <v>4</v>
      </c>
      <c r="B5" t="s">
        <v>7</v>
      </c>
      <c r="C5" t="s">
        <v>1347</v>
      </c>
      <c r="D5">
        <v>3</v>
      </c>
    </row>
    <row r="6" spans="1:4" x14ac:dyDescent="0.25">
      <c r="A6" t="s">
        <v>4</v>
      </c>
      <c r="B6" t="s">
        <v>565</v>
      </c>
      <c r="C6" t="s">
        <v>1106</v>
      </c>
      <c r="D6">
        <v>1</v>
      </c>
    </row>
    <row r="7" spans="1:4" x14ac:dyDescent="0.25">
      <c r="A7" t="s">
        <v>4</v>
      </c>
      <c r="B7" t="s">
        <v>1117</v>
      </c>
      <c r="C7" t="s">
        <v>178</v>
      </c>
      <c r="D7">
        <v>2</v>
      </c>
    </row>
    <row r="8" spans="1:4" x14ac:dyDescent="0.25">
      <c r="A8" t="s">
        <v>4</v>
      </c>
      <c r="B8" t="s">
        <v>1117</v>
      </c>
      <c r="C8" t="s">
        <v>1348</v>
      </c>
      <c r="D8">
        <v>3</v>
      </c>
    </row>
    <row r="9" spans="1:4" x14ac:dyDescent="0.25">
      <c r="A9" t="s">
        <v>4</v>
      </c>
      <c r="B9" t="s">
        <v>11</v>
      </c>
      <c r="C9" t="s">
        <v>567</v>
      </c>
      <c r="D9">
        <v>0</v>
      </c>
    </row>
    <row r="10" spans="1:4" x14ac:dyDescent="0.25">
      <c r="A10" t="s">
        <v>4</v>
      </c>
      <c r="B10" t="s">
        <v>621</v>
      </c>
      <c r="C10" t="s">
        <v>1497</v>
      </c>
      <c r="D10">
        <v>-2</v>
      </c>
    </row>
    <row r="11" spans="1:4" x14ac:dyDescent="0.25">
      <c r="A11" t="s">
        <v>4</v>
      </c>
      <c r="B11" t="s">
        <v>572</v>
      </c>
      <c r="C11" t="s">
        <v>697</v>
      </c>
      <c r="D11">
        <v>-1</v>
      </c>
    </row>
    <row r="12" spans="1:4" x14ac:dyDescent="0.25">
      <c r="A12" t="s">
        <v>4</v>
      </c>
      <c r="B12" t="s">
        <v>572</v>
      </c>
      <c r="C12" t="s">
        <v>571</v>
      </c>
      <c r="D12">
        <v>0</v>
      </c>
    </row>
    <row r="13" spans="1:4" x14ac:dyDescent="0.25">
      <c r="A13" t="s">
        <v>4</v>
      </c>
      <c r="B13" t="s">
        <v>2250</v>
      </c>
      <c r="C13" t="s">
        <v>1744</v>
      </c>
      <c r="D13">
        <v>-2</v>
      </c>
    </row>
    <row r="14" spans="1:4" x14ac:dyDescent="0.25">
      <c r="A14" t="s">
        <v>4</v>
      </c>
      <c r="B14" t="s">
        <v>142</v>
      </c>
      <c r="C14" t="s">
        <v>1745</v>
      </c>
      <c r="D14">
        <v>-4</v>
      </c>
    </row>
    <row r="15" spans="1:4" x14ac:dyDescent="0.25">
      <c r="A15" t="s">
        <v>4</v>
      </c>
      <c r="B15" t="s">
        <v>1076</v>
      </c>
      <c r="C15" t="s">
        <v>441</v>
      </c>
      <c r="D15">
        <v>-2</v>
      </c>
    </row>
    <row r="16" spans="1:4" x14ac:dyDescent="0.25">
      <c r="A16" t="s">
        <v>4</v>
      </c>
      <c r="B16" t="s">
        <v>31</v>
      </c>
      <c r="C16" t="s">
        <v>30</v>
      </c>
      <c r="D16">
        <v>-1</v>
      </c>
    </row>
    <row r="17" spans="1:4" x14ac:dyDescent="0.25">
      <c r="A17" t="s">
        <v>4</v>
      </c>
      <c r="B17" t="s">
        <v>31</v>
      </c>
      <c r="C17" t="s">
        <v>443</v>
      </c>
      <c r="D17">
        <v>0</v>
      </c>
    </row>
    <row r="18" spans="1:4" x14ac:dyDescent="0.25">
      <c r="A18" t="s">
        <v>4</v>
      </c>
      <c r="B18" t="s">
        <v>793</v>
      </c>
      <c r="C18" t="s">
        <v>445</v>
      </c>
      <c r="D18">
        <v>-2</v>
      </c>
    </row>
    <row r="19" spans="1:4" x14ac:dyDescent="0.25">
      <c r="A19" t="s">
        <v>40</v>
      </c>
      <c r="B19" t="s">
        <v>1704</v>
      </c>
      <c r="C19" t="s">
        <v>578</v>
      </c>
      <c r="D19">
        <v>-5</v>
      </c>
    </row>
    <row r="20" spans="1:4" x14ac:dyDescent="0.25">
      <c r="A20" t="s">
        <v>40</v>
      </c>
      <c r="B20" t="s">
        <v>1431</v>
      </c>
      <c r="C20" t="s">
        <v>2156</v>
      </c>
      <c r="D20">
        <v>-2</v>
      </c>
    </row>
    <row r="21" spans="1:4" x14ac:dyDescent="0.25">
      <c r="A21" t="s">
        <v>40</v>
      </c>
      <c r="B21" t="s">
        <v>1408</v>
      </c>
      <c r="C21" t="s">
        <v>2299</v>
      </c>
      <c r="D21">
        <v>-4</v>
      </c>
    </row>
    <row r="22" spans="1:4" x14ac:dyDescent="0.25">
      <c r="A22" t="s">
        <v>40</v>
      </c>
      <c r="B22" t="s">
        <v>175</v>
      </c>
      <c r="C22" t="s">
        <v>1708</v>
      </c>
      <c r="D22">
        <v>-6</v>
      </c>
    </row>
    <row r="23" spans="1:4" x14ac:dyDescent="0.25">
      <c r="A23" t="s">
        <v>40</v>
      </c>
      <c r="B23" t="s">
        <v>175</v>
      </c>
      <c r="C23" t="s">
        <v>2300</v>
      </c>
      <c r="D23">
        <v>-7</v>
      </c>
    </row>
    <row r="24" spans="1:4" x14ac:dyDescent="0.25">
      <c r="A24" t="s">
        <v>40</v>
      </c>
      <c r="B24" t="s">
        <v>1836</v>
      </c>
      <c r="C24" t="s">
        <v>1509</v>
      </c>
      <c r="D24">
        <v>-4</v>
      </c>
    </row>
    <row r="25" spans="1:4" x14ac:dyDescent="0.25">
      <c r="A25" t="s">
        <v>40</v>
      </c>
      <c r="B25" t="s">
        <v>54</v>
      </c>
      <c r="C25" t="s">
        <v>589</v>
      </c>
      <c r="D25">
        <v>-1</v>
      </c>
    </row>
    <row r="26" spans="1:4" x14ac:dyDescent="0.25">
      <c r="A26" t="s">
        <v>40</v>
      </c>
      <c r="B26" t="s">
        <v>916</v>
      </c>
      <c r="C26" t="s">
        <v>52</v>
      </c>
      <c r="D26">
        <v>-4</v>
      </c>
    </row>
    <row r="27" spans="1:4" x14ac:dyDescent="0.25">
      <c r="A27" t="s">
        <v>40</v>
      </c>
      <c r="B27" t="s">
        <v>594</v>
      </c>
      <c r="C27" t="s">
        <v>4194</v>
      </c>
      <c r="D27">
        <v>-6</v>
      </c>
    </row>
    <row r="28" spans="1:4" x14ac:dyDescent="0.25">
      <c r="A28" t="s">
        <v>40</v>
      </c>
      <c r="B28" t="s">
        <v>1819</v>
      </c>
      <c r="C28" t="s">
        <v>4195</v>
      </c>
      <c r="D28">
        <v>-8</v>
      </c>
    </row>
    <row r="29" spans="1:4" x14ac:dyDescent="0.25">
      <c r="A29" t="s">
        <v>40</v>
      </c>
      <c r="B29" t="s">
        <v>2562</v>
      </c>
      <c r="C29" t="s">
        <v>1660</v>
      </c>
      <c r="D29">
        <v>-10</v>
      </c>
    </row>
    <row r="30" spans="1:4" x14ac:dyDescent="0.25">
      <c r="A30" t="s">
        <v>40</v>
      </c>
      <c r="B30" t="s">
        <v>2562</v>
      </c>
      <c r="C30" t="s">
        <v>3884</v>
      </c>
      <c r="D30">
        <v>-11</v>
      </c>
    </row>
    <row r="31" spans="1:4" x14ac:dyDescent="0.25">
      <c r="A31" t="s">
        <v>40</v>
      </c>
      <c r="B31" t="s">
        <v>112</v>
      </c>
      <c r="C31" t="s">
        <v>4196</v>
      </c>
      <c r="D31">
        <v>-14</v>
      </c>
    </row>
    <row r="32" spans="1:4" x14ac:dyDescent="0.25">
      <c r="A32" t="s">
        <v>40</v>
      </c>
      <c r="B32" t="s">
        <v>472</v>
      </c>
      <c r="C32" t="s">
        <v>4197</v>
      </c>
      <c r="D32">
        <v>-16</v>
      </c>
    </row>
    <row r="33" spans="1:4" x14ac:dyDescent="0.25">
      <c r="A33" t="s">
        <v>40</v>
      </c>
      <c r="B33" t="s">
        <v>1619</v>
      </c>
      <c r="C33" t="s">
        <v>4198</v>
      </c>
      <c r="D33">
        <v>-14</v>
      </c>
    </row>
    <row r="34" spans="1:4" x14ac:dyDescent="0.25">
      <c r="A34" t="s">
        <v>40</v>
      </c>
      <c r="B34" t="s">
        <v>1619</v>
      </c>
      <c r="C34" t="s">
        <v>4199</v>
      </c>
      <c r="D34">
        <v>-13</v>
      </c>
    </row>
    <row r="35" spans="1:4" x14ac:dyDescent="0.25">
      <c r="A35" t="s">
        <v>40</v>
      </c>
      <c r="B35" t="s">
        <v>877</v>
      </c>
      <c r="C35" t="s">
        <v>3770</v>
      </c>
      <c r="D35">
        <v>-16</v>
      </c>
    </row>
    <row r="36" spans="1:4" x14ac:dyDescent="0.25">
      <c r="A36" t="s">
        <v>40</v>
      </c>
      <c r="B36" t="s">
        <v>1402</v>
      </c>
      <c r="C36" t="s">
        <v>4200</v>
      </c>
      <c r="D36">
        <v>-14</v>
      </c>
    </row>
    <row r="37" spans="1:4" x14ac:dyDescent="0.25">
      <c r="A37" t="s">
        <v>40</v>
      </c>
      <c r="B37" t="s">
        <v>294</v>
      </c>
      <c r="C37" t="s">
        <v>4201</v>
      </c>
      <c r="D37">
        <v>-13</v>
      </c>
    </row>
    <row r="38" spans="1:4" x14ac:dyDescent="0.25">
      <c r="A38" t="s">
        <v>40</v>
      </c>
      <c r="B38" t="s">
        <v>202</v>
      </c>
      <c r="C38" t="s">
        <v>4202</v>
      </c>
      <c r="D38">
        <v>-15</v>
      </c>
    </row>
    <row r="39" spans="1:4" x14ac:dyDescent="0.25">
      <c r="A39" t="s">
        <v>40</v>
      </c>
      <c r="B39" t="s">
        <v>483</v>
      </c>
      <c r="C39" t="s">
        <v>3628</v>
      </c>
      <c r="D39">
        <v>-12</v>
      </c>
    </row>
    <row r="40" spans="1:4" x14ac:dyDescent="0.25">
      <c r="A40" t="s">
        <v>40</v>
      </c>
      <c r="B40" t="s">
        <v>584</v>
      </c>
      <c r="C40" t="s">
        <v>4203</v>
      </c>
      <c r="D40">
        <v>-11</v>
      </c>
    </row>
    <row r="41" spans="1:4" x14ac:dyDescent="0.25">
      <c r="A41" t="s">
        <v>40</v>
      </c>
      <c r="B41" t="s">
        <v>78</v>
      </c>
      <c r="C41" t="s">
        <v>814</v>
      </c>
      <c r="D41">
        <v>-12</v>
      </c>
    </row>
    <row r="42" spans="1:4" x14ac:dyDescent="0.25">
      <c r="A42" t="s">
        <v>40</v>
      </c>
      <c r="B42" t="s">
        <v>78</v>
      </c>
      <c r="C42" t="s">
        <v>4204</v>
      </c>
      <c r="D42">
        <v>-13</v>
      </c>
    </row>
    <row r="43" spans="1:4" x14ac:dyDescent="0.25">
      <c r="A43" t="s">
        <v>80</v>
      </c>
      <c r="B43" t="s">
        <v>714</v>
      </c>
      <c r="C43" t="s">
        <v>4205</v>
      </c>
      <c r="D43">
        <v>-10</v>
      </c>
    </row>
    <row r="44" spans="1:4" x14ac:dyDescent="0.25">
      <c r="A44" t="s">
        <v>80</v>
      </c>
      <c r="B44" t="s">
        <v>1664</v>
      </c>
      <c r="C44" t="s">
        <v>4206</v>
      </c>
      <c r="D44">
        <v>-13</v>
      </c>
    </row>
    <row r="45" spans="1:4" x14ac:dyDescent="0.25">
      <c r="A45" t="s">
        <v>80</v>
      </c>
      <c r="B45" t="s">
        <v>693</v>
      </c>
      <c r="C45" t="s">
        <v>4141</v>
      </c>
      <c r="D45">
        <v>-11</v>
      </c>
    </row>
    <row r="46" spans="1:4" x14ac:dyDescent="0.25">
      <c r="A46" t="s">
        <v>80</v>
      </c>
      <c r="B46" t="s">
        <v>1754</v>
      </c>
      <c r="C46" t="s">
        <v>620</v>
      </c>
      <c r="D46">
        <v>-9</v>
      </c>
    </row>
    <row r="47" spans="1:4" x14ac:dyDescent="0.25">
      <c r="A47" t="s">
        <v>80</v>
      </c>
      <c r="B47" t="s">
        <v>914</v>
      </c>
      <c r="C47" t="s">
        <v>3593</v>
      </c>
      <c r="D47">
        <v>-11</v>
      </c>
    </row>
    <row r="48" spans="1:4" x14ac:dyDescent="0.25">
      <c r="A48" t="s">
        <v>80</v>
      </c>
      <c r="B48" t="s">
        <v>23</v>
      </c>
      <c r="C48" t="s">
        <v>98</v>
      </c>
      <c r="D48">
        <v>-8</v>
      </c>
    </row>
    <row r="49" spans="1:4" x14ac:dyDescent="0.25">
      <c r="A49" t="s">
        <v>80</v>
      </c>
      <c r="B49" t="s">
        <v>25</v>
      </c>
      <c r="C49" t="s">
        <v>4207</v>
      </c>
      <c r="D49">
        <v>-10</v>
      </c>
    </row>
    <row r="50" spans="1:4" x14ac:dyDescent="0.25">
      <c r="A50" t="s">
        <v>80</v>
      </c>
      <c r="B50" t="s">
        <v>444</v>
      </c>
      <c r="C50" t="s">
        <v>4208</v>
      </c>
      <c r="D50">
        <v>-12</v>
      </c>
    </row>
    <row r="51" spans="1:4" x14ac:dyDescent="0.25">
      <c r="A51" t="s">
        <v>80</v>
      </c>
      <c r="B51" t="s">
        <v>788</v>
      </c>
      <c r="C51" t="s">
        <v>4209</v>
      </c>
      <c r="D51">
        <v>-10</v>
      </c>
    </row>
    <row r="52" spans="1:4" x14ac:dyDescent="0.25">
      <c r="A52" t="s">
        <v>80</v>
      </c>
      <c r="B52" t="s">
        <v>120</v>
      </c>
      <c r="C52" t="s">
        <v>829</v>
      </c>
      <c r="D52">
        <v>-8</v>
      </c>
    </row>
    <row r="53" spans="1:4" x14ac:dyDescent="0.25">
      <c r="A53" t="s">
        <v>80</v>
      </c>
      <c r="B53" t="s">
        <v>1988</v>
      </c>
      <c r="C53" t="s">
        <v>830</v>
      </c>
      <c r="D53">
        <v>-9</v>
      </c>
    </row>
    <row r="54" spans="1:4" x14ac:dyDescent="0.25">
      <c r="A54" t="s">
        <v>80</v>
      </c>
      <c r="B54" t="s">
        <v>1988</v>
      </c>
      <c r="C54" t="s">
        <v>4210</v>
      </c>
      <c r="D54">
        <v>-10</v>
      </c>
    </row>
    <row r="55" spans="1:4" x14ac:dyDescent="0.25">
      <c r="A55" t="s">
        <v>80</v>
      </c>
      <c r="B55" t="s">
        <v>33</v>
      </c>
      <c r="C55" t="s">
        <v>109</v>
      </c>
      <c r="D55">
        <v>-9</v>
      </c>
    </row>
    <row r="56" spans="1:4" x14ac:dyDescent="0.25">
      <c r="A56" t="s">
        <v>80</v>
      </c>
      <c r="B56" t="s">
        <v>235</v>
      </c>
      <c r="C56" t="s">
        <v>4211</v>
      </c>
      <c r="D56">
        <v>-11</v>
      </c>
    </row>
    <row r="57" spans="1:4" x14ac:dyDescent="0.25">
      <c r="A57" t="s">
        <v>123</v>
      </c>
      <c r="B57" t="s">
        <v>398</v>
      </c>
      <c r="C57" t="s">
        <v>4212</v>
      </c>
      <c r="D57">
        <v>-14</v>
      </c>
    </row>
    <row r="58" spans="1:4" x14ac:dyDescent="0.25">
      <c r="A58" t="s">
        <v>123</v>
      </c>
      <c r="B58" t="s">
        <v>868</v>
      </c>
      <c r="C58" t="s">
        <v>3955</v>
      </c>
      <c r="D58">
        <v>-16</v>
      </c>
    </row>
    <row r="59" spans="1:4" x14ac:dyDescent="0.25">
      <c r="A59" t="s">
        <v>123</v>
      </c>
      <c r="B59" t="s">
        <v>465</v>
      </c>
      <c r="C59" t="s">
        <v>4213</v>
      </c>
      <c r="D59">
        <v>-13</v>
      </c>
    </row>
    <row r="60" spans="1:4" x14ac:dyDescent="0.25">
      <c r="A60" t="s">
        <v>123</v>
      </c>
      <c r="B60" t="s">
        <v>435</v>
      </c>
      <c r="C60" t="s">
        <v>2574</v>
      </c>
      <c r="D60">
        <v>-10</v>
      </c>
    </row>
    <row r="61" spans="1:4" x14ac:dyDescent="0.25">
      <c r="A61" t="s">
        <v>123</v>
      </c>
      <c r="B61" t="s">
        <v>663</v>
      </c>
      <c r="C61" t="s">
        <v>2420</v>
      </c>
      <c r="D61">
        <v>-8</v>
      </c>
    </row>
    <row r="62" spans="1:4" x14ac:dyDescent="0.25">
      <c r="A62" t="s">
        <v>123</v>
      </c>
      <c r="B62" t="s">
        <v>577</v>
      </c>
      <c r="C62" t="s">
        <v>4214</v>
      </c>
      <c r="D62">
        <v>-6</v>
      </c>
    </row>
    <row r="63" spans="1:4" x14ac:dyDescent="0.25">
      <c r="A63" t="s">
        <v>123</v>
      </c>
      <c r="B63" t="s">
        <v>577</v>
      </c>
      <c r="C63" t="s">
        <v>1238</v>
      </c>
      <c r="D63">
        <v>-5</v>
      </c>
    </row>
    <row r="64" spans="1:4" x14ac:dyDescent="0.25">
      <c r="A64" t="s">
        <v>123</v>
      </c>
      <c r="B64" t="s">
        <v>524</v>
      </c>
      <c r="C64" t="s">
        <v>278</v>
      </c>
      <c r="D64">
        <v>-4</v>
      </c>
    </row>
    <row r="65" spans="1:4" x14ac:dyDescent="0.25">
      <c r="A65" t="s">
        <v>123</v>
      </c>
      <c r="B65" t="s">
        <v>1882</v>
      </c>
      <c r="C65" t="s">
        <v>758</v>
      </c>
      <c r="D65">
        <v>-2</v>
      </c>
    </row>
    <row r="66" spans="1:4" x14ac:dyDescent="0.25">
      <c r="A66" t="s">
        <v>123</v>
      </c>
      <c r="B66" t="s">
        <v>231</v>
      </c>
      <c r="C66" t="s">
        <v>281</v>
      </c>
      <c r="D66">
        <v>-3</v>
      </c>
    </row>
    <row r="67" spans="1:4" x14ac:dyDescent="0.25">
      <c r="A67" t="s">
        <v>123</v>
      </c>
      <c r="B67" t="s">
        <v>231</v>
      </c>
      <c r="C67" t="s">
        <v>1537</v>
      </c>
      <c r="D67">
        <v>-4</v>
      </c>
    </row>
    <row r="68" spans="1:4" x14ac:dyDescent="0.25">
      <c r="A68" t="s">
        <v>123</v>
      </c>
      <c r="B68" t="s">
        <v>296</v>
      </c>
      <c r="C68" t="s">
        <v>1538</v>
      </c>
      <c r="D68">
        <v>-5</v>
      </c>
    </row>
    <row r="69" spans="1:4" x14ac:dyDescent="0.25">
      <c r="A69" t="s">
        <v>123</v>
      </c>
      <c r="B69" t="s">
        <v>233</v>
      </c>
      <c r="C69" t="s">
        <v>3095</v>
      </c>
      <c r="D69">
        <v>-7</v>
      </c>
    </row>
    <row r="70" spans="1:4" x14ac:dyDescent="0.25">
      <c r="A70" t="s">
        <v>123</v>
      </c>
      <c r="B70" t="s">
        <v>2042</v>
      </c>
      <c r="C70" t="s">
        <v>2236</v>
      </c>
      <c r="D70">
        <v>-6</v>
      </c>
    </row>
    <row r="71" spans="1:4" x14ac:dyDescent="0.25">
      <c r="A71" t="s">
        <v>123</v>
      </c>
      <c r="B71" t="s">
        <v>2042</v>
      </c>
      <c r="C71" t="s">
        <v>3202</v>
      </c>
      <c r="D71">
        <v>-5</v>
      </c>
    </row>
    <row r="72" spans="1:4" x14ac:dyDescent="0.25">
      <c r="A72" t="s">
        <v>123</v>
      </c>
      <c r="B72" t="s">
        <v>33</v>
      </c>
      <c r="C72" t="s">
        <v>4215</v>
      </c>
      <c r="D72">
        <v>-6</v>
      </c>
    </row>
    <row r="73" spans="1:4" x14ac:dyDescent="0.25">
      <c r="A73" t="s">
        <v>123</v>
      </c>
      <c r="B73" t="s">
        <v>33</v>
      </c>
      <c r="C73" t="s">
        <v>2143</v>
      </c>
      <c r="D73">
        <v>-7</v>
      </c>
    </row>
    <row r="74" spans="1:4" x14ac:dyDescent="0.25">
      <c r="A74" t="s">
        <v>123</v>
      </c>
      <c r="B74" t="s">
        <v>1162</v>
      </c>
      <c r="C74" t="s">
        <v>2144</v>
      </c>
      <c r="D74">
        <v>-9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-6.904109589041096</v>
      </c>
    </row>
    <row r="78" spans="1:4" x14ac:dyDescent="0.25">
      <c r="A78" t="s">
        <v>159</v>
      </c>
      <c r="D78">
        <f>MAX(D2:D74)</f>
        <v>3</v>
      </c>
    </row>
    <row r="79" spans="1:4" x14ac:dyDescent="0.25">
      <c r="A79" t="s">
        <v>160</v>
      </c>
      <c r="D79">
        <f>MIN(D2:D74)</f>
        <v>-16</v>
      </c>
    </row>
    <row r="80" spans="1:4" x14ac:dyDescent="0.25">
      <c r="A80" t="s">
        <v>161</v>
      </c>
      <c r="D80">
        <f>COUNTIF(D2:D74,"&gt;0")</f>
        <v>6</v>
      </c>
    </row>
    <row r="81" spans="1:4" x14ac:dyDescent="0.25">
      <c r="A81" t="s">
        <v>162</v>
      </c>
      <c r="D81">
        <f>COUNTIF(D2:D74,"=0")</f>
        <v>4</v>
      </c>
    </row>
    <row r="82" spans="1:4" x14ac:dyDescent="0.25">
      <c r="A82" t="s">
        <v>1428</v>
      </c>
      <c r="D82">
        <f>COUNTIF(D2:D74,"&lt;0")</f>
        <v>63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AVERAGE(D2,D3,D4,D5,D6,D7,D8,D9,D10,D11,D12,D13,D14,D15,D16,D17,D18)</f>
        <v>-0.11764705882352941</v>
      </c>
    </row>
    <row r="86" spans="1:4" x14ac:dyDescent="0.25">
      <c r="A86" t="s">
        <v>166</v>
      </c>
      <c r="D86">
        <f>AVERAGE(D19,D20,D21,D22,D23,D24,D25,D26,D27,D28,D29,D30,D31,D32,D33,D34,D35,D36,D37,D38,D39,D40,D41,D42)</f>
        <v>-9.625</v>
      </c>
    </row>
    <row r="87" spans="1:4" x14ac:dyDescent="0.25">
      <c r="A87" t="s">
        <v>167</v>
      </c>
      <c r="D87">
        <f>AVERAGE(D43,D44,D45,D46,D47,D48,D49,D50,D51,D52,D53,D54,D55,D56)</f>
        <v>-10.071428571428571</v>
      </c>
    </row>
    <row r="88" spans="1:4" x14ac:dyDescent="0.25">
      <c r="A88" t="s">
        <v>168</v>
      </c>
      <c r="D88">
        <f>AVERAGE(D57,D58,D59,D60,D61,D62,D63,D64,D65,D66,D67,D68,D69,D70,D71,D72,D73,D74)</f>
        <v>-7.2222222222222223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7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1007</v>
      </c>
      <c r="C2" t="s">
        <v>908</v>
      </c>
      <c r="D2">
        <v>-2</v>
      </c>
    </row>
    <row r="3" spans="1:4" x14ac:dyDescent="0.25">
      <c r="A3" t="s">
        <v>4</v>
      </c>
      <c r="B3" t="s">
        <v>427</v>
      </c>
      <c r="C3" t="s">
        <v>174</v>
      </c>
      <c r="D3">
        <v>1</v>
      </c>
    </row>
    <row r="4" spans="1:4" x14ac:dyDescent="0.25">
      <c r="A4" t="s">
        <v>4</v>
      </c>
      <c r="B4" t="s">
        <v>1143</v>
      </c>
      <c r="C4" t="s">
        <v>176</v>
      </c>
      <c r="D4">
        <v>4</v>
      </c>
    </row>
    <row r="5" spans="1:4" x14ac:dyDescent="0.25">
      <c r="A5" t="s">
        <v>4</v>
      </c>
      <c r="B5" t="s">
        <v>621</v>
      </c>
      <c r="C5" t="s">
        <v>1193</v>
      </c>
      <c r="D5">
        <v>1</v>
      </c>
    </row>
    <row r="6" spans="1:4" x14ac:dyDescent="0.25">
      <c r="A6" t="s">
        <v>4</v>
      </c>
      <c r="B6" t="s">
        <v>363</v>
      </c>
      <c r="C6" t="s">
        <v>432</v>
      </c>
      <c r="D6">
        <v>2</v>
      </c>
    </row>
    <row r="7" spans="1:4" x14ac:dyDescent="0.25">
      <c r="A7" t="s">
        <v>4</v>
      </c>
      <c r="B7" t="s">
        <v>1284</v>
      </c>
      <c r="C7" t="s">
        <v>434</v>
      </c>
      <c r="D7">
        <v>-1</v>
      </c>
    </row>
    <row r="8" spans="1:4" x14ac:dyDescent="0.25">
      <c r="A8" t="s">
        <v>4</v>
      </c>
      <c r="B8" t="s">
        <v>726</v>
      </c>
      <c r="C8" t="s">
        <v>22</v>
      </c>
      <c r="D8">
        <v>2</v>
      </c>
    </row>
    <row r="9" spans="1:4" x14ac:dyDescent="0.25">
      <c r="A9" t="s">
        <v>4</v>
      </c>
      <c r="B9" t="s">
        <v>2250</v>
      </c>
      <c r="C9" t="s">
        <v>1110</v>
      </c>
      <c r="D9">
        <v>0</v>
      </c>
    </row>
    <row r="10" spans="1:4" x14ac:dyDescent="0.25">
      <c r="A10" t="s">
        <v>4</v>
      </c>
      <c r="B10" t="s">
        <v>2250</v>
      </c>
      <c r="C10" t="s">
        <v>917</v>
      </c>
      <c r="D10">
        <v>2</v>
      </c>
    </row>
    <row r="11" spans="1:4" x14ac:dyDescent="0.25">
      <c r="A11" t="s">
        <v>4</v>
      </c>
      <c r="B11" t="s">
        <v>196</v>
      </c>
      <c r="C11" t="s">
        <v>1575</v>
      </c>
      <c r="D11">
        <v>4</v>
      </c>
    </row>
    <row r="12" spans="1:4" x14ac:dyDescent="0.25">
      <c r="A12" t="s">
        <v>4</v>
      </c>
      <c r="B12" t="s">
        <v>667</v>
      </c>
      <c r="C12" t="s">
        <v>1111</v>
      </c>
      <c r="D12">
        <v>5</v>
      </c>
    </row>
    <row r="13" spans="1:4" x14ac:dyDescent="0.25">
      <c r="A13" t="s">
        <v>4</v>
      </c>
      <c r="B13" t="s">
        <v>1312</v>
      </c>
      <c r="C13" t="s">
        <v>321</v>
      </c>
      <c r="D13">
        <v>6</v>
      </c>
    </row>
    <row r="14" spans="1:4" x14ac:dyDescent="0.25">
      <c r="A14" t="s">
        <v>4</v>
      </c>
      <c r="B14" t="s">
        <v>2317</v>
      </c>
      <c r="C14" t="s">
        <v>1926</v>
      </c>
      <c r="D14">
        <v>3</v>
      </c>
    </row>
    <row r="15" spans="1:4" x14ac:dyDescent="0.25">
      <c r="A15" t="s">
        <v>4</v>
      </c>
      <c r="B15" t="s">
        <v>31</v>
      </c>
      <c r="C15" t="s">
        <v>1578</v>
      </c>
      <c r="D15">
        <v>4</v>
      </c>
    </row>
    <row r="16" spans="1:4" x14ac:dyDescent="0.25">
      <c r="A16" t="s">
        <v>4</v>
      </c>
      <c r="B16" t="s">
        <v>999</v>
      </c>
      <c r="C16" t="s">
        <v>1579</v>
      </c>
      <c r="D16">
        <v>6</v>
      </c>
    </row>
    <row r="17" spans="1:4" x14ac:dyDescent="0.25">
      <c r="A17" t="s">
        <v>40</v>
      </c>
      <c r="B17" t="s">
        <v>1083</v>
      </c>
      <c r="C17" t="s">
        <v>2047</v>
      </c>
      <c r="D17">
        <v>8</v>
      </c>
    </row>
    <row r="18" spans="1:4" x14ac:dyDescent="0.25">
      <c r="A18" t="s">
        <v>40</v>
      </c>
      <c r="B18" t="s">
        <v>823</v>
      </c>
      <c r="C18" t="s">
        <v>330</v>
      </c>
      <c r="D18">
        <v>5</v>
      </c>
    </row>
    <row r="19" spans="1:4" x14ac:dyDescent="0.25">
      <c r="A19" t="s">
        <v>40</v>
      </c>
      <c r="B19" t="s">
        <v>1768</v>
      </c>
      <c r="C19" t="s">
        <v>1822</v>
      </c>
      <c r="D19">
        <v>2</v>
      </c>
    </row>
    <row r="20" spans="1:4" x14ac:dyDescent="0.25">
      <c r="A20" t="s">
        <v>40</v>
      </c>
      <c r="B20" t="s">
        <v>1549</v>
      </c>
      <c r="C20" t="s">
        <v>1438</v>
      </c>
      <c r="D20">
        <v>0</v>
      </c>
    </row>
    <row r="21" spans="1:4" x14ac:dyDescent="0.25">
      <c r="A21" t="s">
        <v>40</v>
      </c>
      <c r="B21" t="s">
        <v>1194</v>
      </c>
      <c r="C21" t="s">
        <v>2328</v>
      </c>
      <c r="D21">
        <v>-2</v>
      </c>
    </row>
    <row r="22" spans="1:4" x14ac:dyDescent="0.25">
      <c r="A22" t="s">
        <v>40</v>
      </c>
      <c r="B22" t="s">
        <v>1105</v>
      </c>
      <c r="C22" t="s">
        <v>48</v>
      </c>
      <c r="D22">
        <v>-3</v>
      </c>
    </row>
    <row r="23" spans="1:4" x14ac:dyDescent="0.25">
      <c r="A23" t="s">
        <v>40</v>
      </c>
      <c r="B23" t="s">
        <v>1105</v>
      </c>
      <c r="C23" t="s">
        <v>2329</v>
      </c>
      <c r="D23">
        <v>-4</v>
      </c>
    </row>
    <row r="24" spans="1:4" x14ac:dyDescent="0.25">
      <c r="A24" t="s">
        <v>40</v>
      </c>
      <c r="B24" t="s">
        <v>435</v>
      </c>
      <c r="C24" t="s">
        <v>3832</v>
      </c>
      <c r="D24">
        <v>-7</v>
      </c>
    </row>
    <row r="25" spans="1:4" x14ac:dyDescent="0.25">
      <c r="A25" t="s">
        <v>40</v>
      </c>
      <c r="B25" t="s">
        <v>263</v>
      </c>
      <c r="C25" t="s">
        <v>3833</v>
      </c>
      <c r="D25">
        <v>-5</v>
      </c>
    </row>
    <row r="26" spans="1:4" x14ac:dyDescent="0.25">
      <c r="A26" t="s">
        <v>40</v>
      </c>
      <c r="B26" t="s">
        <v>376</v>
      </c>
      <c r="C26" t="s">
        <v>459</v>
      </c>
      <c r="D26">
        <v>-3</v>
      </c>
    </row>
    <row r="27" spans="1:4" x14ac:dyDescent="0.25">
      <c r="A27" t="s">
        <v>40</v>
      </c>
      <c r="B27" t="s">
        <v>605</v>
      </c>
      <c r="C27" t="s">
        <v>461</v>
      </c>
      <c r="D27">
        <v>-5</v>
      </c>
    </row>
    <row r="28" spans="1:4" x14ac:dyDescent="0.25">
      <c r="A28" t="s">
        <v>40</v>
      </c>
      <c r="B28" t="s">
        <v>987</v>
      </c>
      <c r="C28" t="s">
        <v>463</v>
      </c>
      <c r="D28">
        <v>-2</v>
      </c>
    </row>
    <row r="29" spans="1:4" x14ac:dyDescent="0.25">
      <c r="A29" t="s">
        <v>40</v>
      </c>
      <c r="B29" t="s">
        <v>1376</v>
      </c>
      <c r="C29" t="s">
        <v>464</v>
      </c>
      <c r="D29">
        <v>0</v>
      </c>
    </row>
    <row r="30" spans="1:4" x14ac:dyDescent="0.25">
      <c r="A30" t="s">
        <v>40</v>
      </c>
      <c r="B30" t="s">
        <v>72</v>
      </c>
      <c r="C30" t="s">
        <v>65</v>
      </c>
      <c r="D30">
        <v>-2</v>
      </c>
    </row>
    <row r="31" spans="1:4" x14ac:dyDescent="0.25">
      <c r="A31" t="s">
        <v>40</v>
      </c>
      <c r="B31" t="s">
        <v>582</v>
      </c>
      <c r="C31" t="s">
        <v>466</v>
      </c>
      <c r="D31">
        <v>0</v>
      </c>
    </row>
    <row r="32" spans="1:4" x14ac:dyDescent="0.25">
      <c r="A32" t="s">
        <v>40</v>
      </c>
      <c r="B32" t="s">
        <v>559</v>
      </c>
      <c r="C32" t="s">
        <v>1827</v>
      </c>
      <c r="D32">
        <v>-2</v>
      </c>
    </row>
    <row r="33" spans="1:4" x14ac:dyDescent="0.25">
      <c r="A33" t="s">
        <v>80</v>
      </c>
      <c r="B33" t="s">
        <v>41</v>
      </c>
      <c r="C33" t="s">
        <v>470</v>
      </c>
      <c r="D33">
        <v>0</v>
      </c>
    </row>
    <row r="34" spans="1:4" x14ac:dyDescent="0.25">
      <c r="A34" t="s">
        <v>80</v>
      </c>
      <c r="B34" t="s">
        <v>777</v>
      </c>
      <c r="C34" t="s">
        <v>230</v>
      </c>
      <c r="D34">
        <v>2</v>
      </c>
    </row>
    <row r="35" spans="1:4" x14ac:dyDescent="0.25">
      <c r="A35" t="s">
        <v>80</v>
      </c>
      <c r="B35" t="s">
        <v>1545</v>
      </c>
      <c r="C35" t="s">
        <v>1668</v>
      </c>
      <c r="D35">
        <v>4</v>
      </c>
    </row>
    <row r="36" spans="1:4" x14ac:dyDescent="0.25">
      <c r="A36" t="s">
        <v>80</v>
      </c>
      <c r="B36" t="s">
        <v>1027</v>
      </c>
      <c r="C36" t="s">
        <v>476</v>
      </c>
      <c r="D36">
        <v>1</v>
      </c>
    </row>
    <row r="37" spans="1:4" x14ac:dyDescent="0.25">
      <c r="A37" t="s">
        <v>80</v>
      </c>
      <c r="B37" t="s">
        <v>359</v>
      </c>
      <c r="C37" t="s">
        <v>238</v>
      </c>
      <c r="D37">
        <v>-2</v>
      </c>
    </row>
    <row r="38" spans="1:4" x14ac:dyDescent="0.25">
      <c r="A38" t="s">
        <v>80</v>
      </c>
      <c r="B38" t="s">
        <v>1033</v>
      </c>
      <c r="C38" t="s">
        <v>733</v>
      </c>
      <c r="D38">
        <v>0</v>
      </c>
    </row>
    <row r="39" spans="1:4" x14ac:dyDescent="0.25">
      <c r="A39" t="s">
        <v>80</v>
      </c>
      <c r="B39" t="s">
        <v>95</v>
      </c>
      <c r="C39" t="s">
        <v>734</v>
      </c>
      <c r="D39">
        <v>2</v>
      </c>
    </row>
    <row r="40" spans="1:4" x14ac:dyDescent="0.25">
      <c r="A40" t="s">
        <v>80</v>
      </c>
      <c r="B40" t="s">
        <v>313</v>
      </c>
      <c r="C40" t="s">
        <v>2596</v>
      </c>
      <c r="D40">
        <v>5</v>
      </c>
    </row>
    <row r="41" spans="1:4" x14ac:dyDescent="0.25">
      <c r="A41" t="s">
        <v>80</v>
      </c>
      <c r="B41" t="s">
        <v>1092</v>
      </c>
      <c r="C41" t="s">
        <v>2169</v>
      </c>
      <c r="D41">
        <v>6</v>
      </c>
    </row>
    <row r="42" spans="1:4" x14ac:dyDescent="0.25">
      <c r="A42" t="s">
        <v>80</v>
      </c>
      <c r="B42" t="s">
        <v>1092</v>
      </c>
      <c r="C42" t="s">
        <v>1147</v>
      </c>
      <c r="D42">
        <v>7</v>
      </c>
    </row>
    <row r="43" spans="1:4" x14ac:dyDescent="0.25">
      <c r="A43" t="s">
        <v>80</v>
      </c>
      <c r="B43" t="s">
        <v>411</v>
      </c>
      <c r="C43" t="s">
        <v>2598</v>
      </c>
      <c r="D43">
        <v>6</v>
      </c>
    </row>
    <row r="44" spans="1:4" x14ac:dyDescent="0.25">
      <c r="A44" t="s">
        <v>80</v>
      </c>
      <c r="B44" t="s">
        <v>411</v>
      </c>
      <c r="C44" t="s">
        <v>3699</v>
      </c>
      <c r="D44">
        <v>5</v>
      </c>
    </row>
    <row r="45" spans="1:4" x14ac:dyDescent="0.25">
      <c r="A45" t="s">
        <v>80</v>
      </c>
      <c r="B45" t="s">
        <v>380</v>
      </c>
      <c r="C45" t="s">
        <v>3700</v>
      </c>
      <c r="D45">
        <v>7</v>
      </c>
    </row>
    <row r="46" spans="1:4" x14ac:dyDescent="0.25">
      <c r="A46" t="s">
        <v>80</v>
      </c>
      <c r="B46" t="s">
        <v>1202</v>
      </c>
      <c r="C46" t="s">
        <v>2549</v>
      </c>
      <c r="D46">
        <v>5</v>
      </c>
    </row>
    <row r="47" spans="1:4" x14ac:dyDescent="0.25">
      <c r="A47" t="s">
        <v>80</v>
      </c>
      <c r="B47" t="s">
        <v>1874</v>
      </c>
      <c r="C47" t="s">
        <v>3093</v>
      </c>
      <c r="D47">
        <v>4</v>
      </c>
    </row>
    <row r="48" spans="1:4" x14ac:dyDescent="0.25">
      <c r="A48" t="s">
        <v>80</v>
      </c>
      <c r="B48" t="s">
        <v>1874</v>
      </c>
      <c r="C48" t="s">
        <v>373</v>
      </c>
      <c r="D48">
        <v>3</v>
      </c>
    </row>
    <row r="49" spans="1:4" x14ac:dyDescent="0.25">
      <c r="A49" t="s">
        <v>80</v>
      </c>
      <c r="B49" t="s">
        <v>76</v>
      </c>
      <c r="C49" t="s">
        <v>489</v>
      </c>
      <c r="D49">
        <v>4</v>
      </c>
    </row>
    <row r="50" spans="1:4" x14ac:dyDescent="0.25">
      <c r="A50" t="s">
        <v>123</v>
      </c>
      <c r="B50" t="s">
        <v>1789</v>
      </c>
      <c r="C50" t="s">
        <v>491</v>
      </c>
      <c r="D50">
        <v>7</v>
      </c>
    </row>
    <row r="51" spans="1:4" x14ac:dyDescent="0.25">
      <c r="A51" t="s">
        <v>123</v>
      </c>
      <c r="B51" t="s">
        <v>211</v>
      </c>
      <c r="C51" t="s">
        <v>3733</v>
      </c>
      <c r="D51">
        <v>6</v>
      </c>
    </row>
    <row r="52" spans="1:4" x14ac:dyDescent="0.25">
      <c r="A52" t="s">
        <v>123</v>
      </c>
      <c r="B52" t="s">
        <v>1453</v>
      </c>
      <c r="C52" t="s">
        <v>4015</v>
      </c>
      <c r="D52">
        <v>7</v>
      </c>
    </row>
    <row r="53" spans="1:4" x14ac:dyDescent="0.25">
      <c r="A53" t="s">
        <v>123</v>
      </c>
      <c r="B53" t="s">
        <v>1771</v>
      </c>
      <c r="C53" t="s">
        <v>2273</v>
      </c>
      <c r="D53">
        <v>5</v>
      </c>
    </row>
    <row r="54" spans="1:4" x14ac:dyDescent="0.25">
      <c r="A54" t="s">
        <v>123</v>
      </c>
      <c r="B54" t="s">
        <v>1826</v>
      </c>
      <c r="C54" t="s">
        <v>2274</v>
      </c>
      <c r="D54">
        <v>8</v>
      </c>
    </row>
    <row r="55" spans="1:4" x14ac:dyDescent="0.25">
      <c r="A55" t="s">
        <v>123</v>
      </c>
      <c r="B55" t="s">
        <v>1693</v>
      </c>
      <c r="C55" t="s">
        <v>1465</v>
      </c>
      <c r="D55">
        <v>10</v>
      </c>
    </row>
    <row r="56" spans="1:4" x14ac:dyDescent="0.25">
      <c r="A56" t="s">
        <v>123</v>
      </c>
      <c r="B56" t="s">
        <v>1695</v>
      </c>
      <c r="C56" t="s">
        <v>3997</v>
      </c>
      <c r="D56">
        <v>8</v>
      </c>
    </row>
    <row r="57" spans="1:4" x14ac:dyDescent="0.25">
      <c r="A57" t="s">
        <v>123</v>
      </c>
      <c r="B57" t="s">
        <v>1436</v>
      </c>
      <c r="C57" t="s">
        <v>1467</v>
      </c>
      <c r="D57">
        <v>11</v>
      </c>
    </row>
    <row r="58" spans="1:4" x14ac:dyDescent="0.25">
      <c r="A58" t="s">
        <v>123</v>
      </c>
      <c r="B58" t="s">
        <v>142</v>
      </c>
      <c r="C58" t="s">
        <v>1165</v>
      </c>
      <c r="D58">
        <v>8</v>
      </c>
    </row>
    <row r="59" spans="1:4" x14ac:dyDescent="0.25">
      <c r="A59" t="s">
        <v>123</v>
      </c>
      <c r="B59" t="s">
        <v>467</v>
      </c>
      <c r="C59" t="s">
        <v>2989</v>
      </c>
      <c r="D59">
        <v>11</v>
      </c>
    </row>
    <row r="60" spans="1:4" x14ac:dyDescent="0.25">
      <c r="A60" t="s">
        <v>123</v>
      </c>
      <c r="B60" t="s">
        <v>292</v>
      </c>
      <c r="C60" t="s">
        <v>3734</v>
      </c>
      <c r="D60">
        <v>14</v>
      </c>
    </row>
    <row r="61" spans="1:4" x14ac:dyDescent="0.25">
      <c r="A61" t="s">
        <v>123</v>
      </c>
      <c r="B61" t="s">
        <v>1177</v>
      </c>
      <c r="C61" t="s">
        <v>1469</v>
      </c>
      <c r="D61">
        <v>11</v>
      </c>
    </row>
    <row r="62" spans="1:4" x14ac:dyDescent="0.25">
      <c r="A62" t="s">
        <v>123</v>
      </c>
      <c r="B62" t="s">
        <v>1237</v>
      </c>
      <c r="C62" t="s">
        <v>399</v>
      </c>
      <c r="D62">
        <v>10</v>
      </c>
    </row>
    <row r="63" spans="1:4" x14ac:dyDescent="0.25">
      <c r="A63" t="s">
        <v>123</v>
      </c>
      <c r="B63" t="s">
        <v>1237</v>
      </c>
      <c r="C63" t="s">
        <v>1612</v>
      </c>
      <c r="D63">
        <v>9</v>
      </c>
    </row>
    <row r="64" spans="1:4" x14ac:dyDescent="0.25">
      <c r="A64" t="s">
        <v>123</v>
      </c>
      <c r="B64" t="s">
        <v>675</v>
      </c>
      <c r="C64" t="s">
        <v>3351</v>
      </c>
      <c r="D64">
        <v>11</v>
      </c>
    </row>
    <row r="66" spans="1:4" x14ac:dyDescent="0.25">
      <c r="A66" s="2" t="s">
        <v>157</v>
      </c>
    </row>
    <row r="67" spans="1:4" x14ac:dyDescent="0.25">
      <c r="A67" t="s">
        <v>158</v>
      </c>
      <c r="D67">
        <f>AVERAGE(D2:D64)</f>
        <v>3.3650793650793651</v>
      </c>
    </row>
    <row r="68" spans="1:4" x14ac:dyDescent="0.25">
      <c r="A68" t="s">
        <v>159</v>
      </c>
      <c r="D68">
        <f>MAX(D2:D64)</f>
        <v>14</v>
      </c>
    </row>
    <row r="69" spans="1:4" x14ac:dyDescent="0.25">
      <c r="A69" t="s">
        <v>160</v>
      </c>
      <c r="D69">
        <f>MIN(D2:D64)</f>
        <v>-7</v>
      </c>
    </row>
    <row r="70" spans="1:4" x14ac:dyDescent="0.25">
      <c r="A70" t="s">
        <v>161</v>
      </c>
      <c r="D70">
        <f>COUNTIF(D2:D64,"&gt;0")</f>
        <v>44</v>
      </c>
    </row>
    <row r="71" spans="1:4" x14ac:dyDescent="0.25">
      <c r="A71" t="s">
        <v>162</v>
      </c>
      <c r="D71">
        <f>COUNTIF(D2:D64,"=0")</f>
        <v>6</v>
      </c>
    </row>
    <row r="72" spans="1:4" x14ac:dyDescent="0.25">
      <c r="A72" t="s">
        <v>1740</v>
      </c>
      <c r="D72">
        <f>COUNTIF(D2:D64,"&lt;0")</f>
        <v>13</v>
      </c>
    </row>
    <row r="74" spans="1:4" x14ac:dyDescent="0.25">
      <c r="A74" s="2" t="s">
        <v>164</v>
      </c>
    </row>
    <row r="75" spans="1:4" x14ac:dyDescent="0.25">
      <c r="A75" t="s">
        <v>165</v>
      </c>
      <c r="D75">
        <f>AVERAGE(D2,D3,D4,D5,D6,D7,D8,D9,D10,D11,D12,D13,D14,D15,D16)</f>
        <v>2.4666666666666668</v>
      </c>
    </row>
    <row r="76" spans="1:4" x14ac:dyDescent="0.25">
      <c r="A76" t="s">
        <v>166</v>
      </c>
      <c r="D76">
        <f>AVERAGE(D17,D18,D19,D20,D21,D22,D23,D24,D25,D26,D27,D28,D29,D30,D31,D32)</f>
        <v>-1.25</v>
      </c>
    </row>
    <row r="77" spans="1:4" x14ac:dyDescent="0.25">
      <c r="A77" t="s">
        <v>167</v>
      </c>
      <c r="D77">
        <f>AVERAGE(D33,D34,D35,D36,D37,D38,D39,D40,D41,D42,D43,D44,D45,D46,D47,D48,D49)</f>
        <v>3.4705882352941178</v>
      </c>
    </row>
    <row r="78" spans="1:4" x14ac:dyDescent="0.25">
      <c r="A78" t="s">
        <v>168</v>
      </c>
      <c r="D78">
        <f>AVERAGE(D50,D51,D52,D53,D54,D55,D56,D57,D58,D59,D60,D61,D62,D63,D64)</f>
        <v>9.0666666666666664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1208</v>
      </c>
      <c r="C2" t="s">
        <v>908</v>
      </c>
      <c r="D2">
        <v>-2</v>
      </c>
    </row>
    <row r="3" spans="1:4" x14ac:dyDescent="0.25">
      <c r="A3" t="s">
        <v>4</v>
      </c>
      <c r="B3" t="s">
        <v>269</v>
      </c>
      <c r="C3" t="s">
        <v>8</v>
      </c>
      <c r="D3">
        <v>0</v>
      </c>
    </row>
    <row r="4" spans="1:4" x14ac:dyDescent="0.25">
      <c r="A4" t="s">
        <v>4</v>
      </c>
      <c r="B4" t="s">
        <v>823</v>
      </c>
      <c r="C4" t="s">
        <v>564</v>
      </c>
      <c r="D4">
        <v>2</v>
      </c>
    </row>
    <row r="5" spans="1:4" x14ac:dyDescent="0.25">
      <c r="A5" t="s">
        <v>4</v>
      </c>
      <c r="B5" t="s">
        <v>1666</v>
      </c>
      <c r="C5" t="s">
        <v>176</v>
      </c>
      <c r="D5">
        <v>4</v>
      </c>
    </row>
    <row r="6" spans="1:4" x14ac:dyDescent="0.25">
      <c r="A6" t="s">
        <v>4</v>
      </c>
      <c r="B6" t="s">
        <v>1010</v>
      </c>
      <c r="C6" t="s">
        <v>178</v>
      </c>
      <c r="D6">
        <v>2</v>
      </c>
    </row>
    <row r="7" spans="1:4" x14ac:dyDescent="0.25">
      <c r="A7" t="s">
        <v>4</v>
      </c>
      <c r="B7" t="s">
        <v>1280</v>
      </c>
      <c r="C7" t="s">
        <v>16</v>
      </c>
      <c r="D7">
        <v>-1</v>
      </c>
    </row>
    <row r="8" spans="1:4" x14ac:dyDescent="0.25">
      <c r="A8" t="s">
        <v>4</v>
      </c>
      <c r="B8" t="s">
        <v>643</v>
      </c>
      <c r="C8" t="s">
        <v>18</v>
      </c>
      <c r="D8">
        <v>-2</v>
      </c>
    </row>
    <row r="9" spans="1:4" x14ac:dyDescent="0.25">
      <c r="A9" t="s">
        <v>4</v>
      </c>
      <c r="B9" t="s">
        <v>460</v>
      </c>
      <c r="C9" t="s">
        <v>20</v>
      </c>
      <c r="D9">
        <v>0</v>
      </c>
    </row>
    <row r="10" spans="1:4" x14ac:dyDescent="0.25">
      <c r="A10" t="s">
        <v>4</v>
      </c>
      <c r="B10" t="s">
        <v>517</v>
      </c>
      <c r="C10" t="s">
        <v>697</v>
      </c>
      <c r="D10">
        <v>-1</v>
      </c>
    </row>
    <row r="11" spans="1:4" x14ac:dyDescent="0.25">
      <c r="A11" t="s">
        <v>4</v>
      </c>
      <c r="B11" t="s">
        <v>259</v>
      </c>
      <c r="C11" t="s">
        <v>699</v>
      </c>
      <c r="D11">
        <v>1</v>
      </c>
    </row>
    <row r="12" spans="1:4" x14ac:dyDescent="0.25">
      <c r="A12" t="s">
        <v>4</v>
      </c>
      <c r="B12" t="s">
        <v>1776</v>
      </c>
      <c r="C12" t="s">
        <v>1354</v>
      </c>
      <c r="D12">
        <v>4</v>
      </c>
    </row>
    <row r="13" spans="1:4" x14ac:dyDescent="0.25">
      <c r="A13" t="s">
        <v>4</v>
      </c>
      <c r="B13" t="s">
        <v>746</v>
      </c>
      <c r="C13" t="s">
        <v>1818</v>
      </c>
      <c r="D13">
        <v>2</v>
      </c>
    </row>
    <row r="14" spans="1:4" x14ac:dyDescent="0.25">
      <c r="A14" t="s">
        <v>4</v>
      </c>
      <c r="B14" t="s">
        <v>378</v>
      </c>
      <c r="C14" t="s">
        <v>1435</v>
      </c>
      <c r="D14">
        <v>-1</v>
      </c>
    </row>
    <row r="15" spans="1:4" x14ac:dyDescent="0.25">
      <c r="A15" t="s">
        <v>4</v>
      </c>
      <c r="B15" t="s">
        <v>1481</v>
      </c>
      <c r="C15" t="s">
        <v>703</v>
      </c>
      <c r="D15">
        <v>-3</v>
      </c>
    </row>
    <row r="16" spans="1:4" x14ac:dyDescent="0.25">
      <c r="A16" t="s">
        <v>4</v>
      </c>
      <c r="B16" t="s">
        <v>1356</v>
      </c>
      <c r="C16" t="s">
        <v>1504</v>
      </c>
      <c r="D16">
        <v>-4</v>
      </c>
    </row>
    <row r="17" spans="1:4" x14ac:dyDescent="0.25">
      <c r="A17" t="s">
        <v>4</v>
      </c>
      <c r="B17" t="s">
        <v>1356</v>
      </c>
      <c r="C17" t="s">
        <v>578</v>
      </c>
      <c r="D17">
        <v>-5</v>
      </c>
    </row>
    <row r="18" spans="1:4" x14ac:dyDescent="0.25">
      <c r="A18" t="s">
        <v>4</v>
      </c>
      <c r="B18" t="s">
        <v>1845</v>
      </c>
      <c r="C18" t="s">
        <v>2156</v>
      </c>
      <c r="D18">
        <v>-2</v>
      </c>
    </row>
    <row r="19" spans="1:4" x14ac:dyDescent="0.25">
      <c r="A19" t="s">
        <v>4</v>
      </c>
      <c r="B19" t="s">
        <v>683</v>
      </c>
      <c r="C19" t="s">
        <v>2701</v>
      </c>
      <c r="D19">
        <v>-5</v>
      </c>
    </row>
    <row r="20" spans="1:4" x14ac:dyDescent="0.25">
      <c r="A20" t="s">
        <v>40</v>
      </c>
      <c r="B20" t="s">
        <v>855</v>
      </c>
      <c r="C20" t="s">
        <v>2722</v>
      </c>
      <c r="D20">
        <v>-3</v>
      </c>
    </row>
    <row r="21" spans="1:4" x14ac:dyDescent="0.25">
      <c r="A21" t="s">
        <v>40</v>
      </c>
      <c r="B21" t="s">
        <v>714</v>
      </c>
      <c r="C21" t="s">
        <v>2301</v>
      </c>
      <c r="D21">
        <v>-5</v>
      </c>
    </row>
    <row r="22" spans="1:4" x14ac:dyDescent="0.25">
      <c r="A22" t="s">
        <v>40</v>
      </c>
      <c r="B22" t="s">
        <v>933</v>
      </c>
      <c r="C22" t="s">
        <v>1878</v>
      </c>
      <c r="D22">
        <v>-3</v>
      </c>
    </row>
    <row r="23" spans="1:4" x14ac:dyDescent="0.25">
      <c r="A23" t="s">
        <v>40</v>
      </c>
      <c r="B23" t="s">
        <v>1545</v>
      </c>
      <c r="C23" t="s">
        <v>589</v>
      </c>
      <c r="D23">
        <v>-1</v>
      </c>
    </row>
    <row r="24" spans="1:4" x14ac:dyDescent="0.25">
      <c r="A24" t="s">
        <v>40</v>
      </c>
      <c r="B24" t="s">
        <v>305</v>
      </c>
      <c r="C24" t="s">
        <v>52</v>
      </c>
      <c r="D24">
        <v>-4</v>
      </c>
    </row>
    <row r="25" spans="1:4" x14ac:dyDescent="0.25">
      <c r="A25" t="s">
        <v>40</v>
      </c>
      <c r="B25" t="s">
        <v>175</v>
      </c>
      <c r="C25" t="s">
        <v>53</v>
      </c>
      <c r="D25">
        <v>-3</v>
      </c>
    </row>
    <row r="26" spans="1:4" x14ac:dyDescent="0.25">
      <c r="A26" t="s">
        <v>40</v>
      </c>
      <c r="B26" t="s">
        <v>177</v>
      </c>
      <c r="C26" t="s">
        <v>3833</v>
      </c>
      <c r="D26">
        <v>-5</v>
      </c>
    </row>
    <row r="27" spans="1:4" x14ac:dyDescent="0.25">
      <c r="A27" t="s">
        <v>40</v>
      </c>
      <c r="B27" t="s">
        <v>363</v>
      </c>
      <c r="C27" t="s">
        <v>459</v>
      </c>
      <c r="D27">
        <v>-3</v>
      </c>
    </row>
    <row r="28" spans="1:4" x14ac:dyDescent="0.25">
      <c r="A28" t="s">
        <v>40</v>
      </c>
      <c r="B28" t="s">
        <v>1441</v>
      </c>
      <c r="C28" t="s">
        <v>3962</v>
      </c>
      <c r="D28">
        <v>-1</v>
      </c>
    </row>
    <row r="29" spans="1:4" x14ac:dyDescent="0.25">
      <c r="A29" t="s">
        <v>40</v>
      </c>
      <c r="B29" t="s">
        <v>1230</v>
      </c>
      <c r="C29" t="s">
        <v>3081</v>
      </c>
      <c r="D29">
        <v>-3</v>
      </c>
    </row>
    <row r="30" spans="1:4" x14ac:dyDescent="0.25">
      <c r="A30" t="s">
        <v>40</v>
      </c>
      <c r="B30" t="s">
        <v>943</v>
      </c>
      <c r="C30" t="s">
        <v>1513</v>
      </c>
      <c r="D30">
        <v>-4</v>
      </c>
    </row>
    <row r="31" spans="1:4" x14ac:dyDescent="0.25">
      <c r="A31" t="s">
        <v>40</v>
      </c>
      <c r="B31" t="s">
        <v>943</v>
      </c>
      <c r="C31" t="s">
        <v>1880</v>
      </c>
      <c r="D31">
        <v>-5</v>
      </c>
    </row>
    <row r="32" spans="1:4" x14ac:dyDescent="0.25">
      <c r="A32" t="s">
        <v>40</v>
      </c>
      <c r="B32" t="s">
        <v>339</v>
      </c>
      <c r="C32" t="s">
        <v>2126</v>
      </c>
      <c r="D32">
        <v>-4</v>
      </c>
    </row>
    <row r="33" spans="1:4" x14ac:dyDescent="0.25">
      <c r="A33" t="s">
        <v>40</v>
      </c>
      <c r="B33" t="s">
        <v>1040</v>
      </c>
      <c r="C33" t="s">
        <v>603</v>
      </c>
      <c r="D33">
        <v>-6</v>
      </c>
    </row>
    <row r="34" spans="1:4" x14ac:dyDescent="0.25">
      <c r="A34" t="s">
        <v>40</v>
      </c>
      <c r="B34" t="s">
        <v>1217</v>
      </c>
      <c r="C34" t="s">
        <v>2212</v>
      </c>
      <c r="D34">
        <v>-8</v>
      </c>
    </row>
    <row r="35" spans="1:4" x14ac:dyDescent="0.25">
      <c r="A35" t="s">
        <v>40</v>
      </c>
      <c r="B35" t="s">
        <v>845</v>
      </c>
      <c r="C35" t="s">
        <v>2128</v>
      </c>
      <c r="D35">
        <v>-5</v>
      </c>
    </row>
    <row r="36" spans="1:4" x14ac:dyDescent="0.25">
      <c r="A36" t="s">
        <v>40</v>
      </c>
      <c r="B36" t="s">
        <v>1640</v>
      </c>
      <c r="C36" t="s">
        <v>2129</v>
      </c>
      <c r="D36">
        <v>-3</v>
      </c>
    </row>
    <row r="37" spans="1:4" x14ac:dyDescent="0.25">
      <c r="A37" t="s">
        <v>40</v>
      </c>
      <c r="B37" t="s">
        <v>1132</v>
      </c>
      <c r="C37" t="s">
        <v>2875</v>
      </c>
      <c r="D37">
        <v>-4</v>
      </c>
    </row>
    <row r="38" spans="1:4" x14ac:dyDescent="0.25">
      <c r="A38" t="s">
        <v>40</v>
      </c>
      <c r="B38" t="s">
        <v>1402</v>
      </c>
      <c r="C38" t="s">
        <v>1518</v>
      </c>
      <c r="D38">
        <v>-1</v>
      </c>
    </row>
    <row r="39" spans="1:4" x14ac:dyDescent="0.25">
      <c r="A39" t="s">
        <v>40</v>
      </c>
      <c r="B39" t="s">
        <v>1874</v>
      </c>
      <c r="C39" t="s">
        <v>1220</v>
      </c>
      <c r="D39">
        <v>2</v>
      </c>
    </row>
    <row r="40" spans="1:4" x14ac:dyDescent="0.25">
      <c r="A40" t="s">
        <v>40</v>
      </c>
      <c r="B40" t="s">
        <v>1162</v>
      </c>
      <c r="C40" t="s">
        <v>1221</v>
      </c>
      <c r="D40">
        <v>0</v>
      </c>
    </row>
    <row r="41" spans="1:4" x14ac:dyDescent="0.25">
      <c r="A41" t="s">
        <v>80</v>
      </c>
      <c r="B41" t="s">
        <v>933</v>
      </c>
      <c r="C41" t="s">
        <v>2413</v>
      </c>
      <c r="D41">
        <v>-2</v>
      </c>
    </row>
    <row r="42" spans="1:4" x14ac:dyDescent="0.25">
      <c r="A42" t="s">
        <v>80</v>
      </c>
      <c r="B42" t="s">
        <v>273</v>
      </c>
      <c r="C42" t="s">
        <v>617</v>
      </c>
      <c r="D42">
        <v>-4</v>
      </c>
    </row>
    <row r="43" spans="1:4" x14ac:dyDescent="0.25">
      <c r="A43" t="s">
        <v>80</v>
      </c>
      <c r="B43" t="s">
        <v>827</v>
      </c>
      <c r="C43" t="s">
        <v>1762</v>
      </c>
      <c r="D43">
        <v>-2</v>
      </c>
    </row>
    <row r="44" spans="1:4" x14ac:dyDescent="0.25">
      <c r="A44" t="s">
        <v>80</v>
      </c>
      <c r="B44" t="s">
        <v>274</v>
      </c>
      <c r="C44" t="s">
        <v>92</v>
      </c>
      <c r="D44">
        <v>-5</v>
      </c>
    </row>
    <row r="45" spans="1:4" x14ac:dyDescent="0.25">
      <c r="A45" t="s">
        <v>80</v>
      </c>
      <c r="B45" t="s">
        <v>494</v>
      </c>
      <c r="C45" t="s">
        <v>2415</v>
      </c>
      <c r="D45">
        <v>-2</v>
      </c>
    </row>
    <row r="46" spans="1:4" x14ac:dyDescent="0.25">
      <c r="A46" t="s">
        <v>80</v>
      </c>
      <c r="B46" t="s">
        <v>916</v>
      </c>
      <c r="C46" t="s">
        <v>738</v>
      </c>
      <c r="D46">
        <v>-1</v>
      </c>
    </row>
    <row r="47" spans="1:4" x14ac:dyDescent="0.25">
      <c r="A47" t="s">
        <v>80</v>
      </c>
      <c r="B47" t="s">
        <v>916</v>
      </c>
      <c r="C47" t="s">
        <v>2310</v>
      </c>
      <c r="D47">
        <v>0</v>
      </c>
    </row>
    <row r="48" spans="1:4" x14ac:dyDescent="0.25">
      <c r="A48" t="s">
        <v>80</v>
      </c>
      <c r="B48" t="s">
        <v>916</v>
      </c>
      <c r="C48" t="s">
        <v>372</v>
      </c>
      <c r="D48">
        <v>1</v>
      </c>
    </row>
    <row r="49" spans="1:4" x14ac:dyDescent="0.25">
      <c r="A49" t="s">
        <v>80</v>
      </c>
      <c r="B49" t="s">
        <v>138</v>
      </c>
      <c r="C49" t="s">
        <v>742</v>
      </c>
      <c r="D49">
        <v>-2</v>
      </c>
    </row>
    <row r="50" spans="1:4" x14ac:dyDescent="0.25">
      <c r="A50" t="s">
        <v>80</v>
      </c>
      <c r="B50" t="s">
        <v>1434</v>
      </c>
      <c r="C50" t="s">
        <v>105</v>
      </c>
      <c r="D50">
        <v>-5</v>
      </c>
    </row>
    <row r="51" spans="1:4" x14ac:dyDescent="0.25">
      <c r="A51" t="s">
        <v>80</v>
      </c>
      <c r="B51" t="s">
        <v>1230</v>
      </c>
      <c r="C51" t="s">
        <v>264</v>
      </c>
      <c r="D51">
        <v>-3</v>
      </c>
    </row>
    <row r="52" spans="1:4" x14ac:dyDescent="0.25">
      <c r="A52" t="s">
        <v>80</v>
      </c>
      <c r="B52" t="s">
        <v>701</v>
      </c>
      <c r="C52" t="s">
        <v>1730</v>
      </c>
      <c r="D52">
        <v>-1</v>
      </c>
    </row>
    <row r="53" spans="1:4" x14ac:dyDescent="0.25">
      <c r="A53" t="s">
        <v>80</v>
      </c>
      <c r="B53" t="s">
        <v>577</v>
      </c>
      <c r="C53" t="s">
        <v>1770</v>
      </c>
      <c r="D53">
        <v>-3</v>
      </c>
    </row>
    <row r="54" spans="1:4" x14ac:dyDescent="0.25">
      <c r="A54" t="s">
        <v>80</v>
      </c>
      <c r="B54" t="s">
        <v>1700</v>
      </c>
      <c r="C54" t="s">
        <v>1732</v>
      </c>
      <c r="D54">
        <v>0</v>
      </c>
    </row>
    <row r="55" spans="1:4" x14ac:dyDescent="0.25">
      <c r="A55" t="s">
        <v>80</v>
      </c>
      <c r="B55" t="s">
        <v>144</v>
      </c>
      <c r="C55" t="s">
        <v>1532</v>
      </c>
      <c r="D55">
        <v>2</v>
      </c>
    </row>
    <row r="56" spans="1:4" x14ac:dyDescent="0.25">
      <c r="A56" t="s">
        <v>80</v>
      </c>
      <c r="B56" t="s">
        <v>503</v>
      </c>
      <c r="C56" t="s">
        <v>753</v>
      </c>
      <c r="D56">
        <v>-1</v>
      </c>
    </row>
    <row r="57" spans="1:4" x14ac:dyDescent="0.25">
      <c r="A57" t="s">
        <v>80</v>
      </c>
      <c r="B57" t="s">
        <v>2363</v>
      </c>
      <c r="C57" t="s">
        <v>1534</v>
      </c>
      <c r="D57">
        <v>1</v>
      </c>
    </row>
    <row r="58" spans="1:4" x14ac:dyDescent="0.25">
      <c r="A58" t="s">
        <v>80</v>
      </c>
      <c r="B58" t="s">
        <v>120</v>
      </c>
      <c r="C58" t="s">
        <v>1535</v>
      </c>
      <c r="D58">
        <v>-2</v>
      </c>
    </row>
    <row r="59" spans="1:4" x14ac:dyDescent="0.25">
      <c r="A59" t="s">
        <v>80</v>
      </c>
      <c r="B59" t="s">
        <v>1222</v>
      </c>
      <c r="C59" t="s">
        <v>755</v>
      </c>
      <c r="D59">
        <v>-1</v>
      </c>
    </row>
    <row r="60" spans="1:4" x14ac:dyDescent="0.25">
      <c r="A60" t="s">
        <v>80</v>
      </c>
      <c r="B60" t="s">
        <v>1222</v>
      </c>
      <c r="C60" t="s">
        <v>2182</v>
      </c>
      <c r="D60">
        <v>0</v>
      </c>
    </row>
    <row r="61" spans="1:4" x14ac:dyDescent="0.25">
      <c r="A61" t="s">
        <v>80</v>
      </c>
      <c r="B61" t="s">
        <v>556</v>
      </c>
      <c r="C61" t="s">
        <v>506</v>
      </c>
      <c r="D61">
        <v>3</v>
      </c>
    </row>
    <row r="62" spans="1:4" x14ac:dyDescent="0.25">
      <c r="A62" t="s">
        <v>80</v>
      </c>
      <c r="B62" t="s">
        <v>235</v>
      </c>
      <c r="C62" t="s">
        <v>2183</v>
      </c>
      <c r="D62">
        <v>6</v>
      </c>
    </row>
    <row r="63" spans="1:4" x14ac:dyDescent="0.25">
      <c r="A63" t="s">
        <v>123</v>
      </c>
      <c r="B63" t="s">
        <v>933</v>
      </c>
      <c r="C63" t="s">
        <v>2456</v>
      </c>
      <c r="D63">
        <v>7</v>
      </c>
    </row>
    <row r="64" spans="1:4" x14ac:dyDescent="0.25">
      <c r="A64" t="s">
        <v>123</v>
      </c>
      <c r="B64" t="s">
        <v>933</v>
      </c>
      <c r="C64" t="s">
        <v>401</v>
      </c>
      <c r="D64">
        <v>8</v>
      </c>
    </row>
    <row r="65" spans="1:4" x14ac:dyDescent="0.25">
      <c r="A65" t="s">
        <v>123</v>
      </c>
      <c r="B65" t="s">
        <v>244</v>
      </c>
      <c r="C65" t="s">
        <v>761</v>
      </c>
      <c r="D65">
        <v>5</v>
      </c>
    </row>
    <row r="66" spans="1:4" x14ac:dyDescent="0.25">
      <c r="A66" t="s">
        <v>123</v>
      </c>
      <c r="B66" t="s">
        <v>616</v>
      </c>
      <c r="C66" t="s">
        <v>1959</v>
      </c>
      <c r="D66">
        <v>6</v>
      </c>
    </row>
    <row r="67" spans="1:4" x14ac:dyDescent="0.25">
      <c r="A67" t="s">
        <v>123</v>
      </c>
      <c r="B67" t="s">
        <v>935</v>
      </c>
      <c r="C67" t="s">
        <v>1176</v>
      </c>
      <c r="D67">
        <v>3</v>
      </c>
    </row>
    <row r="68" spans="1:4" x14ac:dyDescent="0.25">
      <c r="A68" t="s">
        <v>123</v>
      </c>
      <c r="B68" t="s">
        <v>862</v>
      </c>
      <c r="C68" t="s">
        <v>1179</v>
      </c>
      <c r="D68">
        <v>6</v>
      </c>
    </row>
    <row r="69" spans="1:4" x14ac:dyDescent="0.25">
      <c r="A69" t="s">
        <v>123</v>
      </c>
      <c r="B69" t="s">
        <v>724</v>
      </c>
      <c r="C69" t="s">
        <v>2732</v>
      </c>
      <c r="D69">
        <v>3</v>
      </c>
    </row>
    <row r="70" spans="1:4" x14ac:dyDescent="0.25">
      <c r="A70" t="s">
        <v>123</v>
      </c>
      <c r="B70" t="s">
        <v>865</v>
      </c>
      <c r="C70" t="s">
        <v>768</v>
      </c>
      <c r="D70">
        <v>6</v>
      </c>
    </row>
    <row r="71" spans="1:4" x14ac:dyDescent="0.25">
      <c r="A71" t="s">
        <v>123</v>
      </c>
      <c r="B71" t="s">
        <v>259</v>
      </c>
      <c r="C71" t="s">
        <v>418</v>
      </c>
      <c r="D71">
        <v>8</v>
      </c>
    </row>
    <row r="72" spans="1:4" x14ac:dyDescent="0.25">
      <c r="A72" t="s">
        <v>123</v>
      </c>
      <c r="B72" t="s">
        <v>2431</v>
      </c>
      <c r="C72" t="s">
        <v>1183</v>
      </c>
      <c r="D72">
        <v>6</v>
      </c>
    </row>
    <row r="73" spans="1:4" x14ac:dyDescent="0.25">
      <c r="A73" t="s">
        <v>123</v>
      </c>
      <c r="B73" t="s">
        <v>261</v>
      </c>
      <c r="C73" t="s">
        <v>669</v>
      </c>
      <c r="D73">
        <v>3</v>
      </c>
    </row>
    <row r="74" spans="1:4" x14ac:dyDescent="0.25">
      <c r="A74" t="s">
        <v>123</v>
      </c>
      <c r="B74" t="s">
        <v>541</v>
      </c>
      <c r="C74" t="s">
        <v>670</v>
      </c>
      <c r="D74">
        <v>4</v>
      </c>
    </row>
    <row r="75" spans="1:4" x14ac:dyDescent="0.25">
      <c r="A75" t="s">
        <v>123</v>
      </c>
      <c r="B75" t="s">
        <v>541</v>
      </c>
      <c r="C75" t="s">
        <v>3837</v>
      </c>
      <c r="D75">
        <v>5</v>
      </c>
    </row>
    <row r="76" spans="1:4" x14ac:dyDescent="0.25">
      <c r="A76" t="s">
        <v>123</v>
      </c>
      <c r="B76" t="s">
        <v>541</v>
      </c>
      <c r="C76" t="s">
        <v>1623</v>
      </c>
      <c r="D76">
        <v>6</v>
      </c>
    </row>
    <row r="77" spans="1:4" x14ac:dyDescent="0.25">
      <c r="A77" t="s">
        <v>123</v>
      </c>
      <c r="B77" t="s">
        <v>702</v>
      </c>
      <c r="C77" t="s">
        <v>773</v>
      </c>
      <c r="D77">
        <v>5</v>
      </c>
    </row>
    <row r="78" spans="1:4" x14ac:dyDescent="0.25">
      <c r="A78" t="s">
        <v>123</v>
      </c>
      <c r="B78" t="s">
        <v>702</v>
      </c>
      <c r="C78" t="s">
        <v>674</v>
      </c>
      <c r="D78">
        <v>4</v>
      </c>
    </row>
    <row r="79" spans="1:4" x14ac:dyDescent="0.25">
      <c r="A79" t="s">
        <v>123</v>
      </c>
      <c r="B79" t="s">
        <v>1040</v>
      </c>
      <c r="C79" t="s">
        <v>676</v>
      </c>
      <c r="D79">
        <v>5</v>
      </c>
    </row>
    <row r="80" spans="1:4" x14ac:dyDescent="0.25">
      <c r="A80" t="s">
        <v>123</v>
      </c>
      <c r="B80" t="s">
        <v>144</v>
      </c>
      <c r="C80" t="s">
        <v>1969</v>
      </c>
      <c r="D80">
        <v>4</v>
      </c>
    </row>
    <row r="81" spans="1:4" x14ac:dyDescent="0.25">
      <c r="A81" t="s">
        <v>123</v>
      </c>
      <c r="B81" t="s">
        <v>144</v>
      </c>
      <c r="C81" t="s">
        <v>1970</v>
      </c>
      <c r="D81">
        <v>3</v>
      </c>
    </row>
    <row r="82" spans="1:4" x14ac:dyDescent="0.25">
      <c r="A82" t="s">
        <v>123</v>
      </c>
      <c r="B82" t="s">
        <v>1376</v>
      </c>
      <c r="C82" t="s">
        <v>3037</v>
      </c>
      <c r="D82">
        <v>2</v>
      </c>
    </row>
    <row r="83" spans="1:4" x14ac:dyDescent="0.25">
      <c r="A83" t="s">
        <v>123</v>
      </c>
      <c r="B83" t="s">
        <v>1376</v>
      </c>
      <c r="C83" t="s">
        <v>2505</v>
      </c>
      <c r="D83">
        <v>1</v>
      </c>
    </row>
    <row r="84" spans="1:4" x14ac:dyDescent="0.25">
      <c r="A84" t="s">
        <v>123</v>
      </c>
      <c r="B84" t="s">
        <v>386</v>
      </c>
      <c r="C84" t="s">
        <v>2506</v>
      </c>
      <c r="D84">
        <v>3</v>
      </c>
    </row>
    <row r="85" spans="1:4" x14ac:dyDescent="0.25">
      <c r="A85" t="s">
        <v>123</v>
      </c>
      <c r="B85" t="s">
        <v>1129</v>
      </c>
      <c r="C85" t="s">
        <v>4216</v>
      </c>
      <c r="D85">
        <v>2</v>
      </c>
    </row>
    <row r="86" spans="1:4" x14ac:dyDescent="0.25">
      <c r="A86" t="s">
        <v>123</v>
      </c>
      <c r="B86" t="s">
        <v>671</v>
      </c>
      <c r="C86" t="s">
        <v>2322</v>
      </c>
      <c r="D86">
        <v>5</v>
      </c>
    </row>
    <row r="87" spans="1:4" x14ac:dyDescent="0.25">
      <c r="A87" t="s">
        <v>123</v>
      </c>
      <c r="B87" t="s">
        <v>534</v>
      </c>
      <c r="C87" t="s">
        <v>3075</v>
      </c>
      <c r="D87">
        <v>4</v>
      </c>
    </row>
    <row r="88" spans="1:4" x14ac:dyDescent="0.25">
      <c r="A88" t="s">
        <v>123</v>
      </c>
      <c r="B88" t="s">
        <v>534</v>
      </c>
      <c r="C88" t="s">
        <v>4217</v>
      </c>
      <c r="D88">
        <v>3</v>
      </c>
    </row>
    <row r="89" spans="1:4" x14ac:dyDescent="0.25">
      <c r="A89" t="s">
        <v>123</v>
      </c>
      <c r="B89" t="s">
        <v>927</v>
      </c>
      <c r="C89" t="s">
        <v>4218</v>
      </c>
      <c r="D89">
        <v>4</v>
      </c>
    </row>
    <row r="90" spans="1:4" x14ac:dyDescent="0.25">
      <c r="A90" t="s">
        <v>123</v>
      </c>
      <c r="B90" t="s">
        <v>927</v>
      </c>
      <c r="C90" t="s">
        <v>4219</v>
      </c>
      <c r="D90">
        <v>5</v>
      </c>
    </row>
    <row r="91" spans="1:4" x14ac:dyDescent="0.25">
      <c r="A91" t="s">
        <v>123</v>
      </c>
      <c r="B91" t="s">
        <v>1206</v>
      </c>
      <c r="C91" t="s">
        <v>2468</v>
      </c>
      <c r="D91">
        <v>7</v>
      </c>
    </row>
    <row r="92" spans="1:4" x14ac:dyDescent="0.25">
      <c r="A92" t="s">
        <v>123</v>
      </c>
      <c r="B92" t="s">
        <v>1206</v>
      </c>
      <c r="C92" t="s">
        <v>2469</v>
      </c>
      <c r="D92">
        <v>6</v>
      </c>
    </row>
    <row r="93" spans="1:4" x14ac:dyDescent="0.25">
      <c r="A93" t="s">
        <v>123</v>
      </c>
      <c r="B93" t="s">
        <v>394</v>
      </c>
      <c r="C93" t="s">
        <v>4220</v>
      </c>
      <c r="D93">
        <v>7</v>
      </c>
    </row>
    <row r="94" spans="1:4" x14ac:dyDescent="0.25">
      <c r="A94" t="s">
        <v>123</v>
      </c>
      <c r="B94" t="s">
        <v>394</v>
      </c>
      <c r="C94" t="s">
        <v>1861</v>
      </c>
      <c r="D94">
        <v>8</v>
      </c>
    </row>
    <row r="95" spans="1:4" x14ac:dyDescent="0.25">
      <c r="A95" t="s">
        <v>123</v>
      </c>
      <c r="B95" t="s">
        <v>902</v>
      </c>
      <c r="C95" t="s">
        <v>4221</v>
      </c>
      <c r="D95">
        <v>6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0.62765957446808507</v>
      </c>
    </row>
    <row r="99" spans="1:4" x14ac:dyDescent="0.25">
      <c r="A99" t="s">
        <v>159</v>
      </c>
      <c r="D99">
        <f>MAX(D2:D95)</f>
        <v>8</v>
      </c>
    </row>
    <row r="100" spans="1:4" x14ac:dyDescent="0.25">
      <c r="A100" t="s">
        <v>160</v>
      </c>
      <c r="D100">
        <f>MIN(D2:D95)</f>
        <v>-8</v>
      </c>
    </row>
    <row r="101" spans="1:4" x14ac:dyDescent="0.25">
      <c r="A101" t="s">
        <v>161</v>
      </c>
      <c r="D101">
        <f>COUNTIF(D2:D95,"&gt;0")</f>
        <v>45</v>
      </c>
    </row>
    <row r="102" spans="1:4" x14ac:dyDescent="0.25">
      <c r="A102" t="s">
        <v>162</v>
      </c>
      <c r="D102">
        <f>COUNTIF(D2:D95,"=0")</f>
        <v>6</v>
      </c>
    </row>
    <row r="103" spans="1:4" x14ac:dyDescent="0.25">
      <c r="A103" t="s">
        <v>1186</v>
      </c>
      <c r="D103">
        <f>COUNTIF(D2:D95,"&lt;0")</f>
        <v>43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AVERAGE(D2,D3,D4,D5,D6,D7,D8,D9,D10,D11,D12,D13,D14,D15,D16,D17,D18,D19)</f>
        <v>-0.61111111111111116</v>
      </c>
    </row>
    <row r="107" spans="1:4" x14ac:dyDescent="0.25">
      <c r="A107" t="s">
        <v>166</v>
      </c>
      <c r="D107">
        <f>AVERAGE(D20,D21,D22,D23,D24,D25,D26,D27,D28,D29,D30,D31,D32,D33,D34,D35,D36,D37,D38,D39,D40)</f>
        <v>-3.2857142857142856</v>
      </c>
    </row>
    <row r="108" spans="1:4" x14ac:dyDescent="0.25">
      <c r="A108" t="s">
        <v>167</v>
      </c>
      <c r="D108">
        <f>AVERAGE(D41,D42,D43,D44,D45,D46,D47,D48,D49,D50,D51,D52,D53,D54,D55,D56,D57,D58,D59,D60,D61,D62)</f>
        <v>-0.95454545454545459</v>
      </c>
    </row>
    <row r="109" spans="1:4" x14ac:dyDescent="0.25">
      <c r="A109" t="s">
        <v>168</v>
      </c>
      <c r="D109">
        <f>AVERAGE(D63,D64,D65,D66,D67,D68,D69,D70,D71,D72,D73,D74,D75,D76,D77,D78,D79,D80,D81,D82,D83,D84,D85,D86,D87,D88,D89,D90,D91,D92,D93,D94,D95)</f>
        <v>4.8484848484848486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41</v>
      </c>
      <c r="C2" t="s">
        <v>908</v>
      </c>
      <c r="D2">
        <v>-2</v>
      </c>
    </row>
    <row r="3" spans="1:4" x14ac:dyDescent="0.25">
      <c r="A3" t="s">
        <v>4</v>
      </c>
      <c r="B3" t="s">
        <v>716</v>
      </c>
      <c r="C3" t="s">
        <v>8</v>
      </c>
      <c r="D3">
        <v>0</v>
      </c>
    </row>
    <row r="4" spans="1:4" x14ac:dyDescent="0.25">
      <c r="A4" t="s">
        <v>4</v>
      </c>
      <c r="B4" t="s">
        <v>1849</v>
      </c>
      <c r="C4" t="s">
        <v>564</v>
      </c>
      <c r="D4">
        <v>2</v>
      </c>
    </row>
    <row r="5" spans="1:4" x14ac:dyDescent="0.25">
      <c r="A5" t="s">
        <v>4</v>
      </c>
      <c r="B5" t="s">
        <v>305</v>
      </c>
      <c r="C5" t="s">
        <v>12</v>
      </c>
      <c r="D5">
        <v>0</v>
      </c>
    </row>
    <row r="6" spans="1:4" x14ac:dyDescent="0.25">
      <c r="A6" t="s">
        <v>4</v>
      </c>
      <c r="B6" t="s">
        <v>827</v>
      </c>
      <c r="C6" t="s">
        <v>178</v>
      </c>
      <c r="D6">
        <v>2</v>
      </c>
    </row>
    <row r="7" spans="1:4" x14ac:dyDescent="0.25">
      <c r="A7" t="s">
        <v>4</v>
      </c>
      <c r="B7" t="s">
        <v>724</v>
      </c>
      <c r="C7" t="s">
        <v>1348</v>
      </c>
      <c r="D7">
        <v>3</v>
      </c>
    </row>
    <row r="8" spans="1:4" x14ac:dyDescent="0.25">
      <c r="A8" t="s">
        <v>4</v>
      </c>
      <c r="B8" t="s">
        <v>1773</v>
      </c>
      <c r="C8" t="s">
        <v>432</v>
      </c>
      <c r="D8">
        <v>2</v>
      </c>
    </row>
    <row r="9" spans="1:4" x14ac:dyDescent="0.25">
      <c r="A9" t="s">
        <v>4</v>
      </c>
      <c r="B9" t="s">
        <v>1194</v>
      </c>
      <c r="C9" t="s">
        <v>1012</v>
      </c>
      <c r="D9">
        <v>4</v>
      </c>
    </row>
    <row r="10" spans="1:4" x14ac:dyDescent="0.25">
      <c r="A10" t="s">
        <v>4</v>
      </c>
      <c r="B10" t="s">
        <v>1065</v>
      </c>
      <c r="C10" t="s">
        <v>2594</v>
      </c>
      <c r="D10">
        <v>6</v>
      </c>
    </row>
    <row r="11" spans="1:4" x14ac:dyDescent="0.25">
      <c r="A11" t="s">
        <v>4</v>
      </c>
      <c r="B11" t="s">
        <v>433</v>
      </c>
      <c r="C11" t="s">
        <v>1353</v>
      </c>
      <c r="D11">
        <v>3</v>
      </c>
    </row>
    <row r="12" spans="1:4" x14ac:dyDescent="0.25">
      <c r="A12" t="s">
        <v>4</v>
      </c>
      <c r="B12" t="s">
        <v>1228</v>
      </c>
      <c r="C12" t="s">
        <v>439</v>
      </c>
      <c r="D12">
        <v>1</v>
      </c>
    </row>
    <row r="13" spans="1:4" x14ac:dyDescent="0.25">
      <c r="A13" t="s">
        <v>4</v>
      </c>
      <c r="B13" t="s">
        <v>313</v>
      </c>
      <c r="C13" t="s">
        <v>1575</v>
      </c>
      <c r="D13">
        <v>4</v>
      </c>
    </row>
    <row r="14" spans="1:4" x14ac:dyDescent="0.25">
      <c r="A14" t="s">
        <v>4</v>
      </c>
      <c r="B14" t="s">
        <v>284</v>
      </c>
      <c r="C14" t="s">
        <v>1872</v>
      </c>
      <c r="D14">
        <v>2</v>
      </c>
    </row>
    <row r="15" spans="1:4" x14ac:dyDescent="0.25">
      <c r="A15" t="s">
        <v>4</v>
      </c>
      <c r="B15" t="s">
        <v>1198</v>
      </c>
      <c r="C15" t="s">
        <v>34</v>
      </c>
      <c r="D15">
        <v>0</v>
      </c>
    </row>
    <row r="16" spans="1:4" x14ac:dyDescent="0.25">
      <c r="A16" t="s">
        <v>4</v>
      </c>
      <c r="B16" t="s">
        <v>225</v>
      </c>
      <c r="C16" t="s">
        <v>921</v>
      </c>
      <c r="D16">
        <v>1</v>
      </c>
    </row>
    <row r="17" spans="1:4" x14ac:dyDescent="0.25">
      <c r="A17" t="s">
        <v>4</v>
      </c>
      <c r="B17" t="s">
        <v>319</v>
      </c>
      <c r="C17" t="s">
        <v>705</v>
      </c>
      <c r="D17">
        <v>-1</v>
      </c>
    </row>
    <row r="18" spans="1:4" x14ac:dyDescent="0.25">
      <c r="A18" t="s">
        <v>4</v>
      </c>
      <c r="B18" t="s">
        <v>546</v>
      </c>
      <c r="C18" t="s">
        <v>789</v>
      </c>
      <c r="D18">
        <v>2</v>
      </c>
    </row>
    <row r="19" spans="1:4" x14ac:dyDescent="0.25">
      <c r="A19" t="s">
        <v>4</v>
      </c>
      <c r="B19" t="s">
        <v>990</v>
      </c>
      <c r="C19" t="s">
        <v>2122</v>
      </c>
      <c r="D19">
        <v>1</v>
      </c>
    </row>
    <row r="20" spans="1:4" x14ac:dyDescent="0.25">
      <c r="A20" t="s">
        <v>4</v>
      </c>
      <c r="B20" t="s">
        <v>990</v>
      </c>
      <c r="C20" t="s">
        <v>2721</v>
      </c>
      <c r="D20">
        <v>0</v>
      </c>
    </row>
    <row r="21" spans="1:4" x14ac:dyDescent="0.25">
      <c r="A21" t="s">
        <v>4</v>
      </c>
      <c r="B21" t="s">
        <v>990</v>
      </c>
      <c r="C21" t="s">
        <v>2123</v>
      </c>
      <c r="D21">
        <v>-1</v>
      </c>
    </row>
    <row r="22" spans="1:4" x14ac:dyDescent="0.25">
      <c r="A22" t="s">
        <v>4</v>
      </c>
      <c r="B22" t="s">
        <v>1129</v>
      </c>
      <c r="C22" t="s">
        <v>792</v>
      </c>
      <c r="D22">
        <v>1</v>
      </c>
    </row>
    <row r="23" spans="1:4" x14ac:dyDescent="0.25">
      <c r="A23" t="s">
        <v>4</v>
      </c>
      <c r="B23" t="s">
        <v>292</v>
      </c>
      <c r="C23" t="s">
        <v>452</v>
      </c>
      <c r="D23">
        <v>0</v>
      </c>
    </row>
    <row r="24" spans="1:4" x14ac:dyDescent="0.25">
      <c r="A24" t="s">
        <v>4</v>
      </c>
      <c r="B24" t="s">
        <v>292</v>
      </c>
      <c r="C24" t="s">
        <v>794</v>
      </c>
      <c r="D24">
        <v>-1</v>
      </c>
    </row>
    <row r="25" spans="1:4" x14ac:dyDescent="0.25">
      <c r="A25" t="s">
        <v>4</v>
      </c>
      <c r="B25" t="s">
        <v>1112</v>
      </c>
      <c r="C25" t="s">
        <v>587</v>
      </c>
      <c r="D25">
        <v>1</v>
      </c>
    </row>
    <row r="26" spans="1:4" x14ac:dyDescent="0.25">
      <c r="A26" t="s">
        <v>4</v>
      </c>
      <c r="B26" t="s">
        <v>120</v>
      </c>
      <c r="C26" t="s">
        <v>1510</v>
      </c>
      <c r="D26">
        <v>-2</v>
      </c>
    </row>
    <row r="27" spans="1:4" x14ac:dyDescent="0.25">
      <c r="A27" t="s">
        <v>4</v>
      </c>
      <c r="B27" t="s">
        <v>556</v>
      </c>
      <c r="C27" t="s">
        <v>52</v>
      </c>
      <c r="D27">
        <v>-4</v>
      </c>
    </row>
    <row r="28" spans="1:4" x14ac:dyDescent="0.25">
      <c r="A28" t="s">
        <v>4</v>
      </c>
      <c r="B28" t="s">
        <v>38</v>
      </c>
      <c r="C28" t="s">
        <v>3555</v>
      </c>
      <c r="D28">
        <v>-7</v>
      </c>
    </row>
    <row r="29" spans="1:4" x14ac:dyDescent="0.25">
      <c r="A29" t="s">
        <v>40</v>
      </c>
      <c r="B29" t="s">
        <v>1691</v>
      </c>
      <c r="C29" t="s">
        <v>4195</v>
      </c>
      <c r="D29">
        <v>-8</v>
      </c>
    </row>
    <row r="30" spans="1:4" x14ac:dyDescent="0.25">
      <c r="A30" t="s">
        <v>40</v>
      </c>
      <c r="B30" t="s">
        <v>1824</v>
      </c>
      <c r="C30" t="s">
        <v>4222</v>
      </c>
      <c r="D30">
        <v>-6</v>
      </c>
    </row>
    <row r="31" spans="1:4" x14ac:dyDescent="0.25">
      <c r="A31" t="s">
        <v>40</v>
      </c>
      <c r="B31" t="s">
        <v>1411</v>
      </c>
      <c r="C31" t="s">
        <v>1661</v>
      </c>
      <c r="D31">
        <v>-8</v>
      </c>
    </row>
    <row r="32" spans="1:4" x14ac:dyDescent="0.25">
      <c r="A32" t="s">
        <v>40</v>
      </c>
      <c r="B32" t="s">
        <v>56</v>
      </c>
      <c r="C32" t="s">
        <v>2410</v>
      </c>
      <c r="D32">
        <v>-7</v>
      </c>
    </row>
    <row r="33" spans="1:4" x14ac:dyDescent="0.25">
      <c r="A33" t="s">
        <v>40</v>
      </c>
      <c r="B33" t="s">
        <v>56</v>
      </c>
      <c r="C33" t="s">
        <v>1662</v>
      </c>
      <c r="D33">
        <v>-6</v>
      </c>
    </row>
    <row r="34" spans="1:4" x14ac:dyDescent="0.25">
      <c r="A34" t="s">
        <v>40</v>
      </c>
      <c r="B34" t="s">
        <v>961</v>
      </c>
      <c r="C34" t="s">
        <v>803</v>
      </c>
      <c r="D34">
        <v>-9</v>
      </c>
    </row>
    <row r="35" spans="1:4" x14ac:dyDescent="0.25">
      <c r="A35" t="s">
        <v>40</v>
      </c>
      <c r="B35" t="s">
        <v>661</v>
      </c>
      <c r="C35" t="s">
        <v>3890</v>
      </c>
      <c r="D35">
        <v>-11</v>
      </c>
    </row>
    <row r="36" spans="1:4" x14ac:dyDescent="0.25">
      <c r="A36" t="s">
        <v>40</v>
      </c>
      <c r="B36" t="s">
        <v>315</v>
      </c>
      <c r="C36" t="s">
        <v>3625</v>
      </c>
      <c r="D36">
        <v>-10</v>
      </c>
    </row>
    <row r="37" spans="1:4" x14ac:dyDescent="0.25">
      <c r="A37" t="s">
        <v>40</v>
      </c>
      <c r="B37" t="s">
        <v>924</v>
      </c>
      <c r="C37" t="s">
        <v>608</v>
      </c>
      <c r="D37">
        <v>-8</v>
      </c>
    </row>
    <row r="38" spans="1:4" x14ac:dyDescent="0.25">
      <c r="A38" t="s">
        <v>40</v>
      </c>
      <c r="B38" t="s">
        <v>1335</v>
      </c>
      <c r="C38" t="s">
        <v>1883</v>
      </c>
      <c r="D38">
        <v>-11</v>
      </c>
    </row>
    <row r="39" spans="1:4" x14ac:dyDescent="0.25">
      <c r="A39" t="s">
        <v>40</v>
      </c>
      <c r="B39" t="s">
        <v>1129</v>
      </c>
      <c r="C39" t="s">
        <v>2214</v>
      </c>
      <c r="D39">
        <v>-9</v>
      </c>
    </row>
    <row r="40" spans="1:4" x14ac:dyDescent="0.25">
      <c r="A40" t="s">
        <v>40</v>
      </c>
      <c r="B40" t="s">
        <v>1940</v>
      </c>
      <c r="C40" t="s">
        <v>4137</v>
      </c>
      <c r="D40">
        <v>-11</v>
      </c>
    </row>
    <row r="41" spans="1:4" x14ac:dyDescent="0.25">
      <c r="A41" t="s">
        <v>40</v>
      </c>
      <c r="B41" t="s">
        <v>1622</v>
      </c>
      <c r="C41" t="s">
        <v>3586</v>
      </c>
      <c r="D41">
        <v>-9</v>
      </c>
    </row>
    <row r="42" spans="1:4" x14ac:dyDescent="0.25">
      <c r="A42" t="s">
        <v>40</v>
      </c>
      <c r="B42" t="s">
        <v>1180</v>
      </c>
      <c r="C42" t="s">
        <v>2132</v>
      </c>
      <c r="D42">
        <v>-6</v>
      </c>
    </row>
    <row r="43" spans="1:4" x14ac:dyDescent="0.25">
      <c r="A43" t="s">
        <v>40</v>
      </c>
      <c r="B43" t="s">
        <v>817</v>
      </c>
      <c r="C43" t="s">
        <v>241</v>
      </c>
      <c r="D43">
        <v>-4</v>
      </c>
    </row>
    <row r="44" spans="1:4" x14ac:dyDescent="0.25">
      <c r="A44" t="s">
        <v>80</v>
      </c>
      <c r="B44" t="s">
        <v>1924</v>
      </c>
      <c r="C44" t="s">
        <v>2134</v>
      </c>
      <c r="D44">
        <v>-2</v>
      </c>
    </row>
    <row r="45" spans="1:4" x14ac:dyDescent="0.25">
      <c r="A45" t="s">
        <v>80</v>
      </c>
      <c r="B45" t="s">
        <v>777</v>
      </c>
      <c r="C45" t="s">
        <v>3575</v>
      </c>
      <c r="D45">
        <v>-4</v>
      </c>
    </row>
    <row r="46" spans="1:4" x14ac:dyDescent="0.25">
      <c r="A46" t="s">
        <v>80</v>
      </c>
      <c r="B46" t="s">
        <v>490</v>
      </c>
      <c r="C46" t="s">
        <v>248</v>
      </c>
      <c r="D46">
        <v>-2</v>
      </c>
    </row>
    <row r="47" spans="1:4" x14ac:dyDescent="0.25">
      <c r="A47" t="s">
        <v>80</v>
      </c>
      <c r="B47" t="s">
        <v>691</v>
      </c>
      <c r="C47" t="s">
        <v>94</v>
      </c>
      <c r="D47">
        <v>-4</v>
      </c>
    </row>
    <row r="48" spans="1:4" x14ac:dyDescent="0.25">
      <c r="A48" t="s">
        <v>80</v>
      </c>
      <c r="B48" t="s">
        <v>1011</v>
      </c>
      <c r="C48" t="s">
        <v>2415</v>
      </c>
      <c r="D48">
        <v>-2</v>
      </c>
    </row>
    <row r="49" spans="1:4" x14ac:dyDescent="0.25">
      <c r="A49" t="s">
        <v>80</v>
      </c>
      <c r="B49" t="s">
        <v>497</v>
      </c>
      <c r="C49" t="s">
        <v>2310</v>
      </c>
      <c r="D49">
        <v>0</v>
      </c>
    </row>
    <row r="50" spans="1:4" x14ac:dyDescent="0.25">
      <c r="A50" t="s">
        <v>80</v>
      </c>
      <c r="B50" t="s">
        <v>135</v>
      </c>
      <c r="C50" t="s">
        <v>2878</v>
      </c>
      <c r="D50">
        <v>-1</v>
      </c>
    </row>
    <row r="51" spans="1:4" x14ac:dyDescent="0.25">
      <c r="A51" t="s">
        <v>80</v>
      </c>
      <c r="B51" t="s">
        <v>135</v>
      </c>
      <c r="C51" t="s">
        <v>257</v>
      </c>
      <c r="D51">
        <v>-2</v>
      </c>
    </row>
    <row r="52" spans="1:4" x14ac:dyDescent="0.25">
      <c r="A52" t="s">
        <v>80</v>
      </c>
      <c r="B52" t="s">
        <v>17</v>
      </c>
      <c r="C52" t="s">
        <v>2490</v>
      </c>
      <c r="D52">
        <v>0</v>
      </c>
    </row>
    <row r="53" spans="1:4" x14ac:dyDescent="0.25">
      <c r="A53" t="s">
        <v>80</v>
      </c>
      <c r="B53" t="s">
        <v>17</v>
      </c>
      <c r="C53" t="s">
        <v>375</v>
      </c>
      <c r="D53">
        <v>1</v>
      </c>
    </row>
    <row r="54" spans="1:4" x14ac:dyDescent="0.25">
      <c r="A54" t="s">
        <v>80</v>
      </c>
      <c r="B54" t="s">
        <v>21</v>
      </c>
      <c r="C54" t="s">
        <v>262</v>
      </c>
      <c r="D54">
        <v>-1</v>
      </c>
    </row>
    <row r="55" spans="1:4" x14ac:dyDescent="0.25">
      <c r="A55" t="s">
        <v>80</v>
      </c>
      <c r="B55" t="s">
        <v>807</v>
      </c>
      <c r="C55" t="s">
        <v>3029</v>
      </c>
      <c r="D55">
        <v>1</v>
      </c>
    </row>
    <row r="56" spans="1:4" x14ac:dyDescent="0.25">
      <c r="A56" t="s">
        <v>80</v>
      </c>
      <c r="B56" t="s">
        <v>110</v>
      </c>
      <c r="C56" t="s">
        <v>2446</v>
      </c>
      <c r="D56">
        <v>0</v>
      </c>
    </row>
    <row r="57" spans="1:4" x14ac:dyDescent="0.25">
      <c r="A57" t="s">
        <v>80</v>
      </c>
      <c r="B57" t="s">
        <v>110</v>
      </c>
      <c r="C57" t="s">
        <v>1730</v>
      </c>
      <c r="D57">
        <v>-1</v>
      </c>
    </row>
    <row r="58" spans="1:4" x14ac:dyDescent="0.25">
      <c r="A58" t="s">
        <v>80</v>
      </c>
      <c r="B58" t="s">
        <v>288</v>
      </c>
      <c r="C58" t="s">
        <v>1530</v>
      </c>
      <c r="D58">
        <v>1</v>
      </c>
    </row>
    <row r="59" spans="1:4" x14ac:dyDescent="0.25">
      <c r="A59" t="s">
        <v>80</v>
      </c>
      <c r="B59" t="s">
        <v>267</v>
      </c>
      <c r="C59" t="s">
        <v>1731</v>
      </c>
      <c r="D59">
        <v>2</v>
      </c>
    </row>
    <row r="60" spans="1:4" x14ac:dyDescent="0.25">
      <c r="A60" t="s">
        <v>80</v>
      </c>
      <c r="B60" t="s">
        <v>2317</v>
      </c>
      <c r="C60" t="s">
        <v>2176</v>
      </c>
      <c r="D60">
        <v>5</v>
      </c>
    </row>
    <row r="61" spans="1:4" x14ac:dyDescent="0.25">
      <c r="A61" t="s">
        <v>80</v>
      </c>
      <c r="B61" t="s">
        <v>1750</v>
      </c>
      <c r="C61" t="s">
        <v>2178</v>
      </c>
      <c r="D61">
        <v>3</v>
      </c>
    </row>
    <row r="62" spans="1:4" x14ac:dyDescent="0.25">
      <c r="A62" t="s">
        <v>80</v>
      </c>
      <c r="B62" t="s">
        <v>1988</v>
      </c>
      <c r="C62" t="s">
        <v>1605</v>
      </c>
      <c r="D62">
        <v>5</v>
      </c>
    </row>
    <row r="63" spans="1:4" x14ac:dyDescent="0.25">
      <c r="A63" t="s">
        <v>80</v>
      </c>
      <c r="B63" t="s">
        <v>683</v>
      </c>
      <c r="C63" t="s">
        <v>1606</v>
      </c>
      <c r="D63">
        <v>7</v>
      </c>
    </row>
    <row r="64" spans="1:4" x14ac:dyDescent="0.25">
      <c r="A64" t="s">
        <v>80</v>
      </c>
      <c r="B64" t="s">
        <v>1568</v>
      </c>
      <c r="C64" t="s">
        <v>501</v>
      </c>
      <c r="D64">
        <v>6</v>
      </c>
    </row>
    <row r="65" spans="1:4" x14ac:dyDescent="0.25">
      <c r="A65" t="s">
        <v>80</v>
      </c>
      <c r="B65" t="s">
        <v>1568</v>
      </c>
      <c r="C65" t="s">
        <v>1607</v>
      </c>
      <c r="D65">
        <v>5</v>
      </c>
    </row>
    <row r="66" spans="1:4" x14ac:dyDescent="0.25">
      <c r="A66" t="s">
        <v>80</v>
      </c>
      <c r="B66" t="s">
        <v>584</v>
      </c>
      <c r="C66" t="s">
        <v>637</v>
      </c>
      <c r="D66">
        <v>6</v>
      </c>
    </row>
    <row r="67" spans="1:4" x14ac:dyDescent="0.25">
      <c r="A67" t="s">
        <v>80</v>
      </c>
      <c r="B67" t="s">
        <v>584</v>
      </c>
      <c r="C67" t="s">
        <v>1956</v>
      </c>
      <c r="D67">
        <v>7</v>
      </c>
    </row>
    <row r="68" spans="1:4" x14ac:dyDescent="0.25">
      <c r="A68" t="s">
        <v>123</v>
      </c>
      <c r="B68" t="s">
        <v>932</v>
      </c>
      <c r="C68" t="s">
        <v>1841</v>
      </c>
      <c r="D68">
        <v>4</v>
      </c>
    </row>
    <row r="69" spans="1:4" x14ac:dyDescent="0.25">
      <c r="A69" t="s">
        <v>123</v>
      </c>
      <c r="B69" t="s">
        <v>1973</v>
      </c>
      <c r="C69" t="s">
        <v>1611</v>
      </c>
      <c r="D69">
        <v>7</v>
      </c>
    </row>
    <row r="70" spans="1:4" x14ac:dyDescent="0.25">
      <c r="A70" t="s">
        <v>123</v>
      </c>
      <c r="B70" t="s">
        <v>1877</v>
      </c>
      <c r="C70" t="s">
        <v>2183</v>
      </c>
      <c r="D70">
        <v>6</v>
      </c>
    </row>
    <row r="71" spans="1:4" x14ac:dyDescent="0.25">
      <c r="A71" t="s">
        <v>123</v>
      </c>
      <c r="B71" t="s">
        <v>1836</v>
      </c>
      <c r="C71" t="s">
        <v>2456</v>
      </c>
      <c r="D71">
        <v>7</v>
      </c>
    </row>
    <row r="72" spans="1:4" x14ac:dyDescent="0.25">
      <c r="A72" t="s">
        <v>123</v>
      </c>
      <c r="B72" t="s">
        <v>1836</v>
      </c>
      <c r="C72" t="s">
        <v>401</v>
      </c>
      <c r="D72">
        <v>8</v>
      </c>
    </row>
    <row r="73" spans="1:4" x14ac:dyDescent="0.25">
      <c r="A73" t="s">
        <v>123</v>
      </c>
      <c r="B73" t="s">
        <v>568</v>
      </c>
      <c r="C73" t="s">
        <v>2184</v>
      </c>
      <c r="D73">
        <v>6</v>
      </c>
    </row>
    <row r="74" spans="1:4" x14ac:dyDescent="0.25">
      <c r="A74" t="s">
        <v>123</v>
      </c>
      <c r="B74" t="s">
        <v>135</v>
      </c>
      <c r="C74" t="s">
        <v>647</v>
      </c>
      <c r="D74">
        <v>4</v>
      </c>
    </row>
    <row r="75" spans="1:4" x14ac:dyDescent="0.25">
      <c r="A75" t="s">
        <v>123</v>
      </c>
      <c r="B75" t="s">
        <v>1725</v>
      </c>
      <c r="C75" t="s">
        <v>650</v>
      </c>
      <c r="D75">
        <v>2</v>
      </c>
    </row>
    <row r="76" spans="1:4" x14ac:dyDescent="0.25">
      <c r="A76" t="s">
        <v>123</v>
      </c>
      <c r="B76" t="s">
        <v>663</v>
      </c>
      <c r="C76" t="s">
        <v>1176</v>
      </c>
      <c r="D76">
        <v>3</v>
      </c>
    </row>
    <row r="77" spans="1:4" x14ac:dyDescent="0.25">
      <c r="A77" t="s">
        <v>123</v>
      </c>
      <c r="B77" t="s">
        <v>701</v>
      </c>
      <c r="C77" t="s">
        <v>2604</v>
      </c>
      <c r="D77">
        <v>2</v>
      </c>
    </row>
    <row r="78" spans="1:4" x14ac:dyDescent="0.25">
      <c r="A78" t="s">
        <v>123</v>
      </c>
      <c r="B78" t="s">
        <v>812</v>
      </c>
      <c r="C78" t="s">
        <v>410</v>
      </c>
      <c r="D78">
        <v>5</v>
      </c>
    </row>
    <row r="79" spans="1:4" x14ac:dyDescent="0.25">
      <c r="A79" t="s">
        <v>123</v>
      </c>
      <c r="B79" t="s">
        <v>2112</v>
      </c>
      <c r="C79" t="s">
        <v>3068</v>
      </c>
      <c r="D79">
        <v>4</v>
      </c>
    </row>
    <row r="80" spans="1:4" x14ac:dyDescent="0.25">
      <c r="A80" t="s">
        <v>123</v>
      </c>
      <c r="B80" t="s">
        <v>1045</v>
      </c>
      <c r="C80" t="s">
        <v>3707</v>
      </c>
      <c r="D80">
        <v>6</v>
      </c>
    </row>
    <row r="81" spans="1:4" x14ac:dyDescent="0.25">
      <c r="A81" t="s">
        <v>123</v>
      </c>
      <c r="B81" t="s">
        <v>1675</v>
      </c>
      <c r="C81" t="s">
        <v>2734</v>
      </c>
      <c r="D81">
        <v>3</v>
      </c>
    </row>
    <row r="82" spans="1:4" x14ac:dyDescent="0.25">
      <c r="A82" t="s">
        <v>123</v>
      </c>
      <c r="B82" t="s">
        <v>233</v>
      </c>
      <c r="C82" t="s">
        <v>1183</v>
      </c>
      <c r="D82">
        <v>6</v>
      </c>
    </row>
    <row r="83" spans="1:4" x14ac:dyDescent="0.25">
      <c r="A83" t="s">
        <v>123</v>
      </c>
      <c r="B83" t="s">
        <v>1206</v>
      </c>
      <c r="C83" t="s">
        <v>419</v>
      </c>
      <c r="D83">
        <v>5</v>
      </c>
    </row>
    <row r="84" spans="1:4" x14ac:dyDescent="0.25">
      <c r="A84" t="s">
        <v>123</v>
      </c>
      <c r="B84" t="s">
        <v>298</v>
      </c>
      <c r="C84" t="s">
        <v>1621</v>
      </c>
      <c r="D84">
        <v>6</v>
      </c>
    </row>
    <row r="85" spans="1:4" x14ac:dyDescent="0.25">
      <c r="A85" t="s">
        <v>123</v>
      </c>
      <c r="B85" t="s">
        <v>301</v>
      </c>
      <c r="C85" t="s">
        <v>670</v>
      </c>
      <c r="D85">
        <v>4</v>
      </c>
    </row>
    <row r="86" spans="1:4" x14ac:dyDescent="0.25">
      <c r="A86" t="s">
        <v>123</v>
      </c>
      <c r="B86" t="s">
        <v>1627</v>
      </c>
      <c r="C86" t="s">
        <v>672</v>
      </c>
      <c r="D86">
        <v>2</v>
      </c>
    </row>
    <row r="87" spans="1:4" x14ac:dyDescent="0.25">
      <c r="A87" t="s">
        <v>123</v>
      </c>
      <c r="B87" t="s">
        <v>772</v>
      </c>
      <c r="C87" t="s">
        <v>4223</v>
      </c>
      <c r="D87">
        <v>3</v>
      </c>
    </row>
    <row r="88" spans="1:4" x14ac:dyDescent="0.25">
      <c r="A88" t="s">
        <v>123</v>
      </c>
      <c r="B88" t="s">
        <v>451</v>
      </c>
      <c r="C88" t="s">
        <v>1967</v>
      </c>
      <c r="D88">
        <v>2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0.21839080459770116</v>
      </c>
    </row>
    <row r="92" spans="1:4" x14ac:dyDescent="0.25">
      <c r="A92" t="s">
        <v>159</v>
      </c>
      <c r="D92">
        <f>MAX(D2:D88)</f>
        <v>8</v>
      </c>
    </row>
    <row r="93" spans="1:4" x14ac:dyDescent="0.25">
      <c r="A93" t="s">
        <v>160</v>
      </c>
      <c r="D93">
        <f>MIN(D2:D88)</f>
        <v>-11</v>
      </c>
    </row>
    <row r="94" spans="1:4" x14ac:dyDescent="0.25">
      <c r="A94" t="s">
        <v>161</v>
      </c>
      <c r="D94">
        <f>COUNTIF(D2:D88,"&gt;0")</f>
        <v>48</v>
      </c>
    </row>
    <row r="95" spans="1:4" x14ac:dyDescent="0.25">
      <c r="A95" t="s">
        <v>162</v>
      </c>
      <c r="D95">
        <f>COUNTIF(D2:D88,"=0")</f>
        <v>8</v>
      </c>
    </row>
    <row r="96" spans="1:4" x14ac:dyDescent="0.25">
      <c r="A96" t="s">
        <v>1633</v>
      </c>
      <c r="D96">
        <f>COUNTIF(D2:D88,"&lt;0")</f>
        <v>31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AVERAGE(D2,D3,D4,D5,D6,D7,D8,D9,D10,D11,D12,D13,D14,D15,D16,D17,D18,D19,D20,D21,D22,D23,D24,D25,D26,D27,D28)</f>
        <v>0.62962962962962965</v>
      </c>
    </row>
    <row r="100" spans="1:4" x14ac:dyDescent="0.25">
      <c r="A100" t="s">
        <v>166</v>
      </c>
      <c r="D100">
        <f>AVERAGE(D29,D30,D31,D32,D33,D34,D35,D36,D37,D38,D39,D40,D41,D42,D43)</f>
        <v>-8.1999999999999993</v>
      </c>
    </row>
    <row r="101" spans="1:4" x14ac:dyDescent="0.25">
      <c r="A101" t="s">
        <v>167</v>
      </c>
      <c r="D101">
        <f>AVERAGE(D44,D45,D46,D47,D48,D49,D50,D51,D52,D53,D54,D55,D56,D57,D58,D59,D60,D61,D62,D63,D64,D65,D66,D67)</f>
        <v>1.25</v>
      </c>
    </row>
    <row r="102" spans="1:4" x14ac:dyDescent="0.25">
      <c r="A102" t="s">
        <v>168</v>
      </c>
      <c r="D102">
        <f>AVERAGE(D68,D69,D70,D71,D72,D73,D74,D75,D76,D77,D78,D79,D80,D81,D82,D83,D84,D85,D86,D87,D88)</f>
        <v>4.5238095238095237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563</v>
      </c>
      <c r="C2" t="s">
        <v>1008</v>
      </c>
      <c r="D2">
        <v>-3</v>
      </c>
    </row>
    <row r="3" spans="1:4" x14ac:dyDescent="0.25">
      <c r="A3" t="s">
        <v>4</v>
      </c>
      <c r="B3" t="s">
        <v>487</v>
      </c>
      <c r="C3" t="s">
        <v>909</v>
      </c>
      <c r="D3">
        <v>-5</v>
      </c>
    </row>
    <row r="4" spans="1:4" x14ac:dyDescent="0.25">
      <c r="A4" t="s">
        <v>4</v>
      </c>
      <c r="B4" t="s">
        <v>511</v>
      </c>
      <c r="C4" t="s">
        <v>2746</v>
      </c>
      <c r="D4">
        <v>-8</v>
      </c>
    </row>
    <row r="5" spans="1:4" x14ac:dyDescent="0.25">
      <c r="A5" t="s">
        <v>4</v>
      </c>
      <c r="B5" t="s">
        <v>1666</v>
      </c>
      <c r="C5" t="s">
        <v>2200</v>
      </c>
      <c r="D5">
        <v>-5</v>
      </c>
    </row>
    <row r="6" spans="1:4" x14ac:dyDescent="0.25">
      <c r="A6" t="s">
        <v>4</v>
      </c>
      <c r="B6" t="s">
        <v>1453</v>
      </c>
      <c r="C6" t="s">
        <v>1741</v>
      </c>
      <c r="D6">
        <v>-7</v>
      </c>
    </row>
    <row r="7" spans="1:4" x14ac:dyDescent="0.25">
      <c r="A7" t="s">
        <v>4</v>
      </c>
      <c r="B7" t="s">
        <v>1453</v>
      </c>
      <c r="C7" t="s">
        <v>4066</v>
      </c>
      <c r="D7">
        <v>-8</v>
      </c>
    </row>
    <row r="8" spans="1:4" x14ac:dyDescent="0.25">
      <c r="A8" t="s">
        <v>4</v>
      </c>
      <c r="B8" t="s">
        <v>568</v>
      </c>
      <c r="C8" t="s">
        <v>3696</v>
      </c>
      <c r="D8">
        <v>-6</v>
      </c>
    </row>
    <row r="9" spans="1:4" x14ac:dyDescent="0.25">
      <c r="A9" t="s">
        <v>4</v>
      </c>
      <c r="B9" t="s">
        <v>462</v>
      </c>
      <c r="C9" t="s">
        <v>1743</v>
      </c>
      <c r="D9">
        <v>-3</v>
      </c>
    </row>
    <row r="10" spans="1:4" x14ac:dyDescent="0.25">
      <c r="A10" t="s">
        <v>4</v>
      </c>
      <c r="B10" t="s">
        <v>58</v>
      </c>
      <c r="C10" t="s">
        <v>3697</v>
      </c>
      <c r="D10">
        <v>-5</v>
      </c>
    </row>
    <row r="11" spans="1:4" x14ac:dyDescent="0.25">
      <c r="A11" t="s">
        <v>4</v>
      </c>
      <c r="B11" t="s">
        <v>654</v>
      </c>
      <c r="C11" t="s">
        <v>1925</v>
      </c>
      <c r="D11">
        <v>-3</v>
      </c>
    </row>
    <row r="12" spans="1:4" x14ac:dyDescent="0.25">
      <c r="A12" t="s">
        <v>4</v>
      </c>
      <c r="B12" t="s">
        <v>628</v>
      </c>
      <c r="C12" t="s">
        <v>443</v>
      </c>
      <c r="D12">
        <v>0</v>
      </c>
    </row>
    <row r="13" spans="1:4" x14ac:dyDescent="0.25">
      <c r="A13" t="s">
        <v>4</v>
      </c>
      <c r="B13" t="s">
        <v>519</v>
      </c>
      <c r="C13" t="s">
        <v>32</v>
      </c>
      <c r="D13">
        <v>1</v>
      </c>
    </row>
    <row r="14" spans="1:4" x14ac:dyDescent="0.25">
      <c r="A14" t="s">
        <v>4</v>
      </c>
      <c r="B14" t="s">
        <v>519</v>
      </c>
      <c r="C14" t="s">
        <v>1114</v>
      </c>
      <c r="D14">
        <v>2</v>
      </c>
    </row>
    <row r="15" spans="1:4" x14ac:dyDescent="0.25">
      <c r="A15" t="s">
        <v>4</v>
      </c>
      <c r="B15" t="s">
        <v>110</v>
      </c>
      <c r="C15" t="s">
        <v>2121</v>
      </c>
      <c r="D15">
        <v>0</v>
      </c>
    </row>
    <row r="16" spans="1:4" x14ac:dyDescent="0.25">
      <c r="A16" t="s">
        <v>4</v>
      </c>
      <c r="B16" t="s">
        <v>607</v>
      </c>
      <c r="C16" t="s">
        <v>4224</v>
      </c>
      <c r="D16">
        <v>2</v>
      </c>
    </row>
    <row r="17" spans="1:4" x14ac:dyDescent="0.25">
      <c r="A17" t="s">
        <v>4</v>
      </c>
      <c r="B17" t="s">
        <v>667</v>
      </c>
      <c r="C17" t="s">
        <v>39</v>
      </c>
      <c r="D17">
        <v>-1</v>
      </c>
    </row>
    <row r="18" spans="1:4" x14ac:dyDescent="0.25">
      <c r="A18" t="s">
        <v>4</v>
      </c>
      <c r="B18" t="s">
        <v>146</v>
      </c>
      <c r="C18" t="s">
        <v>1507</v>
      </c>
      <c r="D18">
        <v>-3</v>
      </c>
    </row>
    <row r="19" spans="1:4" x14ac:dyDescent="0.25">
      <c r="A19" t="s">
        <v>4</v>
      </c>
      <c r="B19" t="s">
        <v>146</v>
      </c>
      <c r="C19" t="s">
        <v>42</v>
      </c>
      <c r="D19">
        <v>-4</v>
      </c>
    </row>
    <row r="20" spans="1:4" x14ac:dyDescent="0.25">
      <c r="A20" t="s">
        <v>4</v>
      </c>
      <c r="B20" t="s">
        <v>72</v>
      </c>
      <c r="C20" t="s">
        <v>44</v>
      </c>
      <c r="D20">
        <v>-2</v>
      </c>
    </row>
    <row r="21" spans="1:4" x14ac:dyDescent="0.25">
      <c r="A21" t="s">
        <v>4</v>
      </c>
      <c r="B21" t="s">
        <v>1988</v>
      </c>
      <c r="C21" t="s">
        <v>1509</v>
      </c>
      <c r="D21">
        <v>-4</v>
      </c>
    </row>
    <row r="22" spans="1:4" x14ac:dyDescent="0.25">
      <c r="A22" t="s">
        <v>4</v>
      </c>
      <c r="B22" t="s">
        <v>927</v>
      </c>
      <c r="C22" t="s">
        <v>589</v>
      </c>
      <c r="D22">
        <v>-1</v>
      </c>
    </row>
    <row r="23" spans="1:4" x14ac:dyDescent="0.25">
      <c r="A23" t="s">
        <v>4</v>
      </c>
      <c r="B23" t="s">
        <v>76</v>
      </c>
      <c r="C23" t="s">
        <v>591</v>
      </c>
      <c r="D23">
        <v>1</v>
      </c>
    </row>
    <row r="24" spans="1:4" x14ac:dyDescent="0.25">
      <c r="A24" t="s">
        <v>4</v>
      </c>
      <c r="B24" t="s">
        <v>38</v>
      </c>
      <c r="C24" t="s">
        <v>717</v>
      </c>
      <c r="D24">
        <v>4</v>
      </c>
    </row>
    <row r="25" spans="1:4" x14ac:dyDescent="0.25">
      <c r="A25" t="s">
        <v>40</v>
      </c>
      <c r="B25" t="s">
        <v>427</v>
      </c>
      <c r="C25" t="s">
        <v>1583</v>
      </c>
      <c r="D25">
        <v>7</v>
      </c>
    </row>
    <row r="26" spans="1:4" x14ac:dyDescent="0.25">
      <c r="A26" t="s">
        <v>40</v>
      </c>
      <c r="B26" t="s">
        <v>83</v>
      </c>
      <c r="C26" t="s">
        <v>1584</v>
      </c>
      <c r="D26">
        <v>5</v>
      </c>
    </row>
    <row r="27" spans="1:4" x14ac:dyDescent="0.25">
      <c r="A27" t="s">
        <v>40</v>
      </c>
      <c r="B27" t="s">
        <v>566</v>
      </c>
      <c r="C27" t="s">
        <v>1585</v>
      </c>
      <c r="D27">
        <v>7</v>
      </c>
    </row>
    <row r="28" spans="1:4" x14ac:dyDescent="0.25">
      <c r="A28" t="s">
        <v>40</v>
      </c>
      <c r="B28" t="s">
        <v>460</v>
      </c>
      <c r="C28" t="s">
        <v>1586</v>
      </c>
      <c r="D28">
        <v>9</v>
      </c>
    </row>
    <row r="29" spans="1:4" x14ac:dyDescent="0.25">
      <c r="A29" t="s">
        <v>40</v>
      </c>
      <c r="B29" t="s">
        <v>91</v>
      </c>
      <c r="C29" t="s">
        <v>2782</v>
      </c>
      <c r="D29">
        <v>7</v>
      </c>
    </row>
    <row r="30" spans="1:4" x14ac:dyDescent="0.25">
      <c r="A30" t="s">
        <v>40</v>
      </c>
      <c r="B30" t="s">
        <v>1069</v>
      </c>
      <c r="C30" t="s">
        <v>2361</v>
      </c>
      <c r="D30">
        <v>4</v>
      </c>
    </row>
    <row r="31" spans="1:4" x14ac:dyDescent="0.25">
      <c r="A31" t="s">
        <v>40</v>
      </c>
      <c r="B31" t="s">
        <v>1775</v>
      </c>
      <c r="C31" t="s">
        <v>1445</v>
      </c>
      <c r="D31">
        <v>7</v>
      </c>
    </row>
    <row r="32" spans="1:4" x14ac:dyDescent="0.25">
      <c r="A32" t="s">
        <v>40</v>
      </c>
      <c r="B32" t="s">
        <v>1170</v>
      </c>
      <c r="C32" t="s">
        <v>1216</v>
      </c>
      <c r="D32">
        <v>4</v>
      </c>
    </row>
    <row r="33" spans="1:4" x14ac:dyDescent="0.25">
      <c r="A33" t="s">
        <v>40</v>
      </c>
      <c r="B33" t="s">
        <v>661</v>
      </c>
      <c r="C33" t="s">
        <v>944</v>
      </c>
      <c r="D33">
        <v>6</v>
      </c>
    </row>
    <row r="34" spans="1:4" x14ac:dyDescent="0.25">
      <c r="A34" t="s">
        <v>40</v>
      </c>
      <c r="B34" t="s">
        <v>1442</v>
      </c>
      <c r="C34" t="s">
        <v>946</v>
      </c>
      <c r="D34">
        <v>9</v>
      </c>
    </row>
    <row r="35" spans="1:4" x14ac:dyDescent="0.25">
      <c r="A35" t="s">
        <v>40</v>
      </c>
      <c r="B35" t="s">
        <v>1038</v>
      </c>
      <c r="C35" t="s">
        <v>1139</v>
      </c>
      <c r="D35">
        <v>8</v>
      </c>
    </row>
    <row r="36" spans="1:4" x14ac:dyDescent="0.25">
      <c r="A36" t="s">
        <v>40</v>
      </c>
      <c r="B36" t="s">
        <v>144</v>
      </c>
      <c r="C36" t="s">
        <v>1141</v>
      </c>
      <c r="D36">
        <v>10</v>
      </c>
    </row>
    <row r="37" spans="1:4" x14ac:dyDescent="0.25">
      <c r="A37" t="s">
        <v>40</v>
      </c>
      <c r="B37" t="s">
        <v>898</v>
      </c>
      <c r="C37" t="s">
        <v>1942</v>
      </c>
      <c r="D37">
        <v>11</v>
      </c>
    </row>
    <row r="38" spans="1:4" x14ac:dyDescent="0.25">
      <c r="A38" t="s">
        <v>40</v>
      </c>
      <c r="B38" t="s">
        <v>120</v>
      </c>
      <c r="C38" t="s">
        <v>1943</v>
      </c>
      <c r="D38">
        <v>9</v>
      </c>
    </row>
    <row r="39" spans="1:4" x14ac:dyDescent="0.25">
      <c r="A39" t="s">
        <v>40</v>
      </c>
      <c r="B39" t="s">
        <v>930</v>
      </c>
      <c r="C39" t="s">
        <v>1944</v>
      </c>
      <c r="D39">
        <v>11</v>
      </c>
    </row>
    <row r="40" spans="1:4" x14ac:dyDescent="0.25">
      <c r="A40" t="s">
        <v>40</v>
      </c>
      <c r="B40" t="s">
        <v>78</v>
      </c>
      <c r="C40" t="s">
        <v>3342</v>
      </c>
      <c r="D40">
        <v>10</v>
      </c>
    </row>
    <row r="41" spans="1:4" x14ac:dyDescent="0.25">
      <c r="A41" t="s">
        <v>40</v>
      </c>
      <c r="B41" t="s">
        <v>78</v>
      </c>
      <c r="C41" t="s">
        <v>1145</v>
      </c>
      <c r="D41">
        <v>9</v>
      </c>
    </row>
    <row r="42" spans="1:4" x14ac:dyDescent="0.25">
      <c r="A42" t="s">
        <v>80</v>
      </c>
      <c r="B42" t="s">
        <v>1541</v>
      </c>
      <c r="C42" t="s">
        <v>2271</v>
      </c>
      <c r="D42">
        <v>11</v>
      </c>
    </row>
    <row r="43" spans="1:4" x14ac:dyDescent="0.25">
      <c r="A43" t="s">
        <v>80</v>
      </c>
      <c r="B43" t="s">
        <v>81</v>
      </c>
      <c r="C43" t="s">
        <v>1597</v>
      </c>
      <c r="D43">
        <v>8</v>
      </c>
    </row>
    <row r="44" spans="1:4" x14ac:dyDescent="0.25">
      <c r="A44" t="s">
        <v>80</v>
      </c>
      <c r="B44" t="s">
        <v>2355</v>
      </c>
      <c r="C44" t="s">
        <v>3700</v>
      </c>
      <c r="D44">
        <v>7</v>
      </c>
    </row>
    <row r="45" spans="1:4" x14ac:dyDescent="0.25">
      <c r="A45" t="s">
        <v>80</v>
      </c>
      <c r="B45" t="s">
        <v>2355</v>
      </c>
      <c r="C45" t="s">
        <v>2171</v>
      </c>
      <c r="D45">
        <v>6</v>
      </c>
    </row>
    <row r="46" spans="1:4" x14ac:dyDescent="0.25">
      <c r="A46" t="s">
        <v>80</v>
      </c>
      <c r="B46" t="s">
        <v>1192</v>
      </c>
      <c r="C46" t="s">
        <v>2599</v>
      </c>
      <c r="D46">
        <v>8</v>
      </c>
    </row>
    <row r="47" spans="1:4" x14ac:dyDescent="0.25">
      <c r="A47" t="s">
        <v>80</v>
      </c>
      <c r="B47" t="s">
        <v>1453</v>
      </c>
      <c r="C47" t="s">
        <v>2600</v>
      </c>
      <c r="D47">
        <v>10</v>
      </c>
    </row>
    <row r="48" spans="1:4" x14ac:dyDescent="0.25">
      <c r="A48" t="s">
        <v>80</v>
      </c>
      <c r="B48" t="s">
        <v>132</v>
      </c>
      <c r="C48" t="s">
        <v>2913</v>
      </c>
      <c r="D48">
        <v>8</v>
      </c>
    </row>
    <row r="49" spans="1:4" x14ac:dyDescent="0.25">
      <c r="A49" t="s">
        <v>80</v>
      </c>
      <c r="B49" t="s">
        <v>648</v>
      </c>
      <c r="C49" t="s">
        <v>1460</v>
      </c>
      <c r="D49">
        <v>10</v>
      </c>
    </row>
    <row r="50" spans="1:4" x14ac:dyDescent="0.25">
      <c r="A50" t="s">
        <v>80</v>
      </c>
      <c r="B50" t="s">
        <v>836</v>
      </c>
      <c r="C50" t="s">
        <v>1461</v>
      </c>
      <c r="D50">
        <v>12</v>
      </c>
    </row>
    <row r="51" spans="1:4" x14ac:dyDescent="0.25">
      <c r="A51" t="s">
        <v>80</v>
      </c>
      <c r="B51" t="s">
        <v>186</v>
      </c>
      <c r="C51" t="s">
        <v>4225</v>
      </c>
      <c r="D51">
        <v>9</v>
      </c>
    </row>
    <row r="52" spans="1:4" x14ac:dyDescent="0.25">
      <c r="A52" t="s">
        <v>80</v>
      </c>
      <c r="B52" t="s">
        <v>221</v>
      </c>
      <c r="C52" t="s">
        <v>3722</v>
      </c>
      <c r="D52">
        <v>12</v>
      </c>
    </row>
    <row r="53" spans="1:4" x14ac:dyDescent="0.25">
      <c r="A53" t="s">
        <v>80</v>
      </c>
      <c r="B53" t="s">
        <v>64</v>
      </c>
      <c r="C53" t="s">
        <v>2864</v>
      </c>
      <c r="D53">
        <v>11</v>
      </c>
    </row>
    <row r="54" spans="1:4" x14ac:dyDescent="0.25">
      <c r="A54" t="s">
        <v>80</v>
      </c>
      <c r="B54" t="s">
        <v>469</v>
      </c>
      <c r="C54" t="s">
        <v>1466</v>
      </c>
      <c r="D54">
        <v>13</v>
      </c>
    </row>
    <row r="55" spans="1:4" x14ac:dyDescent="0.25">
      <c r="A55" t="s">
        <v>80</v>
      </c>
      <c r="B55" t="s">
        <v>1739</v>
      </c>
      <c r="C55" t="s">
        <v>1467</v>
      </c>
      <c r="D55">
        <v>11</v>
      </c>
    </row>
    <row r="56" spans="1:4" x14ac:dyDescent="0.25">
      <c r="A56" t="s">
        <v>80</v>
      </c>
      <c r="B56" t="s">
        <v>671</v>
      </c>
      <c r="C56" t="s">
        <v>2938</v>
      </c>
      <c r="D56">
        <v>14</v>
      </c>
    </row>
    <row r="57" spans="1:4" x14ac:dyDescent="0.25">
      <c r="A57" t="s">
        <v>80</v>
      </c>
      <c r="B57" t="s">
        <v>709</v>
      </c>
      <c r="C57" t="s">
        <v>2988</v>
      </c>
      <c r="D57">
        <v>12</v>
      </c>
    </row>
    <row r="58" spans="1:4" x14ac:dyDescent="0.25">
      <c r="A58" t="s">
        <v>80</v>
      </c>
      <c r="B58" t="s">
        <v>1484</v>
      </c>
      <c r="C58" t="s">
        <v>3939</v>
      </c>
      <c r="D58">
        <v>10</v>
      </c>
    </row>
    <row r="59" spans="1:4" x14ac:dyDescent="0.25">
      <c r="A59" t="s">
        <v>80</v>
      </c>
      <c r="B59" t="s">
        <v>1484</v>
      </c>
      <c r="C59" t="s">
        <v>2602</v>
      </c>
      <c r="D59">
        <v>9</v>
      </c>
    </row>
    <row r="60" spans="1:4" x14ac:dyDescent="0.25">
      <c r="A60" t="s">
        <v>80</v>
      </c>
      <c r="B60" t="s">
        <v>556</v>
      </c>
      <c r="C60" t="s">
        <v>2673</v>
      </c>
      <c r="D60">
        <v>10</v>
      </c>
    </row>
    <row r="61" spans="1:4" x14ac:dyDescent="0.25">
      <c r="A61" t="s">
        <v>80</v>
      </c>
      <c r="B61" t="s">
        <v>556</v>
      </c>
      <c r="C61" t="s">
        <v>2797</v>
      </c>
      <c r="D61">
        <v>11</v>
      </c>
    </row>
    <row r="62" spans="1:4" x14ac:dyDescent="0.25">
      <c r="A62" t="s">
        <v>80</v>
      </c>
      <c r="B62" t="s">
        <v>1135</v>
      </c>
      <c r="C62" t="s">
        <v>2455</v>
      </c>
      <c r="D62">
        <v>8</v>
      </c>
    </row>
    <row r="63" spans="1:4" x14ac:dyDescent="0.25">
      <c r="A63" t="s">
        <v>80</v>
      </c>
      <c r="B63" t="s">
        <v>78</v>
      </c>
      <c r="C63" t="s">
        <v>3442</v>
      </c>
      <c r="D63">
        <v>10</v>
      </c>
    </row>
    <row r="64" spans="1:4" x14ac:dyDescent="0.25">
      <c r="A64" t="s">
        <v>123</v>
      </c>
      <c r="B64" t="s">
        <v>1022</v>
      </c>
      <c r="C64" t="s">
        <v>1471</v>
      </c>
      <c r="D64">
        <v>12</v>
      </c>
    </row>
    <row r="65" spans="1:4" x14ac:dyDescent="0.25">
      <c r="A65" t="s">
        <v>123</v>
      </c>
      <c r="B65" t="s">
        <v>819</v>
      </c>
      <c r="C65" t="s">
        <v>2992</v>
      </c>
      <c r="D65">
        <v>10</v>
      </c>
    </row>
    <row r="66" spans="1:4" x14ac:dyDescent="0.25">
      <c r="A66" t="s">
        <v>123</v>
      </c>
      <c r="B66" t="s">
        <v>689</v>
      </c>
      <c r="C66" t="s">
        <v>3942</v>
      </c>
      <c r="D66">
        <v>11</v>
      </c>
    </row>
    <row r="67" spans="1:4" x14ac:dyDescent="0.25">
      <c r="A67" t="s">
        <v>123</v>
      </c>
      <c r="B67" t="s">
        <v>689</v>
      </c>
      <c r="C67" t="s">
        <v>3443</v>
      </c>
      <c r="D67">
        <v>12</v>
      </c>
    </row>
    <row r="68" spans="1:4" x14ac:dyDescent="0.25">
      <c r="A68" t="s">
        <v>123</v>
      </c>
      <c r="B68" t="s">
        <v>1735</v>
      </c>
      <c r="C68" t="s">
        <v>2888</v>
      </c>
      <c r="D68">
        <v>14</v>
      </c>
    </row>
    <row r="69" spans="1:4" x14ac:dyDescent="0.25">
      <c r="A69" t="s">
        <v>123</v>
      </c>
      <c r="B69" t="s">
        <v>935</v>
      </c>
      <c r="C69" t="s">
        <v>1477</v>
      </c>
      <c r="D69">
        <v>16</v>
      </c>
    </row>
    <row r="70" spans="1:4" x14ac:dyDescent="0.25">
      <c r="A70" t="s">
        <v>123</v>
      </c>
      <c r="B70" t="s">
        <v>357</v>
      </c>
      <c r="C70" t="s">
        <v>2801</v>
      </c>
      <c r="D70">
        <v>18</v>
      </c>
    </row>
    <row r="71" spans="1:4" x14ac:dyDescent="0.25">
      <c r="A71" t="s">
        <v>123</v>
      </c>
      <c r="B71" t="s">
        <v>1754</v>
      </c>
      <c r="C71" t="s">
        <v>2802</v>
      </c>
      <c r="D71">
        <v>16</v>
      </c>
    </row>
    <row r="72" spans="1:4" x14ac:dyDescent="0.25">
      <c r="A72" t="s">
        <v>123</v>
      </c>
      <c r="B72" t="s">
        <v>570</v>
      </c>
      <c r="C72" t="s">
        <v>986</v>
      </c>
      <c r="D72">
        <v>19</v>
      </c>
    </row>
    <row r="73" spans="1:4" x14ac:dyDescent="0.25">
      <c r="A73" t="s">
        <v>123</v>
      </c>
      <c r="B73" t="s">
        <v>217</v>
      </c>
      <c r="C73" t="s">
        <v>988</v>
      </c>
      <c r="D73">
        <v>17</v>
      </c>
    </row>
    <row r="74" spans="1:4" x14ac:dyDescent="0.25">
      <c r="A74" t="s">
        <v>123</v>
      </c>
      <c r="B74" t="s">
        <v>740</v>
      </c>
      <c r="C74" t="s">
        <v>2845</v>
      </c>
      <c r="D74">
        <v>19</v>
      </c>
    </row>
    <row r="75" spans="1:4" x14ac:dyDescent="0.25">
      <c r="A75" t="s">
        <v>123</v>
      </c>
      <c r="B75" t="s">
        <v>740</v>
      </c>
      <c r="C75" t="s">
        <v>4226</v>
      </c>
      <c r="D75">
        <v>20</v>
      </c>
    </row>
    <row r="76" spans="1:4" x14ac:dyDescent="0.25">
      <c r="A76" t="s">
        <v>123</v>
      </c>
      <c r="B76" t="s">
        <v>437</v>
      </c>
      <c r="C76" t="s">
        <v>2847</v>
      </c>
      <c r="D76">
        <v>22</v>
      </c>
    </row>
    <row r="77" spans="1:4" x14ac:dyDescent="0.25">
      <c r="A77" t="s">
        <v>123</v>
      </c>
      <c r="B77" t="s">
        <v>807</v>
      </c>
      <c r="C77" t="s">
        <v>4227</v>
      </c>
      <c r="D77">
        <v>20</v>
      </c>
    </row>
    <row r="78" spans="1:4" x14ac:dyDescent="0.25">
      <c r="A78" t="s">
        <v>123</v>
      </c>
      <c r="B78" t="s">
        <v>747</v>
      </c>
      <c r="C78" t="s">
        <v>2810</v>
      </c>
      <c r="D78">
        <v>17</v>
      </c>
    </row>
    <row r="79" spans="1:4" x14ac:dyDescent="0.25">
      <c r="A79" t="s">
        <v>123</v>
      </c>
      <c r="B79" t="s">
        <v>529</v>
      </c>
      <c r="C79" t="s">
        <v>2955</v>
      </c>
      <c r="D79">
        <v>20</v>
      </c>
    </row>
    <row r="80" spans="1:4" x14ac:dyDescent="0.25">
      <c r="A80" t="s">
        <v>123</v>
      </c>
      <c r="B80" t="s">
        <v>732</v>
      </c>
      <c r="C80" t="s">
        <v>2956</v>
      </c>
      <c r="D80">
        <v>22</v>
      </c>
    </row>
    <row r="81" spans="1:4" x14ac:dyDescent="0.25">
      <c r="A81" t="s">
        <v>123</v>
      </c>
      <c r="B81" t="s">
        <v>1809</v>
      </c>
      <c r="C81" t="s">
        <v>4228</v>
      </c>
      <c r="D81">
        <v>24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7.55</v>
      </c>
    </row>
    <row r="85" spans="1:4" x14ac:dyDescent="0.25">
      <c r="A85" t="s">
        <v>159</v>
      </c>
      <c r="D85">
        <f>MAX(D2:D81)</f>
        <v>24</v>
      </c>
    </row>
    <row r="86" spans="1:4" x14ac:dyDescent="0.25">
      <c r="A86" t="s">
        <v>160</v>
      </c>
      <c r="D86">
        <f>MIN(D2:D81)</f>
        <v>-8</v>
      </c>
    </row>
    <row r="87" spans="1:4" x14ac:dyDescent="0.25">
      <c r="A87" t="s">
        <v>161</v>
      </c>
      <c r="D87">
        <f>COUNTIF(D2:D81,"&gt;0")</f>
        <v>62</v>
      </c>
    </row>
    <row r="88" spans="1:4" x14ac:dyDescent="0.25">
      <c r="A88" t="s">
        <v>162</v>
      </c>
      <c r="D88">
        <f>COUNTIF(D2:D81,"=0")</f>
        <v>2</v>
      </c>
    </row>
    <row r="89" spans="1:4" x14ac:dyDescent="0.25">
      <c r="A89" t="s">
        <v>2150</v>
      </c>
      <c r="D89">
        <f>COUNTIF(D2:D81,"&lt;0")</f>
        <v>16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AVERAGE(D2,D3,D4,D5,D6,D7,D8,D9,D10,D11,D12,D13,D14,D15,D16,D17,D18,D19,D20,D21,D22,D23,D24)</f>
        <v>-2.5217391304347827</v>
      </c>
    </row>
    <row r="93" spans="1:4" x14ac:dyDescent="0.25">
      <c r="A93" t="s">
        <v>166</v>
      </c>
      <c r="D93">
        <f>AVERAGE(D25,D26,D27,D28,D29,D30,D31,D32,D33,D34,D35,D36,D37,D38,D39,D40,D41)</f>
        <v>7.8235294117647056</v>
      </c>
    </row>
    <row r="94" spans="1:4" x14ac:dyDescent="0.25">
      <c r="A94" t="s">
        <v>167</v>
      </c>
      <c r="D94">
        <f>AVERAGE(D42,D43,D44,D45,D46,D47,D48,D49,D50,D51,D52,D53,D54,D55,D56,D57,D58,D59,D60,D61,D62,D63)</f>
        <v>10</v>
      </c>
    </row>
    <row r="95" spans="1:4" x14ac:dyDescent="0.25">
      <c r="A95" t="s">
        <v>168</v>
      </c>
      <c r="D95">
        <f>AVERAGE(D64,D65,D66,D67,D68,D69,D70,D71,D72,D73,D74,D75,D76,D77,D78,D79,D80,D81)</f>
        <v>17.166666666666668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714</v>
      </c>
      <c r="C2" t="s">
        <v>6</v>
      </c>
      <c r="D2">
        <v>2</v>
      </c>
    </row>
    <row r="3" spans="1:4" x14ac:dyDescent="0.25">
      <c r="A3" t="s">
        <v>4</v>
      </c>
      <c r="B3" t="s">
        <v>714</v>
      </c>
      <c r="C3" t="s">
        <v>171</v>
      </c>
      <c r="D3">
        <v>3</v>
      </c>
    </row>
    <row r="4" spans="1:4" x14ac:dyDescent="0.25">
      <c r="A4" t="s">
        <v>4</v>
      </c>
      <c r="B4" t="s">
        <v>2151</v>
      </c>
      <c r="C4" t="s">
        <v>1572</v>
      </c>
      <c r="D4">
        <v>5</v>
      </c>
    </row>
    <row r="5" spans="1:4" x14ac:dyDescent="0.25">
      <c r="A5" t="s">
        <v>4</v>
      </c>
      <c r="B5" t="s">
        <v>47</v>
      </c>
      <c r="C5" t="s">
        <v>429</v>
      </c>
      <c r="D5">
        <v>2</v>
      </c>
    </row>
    <row r="6" spans="1:4" x14ac:dyDescent="0.25">
      <c r="A6" t="s">
        <v>4</v>
      </c>
      <c r="B6" t="s">
        <v>398</v>
      </c>
      <c r="C6" t="s">
        <v>430</v>
      </c>
      <c r="D6">
        <v>4</v>
      </c>
    </row>
    <row r="7" spans="1:4" x14ac:dyDescent="0.25">
      <c r="A7" t="s">
        <v>4</v>
      </c>
      <c r="B7" t="s">
        <v>51</v>
      </c>
      <c r="C7" t="s">
        <v>781</v>
      </c>
      <c r="D7">
        <v>7</v>
      </c>
    </row>
    <row r="8" spans="1:4" x14ac:dyDescent="0.25">
      <c r="A8" t="s">
        <v>4</v>
      </c>
      <c r="B8" t="s">
        <v>1248</v>
      </c>
      <c r="C8" t="s">
        <v>782</v>
      </c>
      <c r="D8">
        <v>9</v>
      </c>
    </row>
    <row r="9" spans="1:4" x14ac:dyDescent="0.25">
      <c r="A9" t="s">
        <v>4</v>
      </c>
      <c r="B9" t="s">
        <v>623</v>
      </c>
      <c r="C9" t="s">
        <v>783</v>
      </c>
      <c r="D9">
        <v>7</v>
      </c>
    </row>
    <row r="10" spans="1:4" x14ac:dyDescent="0.25">
      <c r="A10" t="s">
        <v>4</v>
      </c>
      <c r="B10" t="s">
        <v>2080</v>
      </c>
      <c r="C10" t="s">
        <v>1195</v>
      </c>
      <c r="D10">
        <v>9</v>
      </c>
    </row>
    <row r="11" spans="1:4" x14ac:dyDescent="0.25">
      <c r="A11" t="s">
        <v>4</v>
      </c>
      <c r="B11" t="s">
        <v>60</v>
      </c>
      <c r="C11" t="s">
        <v>318</v>
      </c>
      <c r="D11">
        <v>6</v>
      </c>
    </row>
    <row r="12" spans="1:4" x14ac:dyDescent="0.25">
      <c r="A12" t="s">
        <v>4</v>
      </c>
      <c r="B12" t="s">
        <v>872</v>
      </c>
      <c r="C12" t="s">
        <v>191</v>
      </c>
      <c r="D12">
        <v>8</v>
      </c>
    </row>
    <row r="13" spans="1:4" x14ac:dyDescent="0.25">
      <c r="A13" t="s">
        <v>4</v>
      </c>
      <c r="B13" t="s">
        <v>872</v>
      </c>
      <c r="C13" t="s">
        <v>1015</v>
      </c>
      <c r="D13">
        <v>9</v>
      </c>
    </row>
    <row r="14" spans="1:4" x14ac:dyDescent="0.25">
      <c r="A14" t="s">
        <v>4</v>
      </c>
      <c r="B14" t="s">
        <v>743</v>
      </c>
      <c r="C14" t="s">
        <v>2516</v>
      </c>
      <c r="D14">
        <v>11</v>
      </c>
    </row>
    <row r="15" spans="1:4" x14ac:dyDescent="0.25">
      <c r="A15" t="s">
        <v>4</v>
      </c>
      <c r="B15" t="s">
        <v>743</v>
      </c>
      <c r="C15" t="s">
        <v>1017</v>
      </c>
      <c r="D15">
        <v>12</v>
      </c>
    </row>
    <row r="16" spans="1:4" x14ac:dyDescent="0.25">
      <c r="A16" t="s">
        <v>4</v>
      </c>
      <c r="B16" t="s">
        <v>285</v>
      </c>
      <c r="C16" t="s">
        <v>3680</v>
      </c>
      <c r="D16">
        <v>11</v>
      </c>
    </row>
    <row r="17" spans="1:4" x14ac:dyDescent="0.25">
      <c r="A17" t="s">
        <v>4</v>
      </c>
      <c r="B17" t="s">
        <v>285</v>
      </c>
      <c r="C17" t="s">
        <v>1018</v>
      </c>
      <c r="D17">
        <v>10</v>
      </c>
    </row>
    <row r="18" spans="1:4" x14ac:dyDescent="0.25">
      <c r="A18" t="s">
        <v>4</v>
      </c>
      <c r="B18" t="s">
        <v>987</v>
      </c>
      <c r="C18" t="s">
        <v>2893</v>
      </c>
      <c r="D18">
        <v>12</v>
      </c>
    </row>
    <row r="19" spans="1:4" x14ac:dyDescent="0.25">
      <c r="A19" t="s">
        <v>4</v>
      </c>
      <c r="B19" t="s">
        <v>1127</v>
      </c>
      <c r="C19" t="s">
        <v>4035</v>
      </c>
      <c r="D19">
        <v>15</v>
      </c>
    </row>
    <row r="20" spans="1:4" x14ac:dyDescent="0.25">
      <c r="A20" t="s">
        <v>4</v>
      </c>
      <c r="B20" t="s">
        <v>1202</v>
      </c>
      <c r="C20" t="s">
        <v>3730</v>
      </c>
      <c r="D20">
        <v>13</v>
      </c>
    </row>
    <row r="21" spans="1:4" x14ac:dyDescent="0.25">
      <c r="A21" t="s">
        <v>4</v>
      </c>
      <c r="B21" t="s">
        <v>1048</v>
      </c>
      <c r="C21" t="s">
        <v>2898</v>
      </c>
      <c r="D21">
        <v>16</v>
      </c>
    </row>
    <row r="22" spans="1:4" x14ac:dyDescent="0.25">
      <c r="A22" t="s">
        <v>4</v>
      </c>
      <c r="B22" t="s">
        <v>392</v>
      </c>
      <c r="C22" t="s">
        <v>1363</v>
      </c>
      <c r="D22">
        <v>14</v>
      </c>
    </row>
    <row r="23" spans="1:4" x14ac:dyDescent="0.25">
      <c r="A23" t="s">
        <v>4</v>
      </c>
      <c r="B23" t="s">
        <v>1180</v>
      </c>
      <c r="C23" t="s">
        <v>3534</v>
      </c>
      <c r="D23">
        <v>11</v>
      </c>
    </row>
    <row r="24" spans="1:4" x14ac:dyDescent="0.25">
      <c r="A24" t="s">
        <v>40</v>
      </c>
      <c r="B24" t="s">
        <v>41</v>
      </c>
      <c r="C24" t="s">
        <v>4229</v>
      </c>
      <c r="D24">
        <v>13</v>
      </c>
    </row>
    <row r="25" spans="1:4" x14ac:dyDescent="0.25">
      <c r="A25" t="s">
        <v>40</v>
      </c>
      <c r="B25" t="s">
        <v>211</v>
      </c>
      <c r="C25" t="s">
        <v>1931</v>
      </c>
      <c r="D25">
        <v>11</v>
      </c>
    </row>
    <row r="26" spans="1:4" x14ac:dyDescent="0.25">
      <c r="A26" t="s">
        <v>40</v>
      </c>
      <c r="B26" t="s">
        <v>1771</v>
      </c>
      <c r="C26" t="s">
        <v>3005</v>
      </c>
      <c r="D26">
        <v>14</v>
      </c>
    </row>
    <row r="27" spans="1:4" x14ac:dyDescent="0.25">
      <c r="A27" t="s">
        <v>40</v>
      </c>
      <c r="B27" t="s">
        <v>1495</v>
      </c>
      <c r="C27" t="s">
        <v>2056</v>
      </c>
      <c r="D27">
        <v>16</v>
      </c>
    </row>
    <row r="28" spans="1:4" x14ac:dyDescent="0.25">
      <c r="A28" t="s">
        <v>40</v>
      </c>
      <c r="B28" t="s">
        <v>623</v>
      </c>
      <c r="C28" t="s">
        <v>1032</v>
      </c>
      <c r="D28">
        <v>15</v>
      </c>
    </row>
    <row r="29" spans="1:4" x14ac:dyDescent="0.25">
      <c r="A29" t="s">
        <v>40</v>
      </c>
      <c r="B29" t="s">
        <v>2080</v>
      </c>
      <c r="C29" t="s">
        <v>1034</v>
      </c>
      <c r="D29">
        <v>13</v>
      </c>
    </row>
    <row r="30" spans="1:4" x14ac:dyDescent="0.25">
      <c r="A30" t="s">
        <v>40</v>
      </c>
      <c r="B30" t="s">
        <v>217</v>
      </c>
      <c r="C30" t="s">
        <v>3008</v>
      </c>
      <c r="D30">
        <v>11</v>
      </c>
    </row>
    <row r="31" spans="1:4" x14ac:dyDescent="0.25">
      <c r="A31" t="s">
        <v>40</v>
      </c>
      <c r="B31" t="s">
        <v>313</v>
      </c>
      <c r="C31" t="s">
        <v>2528</v>
      </c>
      <c r="D31">
        <v>9</v>
      </c>
    </row>
    <row r="32" spans="1:4" x14ac:dyDescent="0.25">
      <c r="A32" t="s">
        <v>40</v>
      </c>
      <c r="B32" t="s">
        <v>313</v>
      </c>
      <c r="C32" t="s">
        <v>2529</v>
      </c>
      <c r="D32">
        <v>8</v>
      </c>
    </row>
    <row r="33" spans="1:4" x14ac:dyDescent="0.25">
      <c r="A33" t="s">
        <v>40</v>
      </c>
      <c r="B33" t="s">
        <v>263</v>
      </c>
      <c r="C33" t="s">
        <v>2977</v>
      </c>
      <c r="D33">
        <v>11</v>
      </c>
    </row>
    <row r="34" spans="1:4" x14ac:dyDescent="0.25">
      <c r="A34" t="s">
        <v>40</v>
      </c>
      <c r="B34" t="s">
        <v>1536</v>
      </c>
      <c r="C34" t="s">
        <v>4023</v>
      </c>
      <c r="D34">
        <v>14</v>
      </c>
    </row>
    <row r="35" spans="1:4" x14ac:dyDescent="0.25">
      <c r="A35" t="s">
        <v>40</v>
      </c>
      <c r="B35" t="s">
        <v>225</v>
      </c>
      <c r="C35" t="s">
        <v>2163</v>
      </c>
      <c r="D35">
        <v>12</v>
      </c>
    </row>
    <row r="36" spans="1:4" x14ac:dyDescent="0.25">
      <c r="A36" t="s">
        <v>40</v>
      </c>
      <c r="B36" t="s">
        <v>749</v>
      </c>
      <c r="C36" t="s">
        <v>2164</v>
      </c>
      <c r="D36">
        <v>14</v>
      </c>
    </row>
    <row r="37" spans="1:4" x14ac:dyDescent="0.25">
      <c r="A37" t="s">
        <v>40</v>
      </c>
      <c r="B37" t="s">
        <v>472</v>
      </c>
      <c r="C37" t="s">
        <v>1941</v>
      </c>
      <c r="D37">
        <v>12</v>
      </c>
    </row>
    <row r="38" spans="1:4" x14ac:dyDescent="0.25">
      <c r="A38" t="s">
        <v>40</v>
      </c>
      <c r="B38" t="s">
        <v>2453</v>
      </c>
      <c r="C38" t="s">
        <v>947</v>
      </c>
      <c r="D38">
        <v>10</v>
      </c>
    </row>
    <row r="39" spans="1:4" x14ac:dyDescent="0.25">
      <c r="A39" t="s">
        <v>40</v>
      </c>
      <c r="B39" t="s">
        <v>1750</v>
      </c>
      <c r="C39" t="s">
        <v>4230</v>
      </c>
      <c r="D39">
        <v>12</v>
      </c>
    </row>
    <row r="40" spans="1:4" x14ac:dyDescent="0.25">
      <c r="A40" t="s">
        <v>40</v>
      </c>
      <c r="B40" t="s">
        <v>552</v>
      </c>
      <c r="C40" t="s">
        <v>1942</v>
      </c>
      <c r="D40">
        <v>11</v>
      </c>
    </row>
    <row r="41" spans="1:4" x14ac:dyDescent="0.25">
      <c r="A41" t="s">
        <v>40</v>
      </c>
      <c r="B41" t="s">
        <v>346</v>
      </c>
      <c r="C41" t="s">
        <v>2816</v>
      </c>
      <c r="D41">
        <v>13</v>
      </c>
    </row>
    <row r="42" spans="1:4" x14ac:dyDescent="0.25">
      <c r="A42" t="s">
        <v>40</v>
      </c>
      <c r="B42" t="s">
        <v>298</v>
      </c>
      <c r="C42" t="s">
        <v>2818</v>
      </c>
      <c r="D42">
        <v>16</v>
      </c>
    </row>
    <row r="43" spans="1:4" x14ac:dyDescent="0.25">
      <c r="A43" t="s">
        <v>40</v>
      </c>
      <c r="B43" t="s">
        <v>902</v>
      </c>
      <c r="C43" t="s">
        <v>952</v>
      </c>
      <c r="D43">
        <v>15</v>
      </c>
    </row>
    <row r="44" spans="1:4" x14ac:dyDescent="0.25">
      <c r="A44" t="s">
        <v>80</v>
      </c>
      <c r="B44" t="s">
        <v>1022</v>
      </c>
      <c r="C44" t="s">
        <v>1455</v>
      </c>
      <c r="D44">
        <v>13</v>
      </c>
    </row>
    <row r="45" spans="1:4" x14ac:dyDescent="0.25">
      <c r="A45" t="s">
        <v>80</v>
      </c>
      <c r="B45" t="s">
        <v>2151</v>
      </c>
      <c r="C45" t="s">
        <v>2786</v>
      </c>
      <c r="D45">
        <v>11</v>
      </c>
    </row>
    <row r="46" spans="1:4" x14ac:dyDescent="0.25">
      <c r="A46" t="s">
        <v>80</v>
      </c>
      <c r="B46" t="s">
        <v>719</v>
      </c>
      <c r="C46" t="s">
        <v>2338</v>
      </c>
      <c r="D46">
        <v>9</v>
      </c>
    </row>
    <row r="47" spans="1:4" x14ac:dyDescent="0.25">
      <c r="A47" t="s">
        <v>80</v>
      </c>
      <c r="B47" t="s">
        <v>1027</v>
      </c>
      <c r="C47" t="s">
        <v>1599</v>
      </c>
      <c r="D47">
        <v>11</v>
      </c>
    </row>
    <row r="48" spans="1:4" x14ac:dyDescent="0.25">
      <c r="A48" t="s">
        <v>80</v>
      </c>
      <c r="B48" t="s">
        <v>359</v>
      </c>
      <c r="C48" t="s">
        <v>2365</v>
      </c>
      <c r="D48">
        <v>13</v>
      </c>
    </row>
    <row r="49" spans="1:4" x14ac:dyDescent="0.25">
      <c r="A49" t="s">
        <v>80</v>
      </c>
      <c r="B49" t="s">
        <v>1169</v>
      </c>
      <c r="C49" t="s">
        <v>1152</v>
      </c>
      <c r="D49">
        <v>12</v>
      </c>
    </row>
    <row r="50" spans="1:4" x14ac:dyDescent="0.25">
      <c r="A50" t="s">
        <v>80</v>
      </c>
      <c r="B50" t="s">
        <v>1169</v>
      </c>
      <c r="C50" t="s">
        <v>4142</v>
      </c>
      <c r="D50">
        <v>11</v>
      </c>
    </row>
    <row r="51" spans="1:4" x14ac:dyDescent="0.25">
      <c r="A51" t="s">
        <v>80</v>
      </c>
      <c r="B51" t="s">
        <v>566</v>
      </c>
      <c r="C51" t="s">
        <v>1682</v>
      </c>
      <c r="D51">
        <v>12</v>
      </c>
    </row>
    <row r="52" spans="1:4" x14ac:dyDescent="0.25">
      <c r="A52" t="s">
        <v>80</v>
      </c>
      <c r="B52" t="s">
        <v>275</v>
      </c>
      <c r="C52" t="s">
        <v>1460</v>
      </c>
      <c r="D52">
        <v>10</v>
      </c>
    </row>
    <row r="53" spans="1:4" x14ac:dyDescent="0.25">
      <c r="A53" t="s">
        <v>80</v>
      </c>
      <c r="B53" t="s">
        <v>1194</v>
      </c>
      <c r="C53" t="s">
        <v>1461</v>
      </c>
      <c r="D53">
        <v>12</v>
      </c>
    </row>
    <row r="54" spans="1:4" x14ac:dyDescent="0.25">
      <c r="A54" t="s">
        <v>80</v>
      </c>
      <c r="B54" t="s">
        <v>179</v>
      </c>
      <c r="C54" t="s">
        <v>1463</v>
      </c>
      <c r="D54">
        <v>10</v>
      </c>
    </row>
    <row r="55" spans="1:4" x14ac:dyDescent="0.25">
      <c r="A55" t="s">
        <v>80</v>
      </c>
      <c r="B55" t="s">
        <v>868</v>
      </c>
      <c r="C55" t="s">
        <v>1464</v>
      </c>
      <c r="D55">
        <v>12</v>
      </c>
    </row>
    <row r="56" spans="1:4" x14ac:dyDescent="0.25">
      <c r="A56" t="s">
        <v>80</v>
      </c>
      <c r="B56" t="s">
        <v>698</v>
      </c>
      <c r="C56" t="s">
        <v>2790</v>
      </c>
      <c r="D56">
        <v>13</v>
      </c>
    </row>
    <row r="57" spans="1:4" x14ac:dyDescent="0.25">
      <c r="A57" t="s">
        <v>80</v>
      </c>
      <c r="B57" t="s">
        <v>1598</v>
      </c>
      <c r="C57" t="s">
        <v>3379</v>
      </c>
      <c r="D57">
        <v>15</v>
      </c>
    </row>
    <row r="58" spans="1:4" x14ac:dyDescent="0.25">
      <c r="A58" t="s">
        <v>80</v>
      </c>
      <c r="B58" t="s">
        <v>313</v>
      </c>
      <c r="C58" t="s">
        <v>968</v>
      </c>
      <c r="D58">
        <v>17</v>
      </c>
    </row>
    <row r="59" spans="1:4" x14ac:dyDescent="0.25">
      <c r="A59" t="s">
        <v>80</v>
      </c>
      <c r="B59" t="s">
        <v>503</v>
      </c>
      <c r="C59" t="s">
        <v>969</v>
      </c>
      <c r="D59">
        <v>19</v>
      </c>
    </row>
    <row r="60" spans="1:4" x14ac:dyDescent="0.25">
      <c r="A60" t="s">
        <v>80</v>
      </c>
      <c r="B60" t="s">
        <v>72</v>
      </c>
      <c r="C60" t="s">
        <v>970</v>
      </c>
      <c r="D60">
        <v>17</v>
      </c>
    </row>
    <row r="61" spans="1:4" x14ac:dyDescent="0.25">
      <c r="A61" t="s">
        <v>80</v>
      </c>
      <c r="B61" t="s">
        <v>481</v>
      </c>
      <c r="C61" t="s">
        <v>971</v>
      </c>
      <c r="D61">
        <v>19</v>
      </c>
    </row>
    <row r="62" spans="1:4" x14ac:dyDescent="0.25">
      <c r="A62" t="s">
        <v>80</v>
      </c>
      <c r="B62" t="s">
        <v>301</v>
      </c>
      <c r="C62" t="s">
        <v>4018</v>
      </c>
      <c r="D62">
        <v>16</v>
      </c>
    </row>
    <row r="63" spans="1:4" x14ac:dyDescent="0.25">
      <c r="A63" t="s">
        <v>123</v>
      </c>
      <c r="B63" t="s">
        <v>269</v>
      </c>
      <c r="C63" t="s">
        <v>4019</v>
      </c>
      <c r="D63">
        <v>19</v>
      </c>
    </row>
    <row r="64" spans="1:4" x14ac:dyDescent="0.25">
      <c r="A64" t="s">
        <v>123</v>
      </c>
      <c r="B64" t="s">
        <v>1691</v>
      </c>
      <c r="C64" t="s">
        <v>3851</v>
      </c>
      <c r="D64">
        <v>22</v>
      </c>
    </row>
    <row r="65" spans="1:4" x14ac:dyDescent="0.25">
      <c r="A65" t="s">
        <v>123</v>
      </c>
      <c r="B65" t="s">
        <v>935</v>
      </c>
      <c r="C65" t="s">
        <v>3852</v>
      </c>
      <c r="D65">
        <v>20</v>
      </c>
    </row>
    <row r="66" spans="1:4" x14ac:dyDescent="0.25">
      <c r="A66" t="s">
        <v>123</v>
      </c>
      <c r="B66" t="s">
        <v>1836</v>
      </c>
      <c r="C66" t="s">
        <v>2839</v>
      </c>
      <c r="D66">
        <v>23</v>
      </c>
    </row>
    <row r="67" spans="1:4" x14ac:dyDescent="0.25">
      <c r="A67" t="s">
        <v>123</v>
      </c>
      <c r="B67" t="s">
        <v>275</v>
      </c>
      <c r="C67" t="s">
        <v>3753</v>
      </c>
      <c r="D67">
        <v>21</v>
      </c>
    </row>
    <row r="68" spans="1:4" x14ac:dyDescent="0.25">
      <c r="A68" t="s">
        <v>123</v>
      </c>
      <c r="B68" t="s">
        <v>275</v>
      </c>
      <c r="C68" t="s">
        <v>2840</v>
      </c>
      <c r="D68">
        <v>20</v>
      </c>
    </row>
    <row r="69" spans="1:4" x14ac:dyDescent="0.25">
      <c r="A69" t="s">
        <v>123</v>
      </c>
      <c r="B69" t="s">
        <v>2510</v>
      </c>
      <c r="C69" t="s">
        <v>2093</v>
      </c>
      <c r="D69">
        <v>22</v>
      </c>
    </row>
    <row r="70" spans="1:4" x14ac:dyDescent="0.25">
      <c r="A70" t="s">
        <v>123</v>
      </c>
      <c r="B70" t="s">
        <v>1284</v>
      </c>
      <c r="C70" t="s">
        <v>4008</v>
      </c>
      <c r="D70">
        <v>20</v>
      </c>
    </row>
    <row r="71" spans="1:4" x14ac:dyDescent="0.25">
      <c r="A71" t="s">
        <v>123</v>
      </c>
      <c r="B71" t="s">
        <v>184</v>
      </c>
      <c r="C71" t="s">
        <v>3354</v>
      </c>
      <c r="D71">
        <v>21</v>
      </c>
    </row>
    <row r="72" spans="1:4" x14ac:dyDescent="0.25">
      <c r="A72" t="s">
        <v>123</v>
      </c>
      <c r="B72" t="s">
        <v>184</v>
      </c>
      <c r="C72" t="s">
        <v>4063</v>
      </c>
      <c r="D72">
        <v>22</v>
      </c>
    </row>
    <row r="73" spans="1:4" x14ac:dyDescent="0.25">
      <c r="A73" t="s">
        <v>123</v>
      </c>
      <c r="B73" t="s">
        <v>2311</v>
      </c>
      <c r="C73" t="s">
        <v>3387</v>
      </c>
      <c r="D73">
        <v>20</v>
      </c>
    </row>
    <row r="74" spans="1:4" x14ac:dyDescent="0.25">
      <c r="A74" t="s">
        <v>123</v>
      </c>
      <c r="B74" t="s">
        <v>1695</v>
      </c>
      <c r="C74" t="s">
        <v>4231</v>
      </c>
      <c r="D74">
        <v>22</v>
      </c>
    </row>
    <row r="75" spans="1:4" x14ac:dyDescent="0.25">
      <c r="A75" t="s">
        <v>123</v>
      </c>
      <c r="B75" t="s">
        <v>1695</v>
      </c>
      <c r="C75" t="s">
        <v>4159</v>
      </c>
      <c r="D75">
        <v>23</v>
      </c>
    </row>
    <row r="76" spans="1:4" x14ac:dyDescent="0.25">
      <c r="A76" t="s">
        <v>123</v>
      </c>
      <c r="B76" t="s">
        <v>1016</v>
      </c>
      <c r="C76" t="s">
        <v>3689</v>
      </c>
      <c r="D76">
        <v>20</v>
      </c>
    </row>
    <row r="77" spans="1:4" x14ac:dyDescent="0.25">
      <c r="A77" t="s">
        <v>123</v>
      </c>
      <c r="B77" t="s">
        <v>1335</v>
      </c>
      <c r="C77" t="s">
        <v>3690</v>
      </c>
      <c r="D77">
        <v>22</v>
      </c>
    </row>
    <row r="78" spans="1:4" x14ac:dyDescent="0.25">
      <c r="A78" t="s">
        <v>123</v>
      </c>
      <c r="B78" t="s">
        <v>671</v>
      </c>
      <c r="C78" t="s">
        <v>2950</v>
      </c>
      <c r="D78">
        <v>20</v>
      </c>
    </row>
    <row r="79" spans="1:4" x14ac:dyDescent="0.25">
      <c r="A79" t="s">
        <v>123</v>
      </c>
      <c r="B79" t="s">
        <v>1622</v>
      </c>
      <c r="C79" t="s">
        <v>2951</v>
      </c>
      <c r="D79">
        <v>22</v>
      </c>
    </row>
    <row r="80" spans="1:4" x14ac:dyDescent="0.25">
      <c r="A80" t="s">
        <v>123</v>
      </c>
      <c r="B80" t="s">
        <v>72</v>
      </c>
      <c r="C80" t="s">
        <v>2952</v>
      </c>
      <c r="D80">
        <v>20</v>
      </c>
    </row>
    <row r="81" spans="1:4" x14ac:dyDescent="0.25">
      <c r="A81" t="s">
        <v>123</v>
      </c>
      <c r="B81" t="s">
        <v>36</v>
      </c>
      <c r="C81" t="s">
        <v>4232</v>
      </c>
      <c r="D81">
        <v>18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13.6875</v>
      </c>
    </row>
    <row r="85" spans="1:4" x14ac:dyDescent="0.25">
      <c r="A85" t="s">
        <v>159</v>
      </c>
      <c r="D85">
        <f>MAX(D2:D81)</f>
        <v>23</v>
      </c>
    </row>
    <row r="86" spans="1:4" x14ac:dyDescent="0.25">
      <c r="A86" t="s">
        <v>160</v>
      </c>
      <c r="D86">
        <f>MIN(D2:D81)</f>
        <v>2</v>
      </c>
    </row>
    <row r="87" spans="1:4" x14ac:dyDescent="0.25">
      <c r="A87" t="s">
        <v>161</v>
      </c>
      <c r="D87">
        <f>COUNTIF(D2:D81,"&gt;0")</f>
        <v>80</v>
      </c>
    </row>
    <row r="88" spans="1:4" x14ac:dyDescent="0.25">
      <c r="A88" t="s">
        <v>162</v>
      </c>
      <c r="D88">
        <f>COUNTIF(D2:D81,"=0")</f>
        <v>0</v>
      </c>
    </row>
    <row r="89" spans="1:4" x14ac:dyDescent="0.25">
      <c r="A89" t="s">
        <v>687</v>
      </c>
      <c r="D89">
        <f>COUNTIF(D2:D81,"&lt;0")</f>
        <v>0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AVERAGE(D2,D3,D4,D5,D6,D7,D8,D9,D10,D11,D12,D13,D14,D15,D16,D17,D18,D19,D20,D21,D22,D23)</f>
        <v>8.9090909090909083</v>
      </c>
    </row>
    <row r="93" spans="1:4" x14ac:dyDescent="0.25">
      <c r="A93" t="s">
        <v>166</v>
      </c>
      <c r="D93">
        <f>AVERAGE(D24,D25,D26,D27,D28,D29,D30,D31,D32,D33,D34,D35,D36,D37,D38,D39,D40,D41,D42,D43)</f>
        <v>12.5</v>
      </c>
    </row>
    <row r="94" spans="1:4" x14ac:dyDescent="0.25">
      <c r="A94" t="s">
        <v>167</v>
      </c>
      <c r="D94">
        <f>AVERAGE(D44,D45,D46,D47,D48,D49,D50,D51,D52,D53,D54,D55,D56,D57,D58,D59,D60,D61,D62)</f>
        <v>13.263157894736842</v>
      </c>
    </row>
    <row r="95" spans="1:4" x14ac:dyDescent="0.25">
      <c r="A95" t="s">
        <v>168</v>
      </c>
      <c r="D95">
        <f>AVERAGE(D63,D64,D65,D66,D67,D68,D69,D70,D71,D72,D73,D74,D75,D76,D77,D78,D79,D80,D81)</f>
        <v>20.894736842105264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688</v>
      </c>
    </row>
    <row r="2" spans="1:4" x14ac:dyDescent="0.25">
      <c r="A2" t="s">
        <v>4</v>
      </c>
      <c r="B2" t="s">
        <v>1664</v>
      </c>
      <c r="C2" t="s">
        <v>1923</v>
      </c>
      <c r="D2">
        <v>1</v>
      </c>
    </row>
    <row r="3" spans="1:4" x14ac:dyDescent="0.25">
      <c r="A3" t="s">
        <v>4</v>
      </c>
      <c r="B3" t="s">
        <v>1664</v>
      </c>
      <c r="C3" t="s">
        <v>6</v>
      </c>
      <c r="D3">
        <v>2</v>
      </c>
    </row>
    <row r="4" spans="1:4" x14ac:dyDescent="0.25">
      <c r="A4" t="s">
        <v>4</v>
      </c>
      <c r="B4" t="s">
        <v>1524</v>
      </c>
      <c r="C4" t="s">
        <v>306</v>
      </c>
      <c r="D4">
        <v>-1</v>
      </c>
    </row>
    <row r="5" spans="1:4" x14ac:dyDescent="0.25">
      <c r="A5" t="s">
        <v>4</v>
      </c>
      <c r="B5" t="s">
        <v>2570</v>
      </c>
      <c r="C5" t="s">
        <v>308</v>
      </c>
      <c r="D5">
        <v>1</v>
      </c>
    </row>
    <row r="6" spans="1:4" x14ac:dyDescent="0.25">
      <c r="A6" t="s">
        <v>4</v>
      </c>
      <c r="B6" t="s">
        <v>87</v>
      </c>
      <c r="C6" t="s">
        <v>692</v>
      </c>
      <c r="D6">
        <v>3</v>
      </c>
    </row>
    <row r="7" spans="1:4" x14ac:dyDescent="0.25">
      <c r="A7" t="s">
        <v>4</v>
      </c>
      <c r="B7" t="s">
        <v>1824</v>
      </c>
      <c r="C7" t="s">
        <v>2046</v>
      </c>
      <c r="D7">
        <v>0</v>
      </c>
    </row>
    <row r="8" spans="1:4" x14ac:dyDescent="0.25">
      <c r="A8" t="s">
        <v>4</v>
      </c>
      <c r="B8" t="s">
        <v>132</v>
      </c>
      <c r="C8" t="s">
        <v>1574</v>
      </c>
      <c r="D8">
        <v>2</v>
      </c>
    </row>
    <row r="9" spans="1:4" x14ac:dyDescent="0.25">
      <c r="A9" t="s">
        <v>4</v>
      </c>
      <c r="B9" t="s">
        <v>1495</v>
      </c>
      <c r="C9" t="s">
        <v>697</v>
      </c>
      <c r="D9">
        <v>-1</v>
      </c>
    </row>
    <row r="10" spans="1:4" x14ac:dyDescent="0.25">
      <c r="A10" t="s">
        <v>4</v>
      </c>
      <c r="B10" t="s">
        <v>832</v>
      </c>
      <c r="C10" t="s">
        <v>1699</v>
      </c>
      <c r="D10">
        <v>-4</v>
      </c>
    </row>
    <row r="11" spans="1:4" x14ac:dyDescent="0.25">
      <c r="A11" t="s">
        <v>4</v>
      </c>
      <c r="B11" t="s">
        <v>1441</v>
      </c>
      <c r="C11" t="s">
        <v>1500</v>
      </c>
      <c r="D11">
        <v>-2</v>
      </c>
    </row>
    <row r="12" spans="1:4" x14ac:dyDescent="0.25">
      <c r="A12" t="s">
        <v>4</v>
      </c>
      <c r="B12" t="s">
        <v>1434</v>
      </c>
      <c r="C12" t="s">
        <v>1501</v>
      </c>
      <c r="D12">
        <v>-4</v>
      </c>
    </row>
    <row r="13" spans="1:4" x14ac:dyDescent="0.25">
      <c r="A13" t="s">
        <v>4</v>
      </c>
      <c r="B13" t="s">
        <v>1090</v>
      </c>
      <c r="C13" t="s">
        <v>2119</v>
      </c>
      <c r="D13">
        <v>-2</v>
      </c>
    </row>
    <row r="14" spans="1:4" x14ac:dyDescent="0.25">
      <c r="A14" t="s">
        <v>4</v>
      </c>
      <c r="B14" t="s">
        <v>764</v>
      </c>
      <c r="C14" t="s">
        <v>1435</v>
      </c>
      <c r="D14">
        <v>-1</v>
      </c>
    </row>
    <row r="15" spans="1:4" x14ac:dyDescent="0.25">
      <c r="A15" t="s">
        <v>4</v>
      </c>
      <c r="B15" t="s">
        <v>1153</v>
      </c>
      <c r="C15" t="s">
        <v>921</v>
      </c>
      <c r="D15">
        <v>1</v>
      </c>
    </row>
    <row r="16" spans="1:4" x14ac:dyDescent="0.25">
      <c r="A16" t="s">
        <v>4</v>
      </c>
      <c r="B16" t="s">
        <v>2048</v>
      </c>
      <c r="C16" t="s">
        <v>705</v>
      </c>
      <c r="D16">
        <v>-1</v>
      </c>
    </row>
    <row r="17" spans="1:4" x14ac:dyDescent="0.25">
      <c r="A17" t="s">
        <v>4</v>
      </c>
      <c r="B17" t="s">
        <v>116</v>
      </c>
      <c r="C17" t="s">
        <v>580</v>
      </c>
      <c r="D17">
        <v>-3</v>
      </c>
    </row>
    <row r="18" spans="1:4" x14ac:dyDescent="0.25">
      <c r="A18" t="s">
        <v>4</v>
      </c>
      <c r="B18" t="s">
        <v>2453</v>
      </c>
      <c r="C18" t="s">
        <v>39</v>
      </c>
      <c r="D18">
        <v>-1</v>
      </c>
    </row>
    <row r="19" spans="1:4" x14ac:dyDescent="0.25">
      <c r="A19" t="s">
        <v>4</v>
      </c>
      <c r="B19" t="s">
        <v>550</v>
      </c>
      <c r="C19" t="s">
        <v>2721</v>
      </c>
      <c r="D19">
        <v>0</v>
      </c>
    </row>
    <row r="20" spans="1:4" x14ac:dyDescent="0.25">
      <c r="A20" t="s">
        <v>4</v>
      </c>
      <c r="B20" t="s">
        <v>996</v>
      </c>
      <c r="C20" t="s">
        <v>331</v>
      </c>
      <c r="D20">
        <v>3</v>
      </c>
    </row>
    <row r="21" spans="1:4" x14ac:dyDescent="0.25">
      <c r="A21" t="s">
        <v>4</v>
      </c>
      <c r="B21" t="s">
        <v>1204</v>
      </c>
      <c r="C21" t="s">
        <v>711</v>
      </c>
      <c r="D21">
        <v>1</v>
      </c>
    </row>
    <row r="22" spans="1:4" x14ac:dyDescent="0.25">
      <c r="A22" t="s">
        <v>4</v>
      </c>
      <c r="B22" t="s">
        <v>1204</v>
      </c>
      <c r="C22" t="s">
        <v>1438</v>
      </c>
      <c r="D22">
        <v>0</v>
      </c>
    </row>
    <row r="23" spans="1:4" x14ac:dyDescent="0.25">
      <c r="A23" t="s">
        <v>4</v>
      </c>
      <c r="B23" t="s">
        <v>301</v>
      </c>
      <c r="C23" t="s">
        <v>334</v>
      </c>
      <c r="D23">
        <v>3</v>
      </c>
    </row>
    <row r="24" spans="1:4" x14ac:dyDescent="0.25">
      <c r="A24" t="s">
        <v>4</v>
      </c>
      <c r="B24" t="s">
        <v>451</v>
      </c>
      <c r="C24" t="s">
        <v>591</v>
      </c>
      <c r="D24">
        <v>1</v>
      </c>
    </row>
    <row r="25" spans="1:4" x14ac:dyDescent="0.25">
      <c r="A25" t="s">
        <v>40</v>
      </c>
      <c r="B25" t="s">
        <v>271</v>
      </c>
      <c r="C25" t="s">
        <v>214</v>
      </c>
      <c r="D25">
        <v>3</v>
      </c>
    </row>
    <row r="26" spans="1:4" x14ac:dyDescent="0.25">
      <c r="A26" t="s">
        <v>40</v>
      </c>
      <c r="B26" t="s">
        <v>1973</v>
      </c>
      <c r="C26" t="s">
        <v>336</v>
      </c>
      <c r="D26">
        <v>2</v>
      </c>
    </row>
    <row r="27" spans="1:4" x14ac:dyDescent="0.25">
      <c r="A27" t="s">
        <v>40</v>
      </c>
      <c r="B27" t="s">
        <v>1573</v>
      </c>
      <c r="C27" t="s">
        <v>2357</v>
      </c>
      <c r="D27">
        <v>1</v>
      </c>
    </row>
    <row r="28" spans="1:4" x14ac:dyDescent="0.25">
      <c r="A28" t="s">
        <v>40</v>
      </c>
      <c r="B28" t="s">
        <v>1573</v>
      </c>
      <c r="C28" t="s">
        <v>2331</v>
      </c>
      <c r="D28">
        <v>0</v>
      </c>
    </row>
    <row r="29" spans="1:4" x14ac:dyDescent="0.25">
      <c r="A29" t="s">
        <v>40</v>
      </c>
      <c r="B29" t="s">
        <v>1824</v>
      </c>
      <c r="C29" t="s">
        <v>218</v>
      </c>
      <c r="D29">
        <v>3</v>
      </c>
    </row>
    <row r="30" spans="1:4" x14ac:dyDescent="0.25">
      <c r="A30" t="s">
        <v>40</v>
      </c>
      <c r="B30" t="s">
        <v>568</v>
      </c>
      <c r="C30" t="s">
        <v>934</v>
      </c>
      <c r="D30">
        <v>5</v>
      </c>
    </row>
    <row r="31" spans="1:4" x14ac:dyDescent="0.25">
      <c r="A31" t="s">
        <v>40</v>
      </c>
      <c r="B31" t="s">
        <v>568</v>
      </c>
      <c r="C31" t="s">
        <v>220</v>
      </c>
      <c r="D31">
        <v>6</v>
      </c>
    </row>
    <row r="32" spans="1:4" x14ac:dyDescent="0.25">
      <c r="A32" t="s">
        <v>40</v>
      </c>
      <c r="B32" t="s">
        <v>462</v>
      </c>
      <c r="C32" t="s">
        <v>2781</v>
      </c>
      <c r="D32">
        <v>5</v>
      </c>
    </row>
    <row r="33" spans="1:4" x14ac:dyDescent="0.25">
      <c r="A33" t="s">
        <v>40</v>
      </c>
      <c r="B33" t="s">
        <v>462</v>
      </c>
      <c r="C33" t="s">
        <v>222</v>
      </c>
      <c r="D33">
        <v>4</v>
      </c>
    </row>
    <row r="34" spans="1:4" x14ac:dyDescent="0.25">
      <c r="A34" t="s">
        <v>40</v>
      </c>
      <c r="B34" t="s">
        <v>1533</v>
      </c>
      <c r="C34" t="s">
        <v>1443</v>
      </c>
      <c r="D34">
        <v>7</v>
      </c>
    </row>
    <row r="35" spans="1:4" x14ac:dyDescent="0.25">
      <c r="A35" t="s">
        <v>40</v>
      </c>
      <c r="B35" t="s">
        <v>2962</v>
      </c>
      <c r="C35" t="s">
        <v>727</v>
      </c>
      <c r="D35">
        <v>4</v>
      </c>
    </row>
    <row r="36" spans="1:4" x14ac:dyDescent="0.25">
      <c r="A36" t="s">
        <v>40</v>
      </c>
      <c r="B36" t="s">
        <v>701</v>
      </c>
      <c r="C36" t="s">
        <v>1938</v>
      </c>
      <c r="D36">
        <v>7</v>
      </c>
    </row>
    <row r="37" spans="1:4" x14ac:dyDescent="0.25">
      <c r="A37" t="s">
        <v>40</v>
      </c>
      <c r="B37" t="s">
        <v>467</v>
      </c>
      <c r="C37" t="s">
        <v>1589</v>
      </c>
      <c r="D37">
        <v>9</v>
      </c>
    </row>
    <row r="38" spans="1:4" x14ac:dyDescent="0.25">
      <c r="A38" t="s">
        <v>40</v>
      </c>
      <c r="B38" t="s">
        <v>1517</v>
      </c>
      <c r="C38" t="s">
        <v>4189</v>
      </c>
      <c r="D38">
        <v>8</v>
      </c>
    </row>
    <row r="39" spans="1:4" x14ac:dyDescent="0.25">
      <c r="A39" t="s">
        <v>40</v>
      </c>
      <c r="B39" t="s">
        <v>1517</v>
      </c>
      <c r="C39" t="s">
        <v>1590</v>
      </c>
      <c r="D39">
        <v>7</v>
      </c>
    </row>
    <row r="40" spans="1:4" x14ac:dyDescent="0.25">
      <c r="A40" t="s">
        <v>40</v>
      </c>
      <c r="B40" t="s">
        <v>894</v>
      </c>
      <c r="C40" t="s">
        <v>947</v>
      </c>
      <c r="D40">
        <v>10</v>
      </c>
    </row>
    <row r="41" spans="1:4" x14ac:dyDescent="0.25">
      <c r="A41" t="s">
        <v>40</v>
      </c>
      <c r="B41" t="s">
        <v>1843</v>
      </c>
      <c r="C41" t="s">
        <v>2165</v>
      </c>
      <c r="D41">
        <v>8</v>
      </c>
    </row>
    <row r="42" spans="1:4" x14ac:dyDescent="0.25">
      <c r="A42" t="s">
        <v>40</v>
      </c>
      <c r="B42" t="s">
        <v>1843</v>
      </c>
      <c r="C42" t="s">
        <v>1672</v>
      </c>
      <c r="D42">
        <v>7</v>
      </c>
    </row>
    <row r="43" spans="1:4" x14ac:dyDescent="0.25">
      <c r="A43" t="s">
        <v>40</v>
      </c>
      <c r="B43" t="s">
        <v>2363</v>
      </c>
      <c r="C43" t="s">
        <v>2166</v>
      </c>
      <c r="D43">
        <v>6</v>
      </c>
    </row>
    <row r="44" spans="1:4" x14ac:dyDescent="0.25">
      <c r="A44" t="s">
        <v>40</v>
      </c>
      <c r="B44" t="s">
        <v>2363</v>
      </c>
      <c r="C44" t="s">
        <v>2305</v>
      </c>
      <c r="D44">
        <v>5</v>
      </c>
    </row>
    <row r="45" spans="1:4" x14ac:dyDescent="0.25">
      <c r="A45" t="s">
        <v>40</v>
      </c>
      <c r="B45" t="s">
        <v>1113</v>
      </c>
      <c r="C45" t="s">
        <v>735</v>
      </c>
      <c r="D45">
        <v>3</v>
      </c>
    </row>
    <row r="46" spans="1:4" x14ac:dyDescent="0.25">
      <c r="A46" t="s">
        <v>40</v>
      </c>
      <c r="B46" t="s">
        <v>902</v>
      </c>
      <c r="C46" t="s">
        <v>2169</v>
      </c>
      <c r="D46">
        <v>6</v>
      </c>
    </row>
    <row r="47" spans="1:4" x14ac:dyDescent="0.25">
      <c r="A47" t="s">
        <v>80</v>
      </c>
      <c r="B47" t="s">
        <v>1055</v>
      </c>
      <c r="C47" t="s">
        <v>2548</v>
      </c>
      <c r="D47">
        <v>4</v>
      </c>
    </row>
    <row r="48" spans="1:4" x14ac:dyDescent="0.25">
      <c r="A48" t="s">
        <v>80</v>
      </c>
      <c r="B48" t="s">
        <v>1680</v>
      </c>
      <c r="C48" t="s">
        <v>485</v>
      </c>
      <c r="D48">
        <v>6</v>
      </c>
    </row>
    <row r="49" spans="1:4" x14ac:dyDescent="0.25">
      <c r="A49" t="s">
        <v>80</v>
      </c>
      <c r="B49" t="s">
        <v>1849</v>
      </c>
      <c r="C49" t="s">
        <v>486</v>
      </c>
      <c r="D49">
        <v>4</v>
      </c>
    </row>
    <row r="50" spans="1:4" x14ac:dyDescent="0.25">
      <c r="A50" t="s">
        <v>80</v>
      </c>
      <c r="B50" t="s">
        <v>1027</v>
      </c>
      <c r="C50" t="s">
        <v>488</v>
      </c>
      <c r="D50">
        <v>6</v>
      </c>
    </row>
    <row r="51" spans="1:4" x14ac:dyDescent="0.25">
      <c r="A51" t="s">
        <v>80</v>
      </c>
      <c r="B51" t="s">
        <v>85</v>
      </c>
      <c r="C51" t="s">
        <v>1600</v>
      </c>
      <c r="D51">
        <v>8</v>
      </c>
    </row>
    <row r="52" spans="1:4" x14ac:dyDescent="0.25">
      <c r="A52" t="s">
        <v>80</v>
      </c>
      <c r="B52" t="s">
        <v>1411</v>
      </c>
      <c r="C52" t="s">
        <v>2984</v>
      </c>
      <c r="D52">
        <v>11</v>
      </c>
    </row>
    <row r="53" spans="1:4" x14ac:dyDescent="0.25">
      <c r="A53" t="s">
        <v>80</v>
      </c>
      <c r="B53" t="s">
        <v>868</v>
      </c>
      <c r="C53" t="s">
        <v>2366</v>
      </c>
      <c r="D53">
        <v>13</v>
      </c>
    </row>
    <row r="54" spans="1:4" x14ac:dyDescent="0.25">
      <c r="A54" t="s">
        <v>80</v>
      </c>
      <c r="B54" t="s">
        <v>215</v>
      </c>
      <c r="C54" t="s">
        <v>2367</v>
      </c>
      <c r="D54">
        <v>16</v>
      </c>
    </row>
    <row r="55" spans="1:4" x14ac:dyDescent="0.25">
      <c r="A55" t="s">
        <v>80</v>
      </c>
      <c r="B55" t="s">
        <v>2032</v>
      </c>
      <c r="C55" t="s">
        <v>2667</v>
      </c>
      <c r="D55">
        <v>14</v>
      </c>
    </row>
    <row r="56" spans="1:4" x14ac:dyDescent="0.25">
      <c r="A56" t="s">
        <v>80</v>
      </c>
      <c r="B56" t="s">
        <v>21</v>
      </c>
      <c r="C56" t="s">
        <v>2369</v>
      </c>
      <c r="D56">
        <v>17</v>
      </c>
    </row>
    <row r="57" spans="1:4" x14ac:dyDescent="0.25">
      <c r="A57" t="s">
        <v>80</v>
      </c>
      <c r="B57" t="s">
        <v>600</v>
      </c>
      <c r="C57" t="s">
        <v>4004</v>
      </c>
      <c r="D57">
        <v>14</v>
      </c>
    </row>
    <row r="58" spans="1:4" x14ac:dyDescent="0.25">
      <c r="A58" t="s">
        <v>80</v>
      </c>
      <c r="B58" t="s">
        <v>1016</v>
      </c>
      <c r="C58" t="s">
        <v>2669</v>
      </c>
      <c r="D58">
        <v>13</v>
      </c>
    </row>
    <row r="59" spans="1:4" x14ac:dyDescent="0.25">
      <c r="A59" t="s">
        <v>80</v>
      </c>
      <c r="B59" t="s">
        <v>1700</v>
      </c>
      <c r="C59" t="s">
        <v>3724</v>
      </c>
      <c r="D59">
        <v>10</v>
      </c>
    </row>
    <row r="60" spans="1:4" x14ac:dyDescent="0.25">
      <c r="A60" t="s">
        <v>80</v>
      </c>
      <c r="B60" t="s">
        <v>706</v>
      </c>
      <c r="C60" t="s">
        <v>2672</v>
      </c>
      <c r="D60">
        <v>13</v>
      </c>
    </row>
    <row r="61" spans="1:4" x14ac:dyDescent="0.25">
      <c r="A61" t="s">
        <v>80</v>
      </c>
      <c r="B61" t="s">
        <v>290</v>
      </c>
      <c r="C61" t="s">
        <v>3665</v>
      </c>
      <c r="D61">
        <v>14</v>
      </c>
    </row>
    <row r="62" spans="1:4" x14ac:dyDescent="0.25">
      <c r="A62" t="s">
        <v>80</v>
      </c>
      <c r="B62" t="s">
        <v>290</v>
      </c>
      <c r="C62" t="s">
        <v>2867</v>
      </c>
      <c r="D62">
        <v>15</v>
      </c>
    </row>
    <row r="63" spans="1:4" x14ac:dyDescent="0.25">
      <c r="A63" t="s">
        <v>80</v>
      </c>
      <c r="B63" t="s">
        <v>2453</v>
      </c>
      <c r="C63" t="s">
        <v>3940</v>
      </c>
      <c r="D63">
        <v>13</v>
      </c>
    </row>
    <row r="64" spans="1:4" x14ac:dyDescent="0.25">
      <c r="A64" t="s">
        <v>80</v>
      </c>
      <c r="B64" t="s">
        <v>1675</v>
      </c>
      <c r="C64" t="s">
        <v>2943</v>
      </c>
      <c r="D64">
        <v>16</v>
      </c>
    </row>
    <row r="65" spans="1:4" x14ac:dyDescent="0.25">
      <c r="A65" t="s">
        <v>80</v>
      </c>
      <c r="B65" t="s">
        <v>880</v>
      </c>
      <c r="C65" t="s">
        <v>2945</v>
      </c>
      <c r="D65">
        <v>18</v>
      </c>
    </row>
    <row r="66" spans="1:4" x14ac:dyDescent="0.25">
      <c r="A66" t="s">
        <v>80</v>
      </c>
      <c r="B66" t="s">
        <v>1845</v>
      </c>
      <c r="C66" t="s">
        <v>3185</v>
      </c>
      <c r="D66">
        <v>15</v>
      </c>
    </row>
    <row r="67" spans="1:4" x14ac:dyDescent="0.25">
      <c r="A67" t="s">
        <v>80</v>
      </c>
      <c r="B67" t="s">
        <v>770</v>
      </c>
      <c r="C67" t="s">
        <v>1473</v>
      </c>
      <c r="D67">
        <v>13</v>
      </c>
    </row>
    <row r="68" spans="1:4" x14ac:dyDescent="0.25">
      <c r="A68" t="s">
        <v>123</v>
      </c>
      <c r="B68" t="s">
        <v>1430</v>
      </c>
      <c r="C68" t="s">
        <v>1474</v>
      </c>
      <c r="D68">
        <v>15</v>
      </c>
    </row>
    <row r="69" spans="1:4" x14ac:dyDescent="0.25">
      <c r="A69" t="s">
        <v>123</v>
      </c>
      <c r="B69" t="s">
        <v>81</v>
      </c>
      <c r="C69" t="s">
        <v>2189</v>
      </c>
      <c r="D69">
        <v>13</v>
      </c>
    </row>
    <row r="70" spans="1:4" x14ac:dyDescent="0.25">
      <c r="A70" t="s">
        <v>123</v>
      </c>
      <c r="B70" t="s">
        <v>1009</v>
      </c>
      <c r="C70" t="s">
        <v>2191</v>
      </c>
      <c r="D70">
        <v>16</v>
      </c>
    </row>
    <row r="71" spans="1:4" x14ac:dyDescent="0.25">
      <c r="A71" t="s">
        <v>123</v>
      </c>
      <c r="B71" t="s">
        <v>1190</v>
      </c>
      <c r="C71" t="s">
        <v>1479</v>
      </c>
      <c r="D71">
        <v>18</v>
      </c>
    </row>
    <row r="72" spans="1:4" x14ac:dyDescent="0.25">
      <c r="A72" t="s">
        <v>123</v>
      </c>
      <c r="B72" t="s">
        <v>912</v>
      </c>
      <c r="C72" t="s">
        <v>2385</v>
      </c>
      <c r="D72">
        <v>21</v>
      </c>
    </row>
    <row r="73" spans="1:4" x14ac:dyDescent="0.25">
      <c r="A73" t="s">
        <v>123</v>
      </c>
      <c r="B73" t="s">
        <v>274</v>
      </c>
      <c r="C73" t="s">
        <v>3446</v>
      </c>
      <c r="D73">
        <v>18</v>
      </c>
    </row>
    <row r="74" spans="1:4" x14ac:dyDescent="0.25">
      <c r="A74" t="s">
        <v>123</v>
      </c>
      <c r="B74" t="s">
        <v>363</v>
      </c>
      <c r="C74" t="s">
        <v>3854</v>
      </c>
      <c r="D74">
        <v>17</v>
      </c>
    </row>
    <row r="75" spans="1:4" x14ac:dyDescent="0.25">
      <c r="A75" t="s">
        <v>123</v>
      </c>
      <c r="B75" t="s">
        <v>363</v>
      </c>
      <c r="C75" t="s">
        <v>3022</v>
      </c>
      <c r="D75">
        <v>16</v>
      </c>
    </row>
    <row r="76" spans="1:4" x14ac:dyDescent="0.25">
      <c r="A76" t="s">
        <v>123</v>
      </c>
      <c r="B76" t="s">
        <v>802</v>
      </c>
      <c r="C76" t="s">
        <v>4233</v>
      </c>
      <c r="D76">
        <v>18</v>
      </c>
    </row>
    <row r="77" spans="1:4" x14ac:dyDescent="0.25">
      <c r="A77" t="s">
        <v>123</v>
      </c>
      <c r="B77" t="s">
        <v>17</v>
      </c>
      <c r="C77" t="s">
        <v>2809</v>
      </c>
      <c r="D77">
        <v>15</v>
      </c>
    </row>
    <row r="78" spans="1:4" x14ac:dyDescent="0.25">
      <c r="A78" t="s">
        <v>123</v>
      </c>
      <c r="B78" t="s">
        <v>284</v>
      </c>
      <c r="C78" t="s">
        <v>2810</v>
      </c>
      <c r="D78">
        <v>17</v>
      </c>
    </row>
    <row r="79" spans="1:4" x14ac:dyDescent="0.25">
      <c r="A79" t="s">
        <v>123</v>
      </c>
      <c r="B79" t="s">
        <v>2629</v>
      </c>
      <c r="C79" t="s">
        <v>4234</v>
      </c>
      <c r="D79">
        <v>15</v>
      </c>
    </row>
    <row r="80" spans="1:4" x14ac:dyDescent="0.25">
      <c r="A80" t="s">
        <v>123</v>
      </c>
      <c r="B80" t="s">
        <v>702</v>
      </c>
      <c r="C80" t="s">
        <v>3709</v>
      </c>
      <c r="D80">
        <v>16</v>
      </c>
    </row>
    <row r="81" spans="1:4" x14ac:dyDescent="0.25">
      <c r="A81" t="s">
        <v>123</v>
      </c>
      <c r="B81" t="s">
        <v>631</v>
      </c>
      <c r="C81" t="s">
        <v>4235</v>
      </c>
      <c r="D81">
        <v>15</v>
      </c>
    </row>
    <row r="82" spans="1:4" x14ac:dyDescent="0.25">
      <c r="A82" t="s">
        <v>123</v>
      </c>
      <c r="B82" t="s">
        <v>1398</v>
      </c>
      <c r="C82" t="s">
        <v>3710</v>
      </c>
      <c r="D82">
        <v>13</v>
      </c>
    </row>
    <row r="83" spans="1:4" x14ac:dyDescent="0.25">
      <c r="A83" t="s">
        <v>123</v>
      </c>
      <c r="B83" t="s">
        <v>550</v>
      </c>
      <c r="C83" t="s">
        <v>3727</v>
      </c>
      <c r="D83">
        <v>11</v>
      </c>
    </row>
    <row r="84" spans="1:4" x14ac:dyDescent="0.25">
      <c r="A84" t="s">
        <v>123</v>
      </c>
      <c r="B84" t="s">
        <v>550</v>
      </c>
      <c r="C84" t="s">
        <v>3728</v>
      </c>
      <c r="D84">
        <v>10</v>
      </c>
    </row>
    <row r="85" spans="1:4" x14ac:dyDescent="0.25">
      <c r="A85" t="s">
        <v>123</v>
      </c>
      <c r="B85" t="s">
        <v>344</v>
      </c>
      <c r="C85" t="s">
        <v>4236</v>
      </c>
      <c r="D85">
        <v>12</v>
      </c>
    </row>
    <row r="86" spans="1:4" x14ac:dyDescent="0.25">
      <c r="A86" t="s">
        <v>123</v>
      </c>
      <c r="B86" t="s">
        <v>1988</v>
      </c>
      <c r="C86" t="s">
        <v>1858</v>
      </c>
      <c r="D86">
        <v>11</v>
      </c>
    </row>
    <row r="87" spans="1:4" x14ac:dyDescent="0.25">
      <c r="A87" t="s">
        <v>123</v>
      </c>
      <c r="B87" t="s">
        <v>483</v>
      </c>
      <c r="C87" t="s">
        <v>4237</v>
      </c>
      <c r="D87">
        <v>13</v>
      </c>
    </row>
    <row r="88" spans="1:4" x14ac:dyDescent="0.25">
      <c r="A88" t="s">
        <v>123</v>
      </c>
      <c r="B88" t="s">
        <v>76</v>
      </c>
      <c r="C88" t="s">
        <v>4238</v>
      </c>
      <c r="D88">
        <v>11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7.7931034482758621</v>
      </c>
    </row>
    <row r="92" spans="1:4" x14ac:dyDescent="0.25">
      <c r="A92" t="s">
        <v>159</v>
      </c>
      <c r="D92">
        <f>MAX(D2:D88)</f>
        <v>21</v>
      </c>
    </row>
    <row r="93" spans="1:4" x14ac:dyDescent="0.25">
      <c r="A93" t="s">
        <v>160</v>
      </c>
      <c r="D93">
        <f>MIN(D2:D88)</f>
        <v>-4</v>
      </c>
    </row>
    <row r="94" spans="1:4" x14ac:dyDescent="0.25">
      <c r="A94" t="s">
        <v>161</v>
      </c>
      <c r="D94">
        <f>COUNTIF(D2:D88,"&gt;0")</f>
        <v>73</v>
      </c>
    </row>
    <row r="95" spans="1:4" x14ac:dyDescent="0.25">
      <c r="A95" t="s">
        <v>162</v>
      </c>
      <c r="D95">
        <f>COUNTIF(D2:D88,"=0")</f>
        <v>4</v>
      </c>
    </row>
    <row r="96" spans="1:4" x14ac:dyDescent="0.25">
      <c r="A96" t="s">
        <v>775</v>
      </c>
      <c r="D96">
        <f>COUNTIF(D2:D88,"&lt;0")</f>
        <v>10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AVERAGE(D2,D3,D4,D5,D6,D7,D8,D9,D10,D11,D12,D13,D14,D15,D16,D17,D18,D19,D20,D21,D22,D23,D24)</f>
        <v>-8.6956521739130432E-2</v>
      </c>
    </row>
    <row r="100" spans="1:4" x14ac:dyDescent="0.25">
      <c r="A100" t="s">
        <v>166</v>
      </c>
      <c r="D100">
        <f>AVERAGE(D25,D26,D27,D28,D29,D30,D31,D32,D33,D34,D35,D36,D37,D38,D39,D40,D41,D42,D43,D44,D45,D46)</f>
        <v>5.2727272727272725</v>
      </c>
    </row>
    <row r="101" spans="1:4" x14ac:dyDescent="0.25">
      <c r="A101" t="s">
        <v>167</v>
      </c>
      <c r="D101">
        <f>AVERAGE(D47,D48,D49,D50,D51,D52,D53,D54,D55,D56,D57,D58,D59,D60,D61,D62,D63,D64,D65,D66,D67)</f>
        <v>12.047619047619047</v>
      </c>
    </row>
    <row r="102" spans="1:4" x14ac:dyDescent="0.25">
      <c r="A102" t="s">
        <v>168</v>
      </c>
      <c r="D102">
        <f>AVERAGE(D68,D69,D70,D71,D72,D73,D74,D75,D76,D77,D78,D79,D80,D81,D82,D83,D84,D85,D86,D87,D88)</f>
        <v>14.80952380952381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8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3980</v>
      </c>
    </row>
    <row r="2" spans="1:4" x14ac:dyDescent="0.25">
      <c r="A2" t="s">
        <v>4</v>
      </c>
      <c r="B2" t="s">
        <v>1680</v>
      </c>
      <c r="C2" t="s">
        <v>6</v>
      </c>
      <c r="D2">
        <v>2</v>
      </c>
    </row>
    <row r="3" spans="1:4" x14ac:dyDescent="0.25">
      <c r="A3" t="s">
        <v>4</v>
      </c>
      <c r="B3" t="s">
        <v>1192</v>
      </c>
      <c r="C3" t="s">
        <v>2353</v>
      </c>
      <c r="D3">
        <v>4</v>
      </c>
    </row>
    <row r="4" spans="1:4" x14ac:dyDescent="0.25">
      <c r="A4" t="s">
        <v>4</v>
      </c>
      <c r="B4" t="s">
        <v>723</v>
      </c>
      <c r="C4" t="s">
        <v>2643</v>
      </c>
      <c r="D4">
        <v>7</v>
      </c>
    </row>
    <row r="5" spans="1:4" x14ac:dyDescent="0.25">
      <c r="A5" t="s">
        <v>4</v>
      </c>
      <c r="B5" t="s">
        <v>641</v>
      </c>
      <c r="C5" t="s">
        <v>2592</v>
      </c>
      <c r="D5">
        <v>5</v>
      </c>
    </row>
    <row r="6" spans="1:4" x14ac:dyDescent="0.25">
      <c r="A6" t="s">
        <v>4</v>
      </c>
      <c r="B6" t="s">
        <v>1146</v>
      </c>
      <c r="C6" t="s">
        <v>430</v>
      </c>
      <c r="D6">
        <v>4</v>
      </c>
    </row>
    <row r="7" spans="1:4" x14ac:dyDescent="0.25">
      <c r="A7" t="s">
        <v>4</v>
      </c>
      <c r="B7" t="s">
        <v>1146</v>
      </c>
      <c r="C7" t="s">
        <v>1348</v>
      </c>
      <c r="D7">
        <v>3</v>
      </c>
    </row>
    <row r="8" spans="1:4" x14ac:dyDescent="0.25">
      <c r="A8" t="s">
        <v>4</v>
      </c>
      <c r="B8" t="s">
        <v>1432</v>
      </c>
      <c r="C8" t="s">
        <v>567</v>
      </c>
      <c r="D8">
        <v>0</v>
      </c>
    </row>
    <row r="9" spans="1:4" x14ac:dyDescent="0.25">
      <c r="A9" t="s">
        <v>4</v>
      </c>
      <c r="B9" t="s">
        <v>1284</v>
      </c>
      <c r="C9" t="s">
        <v>1497</v>
      </c>
      <c r="D9">
        <v>-2</v>
      </c>
    </row>
    <row r="10" spans="1:4" x14ac:dyDescent="0.25">
      <c r="A10" t="s">
        <v>4</v>
      </c>
      <c r="B10" t="s">
        <v>726</v>
      </c>
      <c r="C10" t="s">
        <v>697</v>
      </c>
      <c r="D10">
        <v>-1</v>
      </c>
    </row>
    <row r="11" spans="1:4" x14ac:dyDescent="0.25">
      <c r="A11" t="s">
        <v>4</v>
      </c>
      <c r="B11" t="s">
        <v>62</v>
      </c>
      <c r="C11" t="s">
        <v>573</v>
      </c>
      <c r="D11">
        <v>2</v>
      </c>
    </row>
    <row r="12" spans="1:4" x14ac:dyDescent="0.25">
      <c r="A12" t="s">
        <v>4</v>
      </c>
      <c r="B12" t="s">
        <v>628</v>
      </c>
      <c r="C12" t="s">
        <v>1871</v>
      </c>
      <c r="D12">
        <v>5</v>
      </c>
    </row>
    <row r="13" spans="1:4" x14ac:dyDescent="0.25">
      <c r="A13" t="s">
        <v>4</v>
      </c>
      <c r="B13" t="s">
        <v>263</v>
      </c>
      <c r="C13" t="s">
        <v>1872</v>
      </c>
      <c r="D13">
        <v>2</v>
      </c>
    </row>
    <row r="14" spans="1:4" x14ac:dyDescent="0.25">
      <c r="A14" t="s">
        <v>4</v>
      </c>
      <c r="B14" t="s">
        <v>1198</v>
      </c>
      <c r="C14" t="s">
        <v>1577</v>
      </c>
      <c r="D14">
        <v>5</v>
      </c>
    </row>
    <row r="15" spans="1:4" x14ac:dyDescent="0.25">
      <c r="A15" t="s">
        <v>4</v>
      </c>
      <c r="B15" t="s">
        <v>605</v>
      </c>
      <c r="C15" t="s">
        <v>4224</v>
      </c>
      <c r="D15">
        <v>2</v>
      </c>
    </row>
    <row r="16" spans="1:4" x14ac:dyDescent="0.25">
      <c r="A16" t="s">
        <v>4</v>
      </c>
      <c r="B16" t="s">
        <v>704</v>
      </c>
      <c r="C16" t="s">
        <v>1820</v>
      </c>
      <c r="D16">
        <v>0</v>
      </c>
    </row>
    <row r="17" spans="1:4" x14ac:dyDescent="0.25">
      <c r="A17" t="s">
        <v>4</v>
      </c>
      <c r="B17" t="s">
        <v>704</v>
      </c>
      <c r="C17" t="s">
        <v>39</v>
      </c>
      <c r="D17">
        <v>-1</v>
      </c>
    </row>
    <row r="18" spans="1:4" x14ac:dyDescent="0.25">
      <c r="A18" t="s">
        <v>4</v>
      </c>
      <c r="B18" t="s">
        <v>196</v>
      </c>
      <c r="C18" t="s">
        <v>1507</v>
      </c>
      <c r="D18">
        <v>-3</v>
      </c>
    </row>
    <row r="19" spans="1:4" x14ac:dyDescent="0.25">
      <c r="A19" t="s">
        <v>4</v>
      </c>
      <c r="B19" t="s">
        <v>1843</v>
      </c>
      <c r="C19" t="s">
        <v>3704</v>
      </c>
      <c r="D19">
        <v>-6</v>
      </c>
    </row>
    <row r="20" spans="1:4" x14ac:dyDescent="0.25">
      <c r="A20" t="s">
        <v>4</v>
      </c>
      <c r="B20" t="s">
        <v>1356</v>
      </c>
      <c r="C20" t="s">
        <v>1878</v>
      </c>
      <c r="D20">
        <v>-3</v>
      </c>
    </row>
    <row r="21" spans="1:4" x14ac:dyDescent="0.25">
      <c r="A21" t="s">
        <v>4</v>
      </c>
      <c r="B21" t="s">
        <v>634</v>
      </c>
      <c r="C21" t="s">
        <v>3705</v>
      </c>
      <c r="D21">
        <v>-5</v>
      </c>
    </row>
    <row r="22" spans="1:4" x14ac:dyDescent="0.25">
      <c r="A22" t="s">
        <v>40</v>
      </c>
      <c r="B22" t="s">
        <v>124</v>
      </c>
      <c r="C22" t="s">
        <v>1511</v>
      </c>
      <c r="D22">
        <v>-3</v>
      </c>
    </row>
    <row r="23" spans="1:4" x14ac:dyDescent="0.25">
      <c r="A23" t="s">
        <v>40</v>
      </c>
      <c r="B23" t="s">
        <v>716</v>
      </c>
      <c r="C23" t="s">
        <v>4194</v>
      </c>
      <c r="D23">
        <v>-6</v>
      </c>
    </row>
    <row r="24" spans="1:4" x14ac:dyDescent="0.25">
      <c r="A24" t="s">
        <v>40</v>
      </c>
      <c r="B24" t="s">
        <v>2570</v>
      </c>
      <c r="C24" t="s">
        <v>2207</v>
      </c>
      <c r="D24">
        <v>-4</v>
      </c>
    </row>
    <row r="25" spans="1:4" x14ac:dyDescent="0.25">
      <c r="A25" t="s">
        <v>40</v>
      </c>
      <c r="B25" t="s">
        <v>1010</v>
      </c>
      <c r="C25" t="s">
        <v>4222</v>
      </c>
      <c r="D25">
        <v>-6</v>
      </c>
    </row>
    <row r="26" spans="1:4" x14ac:dyDescent="0.25">
      <c r="A26" t="s">
        <v>40</v>
      </c>
      <c r="B26" t="s">
        <v>1453</v>
      </c>
      <c r="C26" t="s">
        <v>599</v>
      </c>
      <c r="D26">
        <v>-4</v>
      </c>
    </row>
    <row r="27" spans="1:4" x14ac:dyDescent="0.25">
      <c r="A27" t="s">
        <v>40</v>
      </c>
      <c r="B27" t="s">
        <v>1453</v>
      </c>
      <c r="C27" t="s">
        <v>3081</v>
      </c>
      <c r="D27">
        <v>-3</v>
      </c>
    </row>
    <row r="28" spans="1:4" x14ac:dyDescent="0.25">
      <c r="A28" t="s">
        <v>40</v>
      </c>
      <c r="B28" t="s">
        <v>937</v>
      </c>
      <c r="C28" t="s">
        <v>2332</v>
      </c>
      <c r="D28">
        <v>-1</v>
      </c>
    </row>
    <row r="29" spans="1:4" x14ac:dyDescent="0.25">
      <c r="A29" t="s">
        <v>40</v>
      </c>
      <c r="B29" t="s">
        <v>834</v>
      </c>
      <c r="C29" t="s">
        <v>464</v>
      </c>
      <c r="D29">
        <v>0</v>
      </c>
    </row>
    <row r="30" spans="1:4" x14ac:dyDescent="0.25">
      <c r="A30" t="s">
        <v>40</v>
      </c>
      <c r="B30" t="s">
        <v>465</v>
      </c>
      <c r="C30" t="s">
        <v>1130</v>
      </c>
      <c r="D30">
        <v>2</v>
      </c>
    </row>
    <row r="31" spans="1:4" x14ac:dyDescent="0.25">
      <c r="A31" t="s">
        <v>40</v>
      </c>
      <c r="B31" t="s">
        <v>1349</v>
      </c>
      <c r="C31" t="s">
        <v>1444</v>
      </c>
      <c r="D31">
        <v>5</v>
      </c>
    </row>
    <row r="32" spans="1:4" x14ac:dyDescent="0.25">
      <c r="A32" t="s">
        <v>40</v>
      </c>
      <c r="B32" t="s">
        <v>807</v>
      </c>
      <c r="C32" t="s">
        <v>1445</v>
      </c>
      <c r="D32">
        <v>7</v>
      </c>
    </row>
    <row r="33" spans="1:4" x14ac:dyDescent="0.25">
      <c r="A33" t="s">
        <v>40</v>
      </c>
      <c r="B33" t="s">
        <v>1153</v>
      </c>
      <c r="C33" t="s">
        <v>3027</v>
      </c>
      <c r="D33">
        <v>9</v>
      </c>
    </row>
    <row r="34" spans="1:4" x14ac:dyDescent="0.25">
      <c r="A34" t="s">
        <v>40</v>
      </c>
      <c r="B34" t="s">
        <v>1481</v>
      </c>
      <c r="C34" t="s">
        <v>2909</v>
      </c>
      <c r="D34">
        <v>12</v>
      </c>
    </row>
    <row r="35" spans="1:4" x14ac:dyDescent="0.25">
      <c r="A35" t="s">
        <v>40</v>
      </c>
      <c r="B35" t="s">
        <v>1619</v>
      </c>
      <c r="C35" t="s">
        <v>2910</v>
      </c>
      <c r="D35">
        <v>10</v>
      </c>
    </row>
    <row r="36" spans="1:4" x14ac:dyDescent="0.25">
      <c r="A36" t="s">
        <v>40</v>
      </c>
      <c r="B36" t="s">
        <v>1940</v>
      </c>
      <c r="C36" t="s">
        <v>3092</v>
      </c>
      <c r="D36">
        <v>11</v>
      </c>
    </row>
    <row r="37" spans="1:4" x14ac:dyDescent="0.25">
      <c r="A37" t="s">
        <v>40</v>
      </c>
      <c r="B37" t="s">
        <v>1940</v>
      </c>
      <c r="C37" t="s">
        <v>3198</v>
      </c>
      <c r="D37">
        <v>12</v>
      </c>
    </row>
    <row r="38" spans="1:4" x14ac:dyDescent="0.25">
      <c r="A38" t="s">
        <v>40</v>
      </c>
      <c r="B38" t="s">
        <v>1844</v>
      </c>
      <c r="C38" t="s">
        <v>1141</v>
      </c>
      <c r="D38">
        <v>10</v>
      </c>
    </row>
    <row r="39" spans="1:4" x14ac:dyDescent="0.25">
      <c r="A39" t="s">
        <v>40</v>
      </c>
      <c r="B39" t="s">
        <v>673</v>
      </c>
      <c r="C39" t="s">
        <v>1451</v>
      </c>
      <c r="D39">
        <v>12</v>
      </c>
    </row>
    <row r="40" spans="1:4" x14ac:dyDescent="0.25">
      <c r="A40" t="s">
        <v>40</v>
      </c>
      <c r="B40" t="s">
        <v>1206</v>
      </c>
      <c r="C40" t="s">
        <v>949</v>
      </c>
      <c r="D40">
        <v>11</v>
      </c>
    </row>
    <row r="41" spans="1:4" x14ac:dyDescent="0.25">
      <c r="A41" t="s">
        <v>40</v>
      </c>
      <c r="B41" t="s">
        <v>1206</v>
      </c>
      <c r="C41" t="s">
        <v>3683</v>
      </c>
      <c r="D41">
        <v>10</v>
      </c>
    </row>
    <row r="42" spans="1:4" x14ac:dyDescent="0.25">
      <c r="A42" t="s">
        <v>40</v>
      </c>
      <c r="B42" t="s">
        <v>1733</v>
      </c>
      <c r="C42" t="s">
        <v>3684</v>
      </c>
      <c r="D42">
        <v>13</v>
      </c>
    </row>
    <row r="43" spans="1:4" x14ac:dyDescent="0.25">
      <c r="A43" t="s">
        <v>40</v>
      </c>
      <c r="B43" t="s">
        <v>817</v>
      </c>
      <c r="C43" t="s">
        <v>2271</v>
      </c>
      <c r="D43">
        <v>11</v>
      </c>
    </row>
    <row r="44" spans="1:4" x14ac:dyDescent="0.25">
      <c r="A44" t="s">
        <v>80</v>
      </c>
      <c r="B44" t="s">
        <v>1208</v>
      </c>
      <c r="C44" t="s">
        <v>1597</v>
      </c>
      <c r="D44">
        <v>8</v>
      </c>
    </row>
    <row r="45" spans="1:4" x14ac:dyDescent="0.25">
      <c r="A45" t="s">
        <v>80</v>
      </c>
      <c r="B45" t="s">
        <v>1929</v>
      </c>
      <c r="C45" t="s">
        <v>1678</v>
      </c>
      <c r="D45">
        <v>10</v>
      </c>
    </row>
    <row r="46" spans="1:4" x14ac:dyDescent="0.25">
      <c r="A46" t="s">
        <v>80</v>
      </c>
      <c r="B46" t="s">
        <v>1431</v>
      </c>
      <c r="C46" t="s">
        <v>1679</v>
      </c>
      <c r="D46">
        <v>12</v>
      </c>
    </row>
    <row r="47" spans="1:4" x14ac:dyDescent="0.25">
      <c r="A47" t="s">
        <v>80</v>
      </c>
      <c r="B47" t="s">
        <v>462</v>
      </c>
      <c r="C47" t="s">
        <v>1681</v>
      </c>
      <c r="D47">
        <v>14</v>
      </c>
    </row>
    <row r="48" spans="1:4" x14ac:dyDescent="0.25">
      <c r="A48" t="s">
        <v>80</v>
      </c>
      <c r="B48" t="s">
        <v>462</v>
      </c>
      <c r="C48" t="s">
        <v>3867</v>
      </c>
      <c r="D48">
        <v>15</v>
      </c>
    </row>
    <row r="49" spans="1:4" x14ac:dyDescent="0.25">
      <c r="A49" t="s">
        <v>80</v>
      </c>
      <c r="B49" t="s">
        <v>256</v>
      </c>
      <c r="C49" t="s">
        <v>1951</v>
      </c>
      <c r="D49">
        <v>13</v>
      </c>
    </row>
    <row r="50" spans="1:4" x14ac:dyDescent="0.25">
      <c r="A50" t="s">
        <v>80</v>
      </c>
      <c r="B50" t="s">
        <v>1817</v>
      </c>
      <c r="C50" t="s">
        <v>2666</v>
      </c>
      <c r="D50">
        <v>14</v>
      </c>
    </row>
    <row r="51" spans="1:4" x14ac:dyDescent="0.25">
      <c r="A51" t="s">
        <v>80</v>
      </c>
      <c r="B51" t="s">
        <v>1090</v>
      </c>
      <c r="C51" t="s">
        <v>3065</v>
      </c>
      <c r="D51">
        <v>16</v>
      </c>
    </row>
    <row r="52" spans="1:4" x14ac:dyDescent="0.25">
      <c r="A52" t="s">
        <v>80</v>
      </c>
      <c r="B52" t="s">
        <v>1151</v>
      </c>
      <c r="C52" t="s">
        <v>2788</v>
      </c>
      <c r="D52">
        <v>17</v>
      </c>
    </row>
    <row r="53" spans="1:4" x14ac:dyDescent="0.25">
      <c r="A53" t="s">
        <v>80</v>
      </c>
      <c r="B53" t="s">
        <v>411</v>
      </c>
      <c r="C53" t="s">
        <v>2789</v>
      </c>
      <c r="D53">
        <v>15</v>
      </c>
    </row>
    <row r="54" spans="1:4" x14ac:dyDescent="0.25">
      <c r="A54" t="s">
        <v>80</v>
      </c>
      <c r="B54" t="s">
        <v>990</v>
      </c>
      <c r="C54" t="s">
        <v>2790</v>
      </c>
      <c r="D54">
        <v>13</v>
      </c>
    </row>
    <row r="55" spans="1:4" x14ac:dyDescent="0.25">
      <c r="A55" t="s">
        <v>123</v>
      </c>
      <c r="B55" t="s">
        <v>1541</v>
      </c>
      <c r="C55" t="s">
        <v>3134</v>
      </c>
      <c r="D55">
        <v>16</v>
      </c>
    </row>
    <row r="56" spans="1:4" x14ac:dyDescent="0.25">
      <c r="A56" t="s">
        <v>123</v>
      </c>
      <c r="B56" t="s">
        <v>1138</v>
      </c>
      <c r="C56" t="s">
        <v>969</v>
      </c>
      <c r="D56">
        <v>19</v>
      </c>
    </row>
    <row r="57" spans="1:4" x14ac:dyDescent="0.25">
      <c r="A57" t="s">
        <v>123</v>
      </c>
      <c r="B57" t="s">
        <v>244</v>
      </c>
      <c r="C57" t="s">
        <v>3688</v>
      </c>
      <c r="D57">
        <v>18</v>
      </c>
    </row>
    <row r="58" spans="1:4" x14ac:dyDescent="0.25">
      <c r="A58" t="s">
        <v>123</v>
      </c>
      <c r="B58" t="s">
        <v>1877</v>
      </c>
      <c r="C58" t="s">
        <v>3870</v>
      </c>
      <c r="D58">
        <v>21</v>
      </c>
    </row>
    <row r="59" spans="1:4" x14ac:dyDescent="0.25">
      <c r="A59" t="s">
        <v>123</v>
      </c>
      <c r="B59" t="s">
        <v>1836</v>
      </c>
      <c r="C59" t="s">
        <v>2373</v>
      </c>
      <c r="D59">
        <v>23</v>
      </c>
    </row>
    <row r="60" spans="1:4" x14ac:dyDescent="0.25">
      <c r="A60" t="s">
        <v>123</v>
      </c>
      <c r="B60" t="s">
        <v>494</v>
      </c>
      <c r="C60" t="s">
        <v>3137</v>
      </c>
      <c r="D60">
        <v>22</v>
      </c>
    </row>
    <row r="61" spans="1:4" x14ac:dyDescent="0.25">
      <c r="A61" t="s">
        <v>123</v>
      </c>
      <c r="B61" t="s">
        <v>494</v>
      </c>
      <c r="C61" t="s">
        <v>3750</v>
      </c>
      <c r="D61">
        <v>21</v>
      </c>
    </row>
    <row r="62" spans="1:4" x14ac:dyDescent="0.25">
      <c r="A62" t="s">
        <v>123</v>
      </c>
      <c r="B62" t="s">
        <v>2842</v>
      </c>
      <c r="C62" t="s">
        <v>3751</v>
      </c>
      <c r="D62">
        <v>23</v>
      </c>
    </row>
    <row r="63" spans="1:4" x14ac:dyDescent="0.25">
      <c r="A63" t="s">
        <v>123</v>
      </c>
      <c r="B63" t="s">
        <v>1723</v>
      </c>
      <c r="C63" t="s">
        <v>4239</v>
      </c>
      <c r="D63">
        <v>20</v>
      </c>
    </row>
    <row r="64" spans="1:4" x14ac:dyDescent="0.25">
      <c r="A64" t="s">
        <v>123</v>
      </c>
      <c r="B64" t="s">
        <v>190</v>
      </c>
      <c r="C64" t="s">
        <v>2089</v>
      </c>
      <c r="D64">
        <v>22</v>
      </c>
    </row>
    <row r="65" spans="1:4" x14ac:dyDescent="0.25">
      <c r="A65" t="s">
        <v>123</v>
      </c>
      <c r="B65" t="s">
        <v>747</v>
      </c>
      <c r="C65" t="s">
        <v>4068</v>
      </c>
      <c r="D65">
        <v>20</v>
      </c>
    </row>
    <row r="66" spans="1:4" x14ac:dyDescent="0.25">
      <c r="A66" t="s">
        <v>123</v>
      </c>
      <c r="B66" t="s">
        <v>747</v>
      </c>
      <c r="C66" t="s">
        <v>3383</v>
      </c>
      <c r="D66">
        <v>19</v>
      </c>
    </row>
    <row r="67" spans="1:4" x14ac:dyDescent="0.25">
      <c r="A67" t="s">
        <v>123</v>
      </c>
      <c r="B67" t="s">
        <v>813</v>
      </c>
      <c r="C67" t="s">
        <v>3753</v>
      </c>
      <c r="D67">
        <v>21</v>
      </c>
    </row>
    <row r="68" spans="1:4" x14ac:dyDescent="0.25">
      <c r="A68" t="s">
        <v>123</v>
      </c>
      <c r="B68" t="s">
        <v>417</v>
      </c>
      <c r="C68" t="s">
        <v>981</v>
      </c>
      <c r="D68">
        <v>19</v>
      </c>
    </row>
    <row r="69" spans="1:4" x14ac:dyDescent="0.25">
      <c r="A69" t="s">
        <v>123</v>
      </c>
      <c r="B69" t="s">
        <v>31</v>
      </c>
      <c r="C69" t="s">
        <v>1476</v>
      </c>
      <c r="D69">
        <v>17</v>
      </c>
    </row>
    <row r="70" spans="1:4" x14ac:dyDescent="0.25">
      <c r="A70" t="s">
        <v>123</v>
      </c>
      <c r="B70" t="s">
        <v>74</v>
      </c>
      <c r="C70" t="s">
        <v>1478</v>
      </c>
      <c r="D70">
        <v>15</v>
      </c>
    </row>
    <row r="71" spans="1:4" x14ac:dyDescent="0.25">
      <c r="A71" t="s">
        <v>123</v>
      </c>
      <c r="B71" t="s">
        <v>972</v>
      </c>
      <c r="C71" t="s">
        <v>2946</v>
      </c>
      <c r="D71">
        <v>14</v>
      </c>
    </row>
    <row r="73" spans="1:4" x14ac:dyDescent="0.25">
      <c r="A73" s="2" t="s">
        <v>157</v>
      </c>
    </row>
    <row r="74" spans="1:4" x14ac:dyDescent="0.25">
      <c r="A74" t="s">
        <v>158</v>
      </c>
      <c r="D74">
        <f>AVERAGE(D2:D71)</f>
        <v>8.6428571428571423</v>
      </c>
    </row>
    <row r="75" spans="1:4" x14ac:dyDescent="0.25">
      <c r="A75" t="s">
        <v>159</v>
      </c>
      <c r="D75">
        <f>MAX(D2:D71)</f>
        <v>23</v>
      </c>
    </row>
    <row r="76" spans="1:4" x14ac:dyDescent="0.25">
      <c r="A76" t="s">
        <v>160</v>
      </c>
      <c r="D76">
        <f>MIN(D2:D71)</f>
        <v>-6</v>
      </c>
    </row>
    <row r="77" spans="1:4" x14ac:dyDescent="0.25">
      <c r="A77" t="s">
        <v>161</v>
      </c>
      <c r="D77">
        <f>COUNTIF(D2:D71,"&gt;0")</f>
        <v>53</v>
      </c>
    </row>
    <row r="78" spans="1:4" x14ac:dyDescent="0.25">
      <c r="A78" t="s">
        <v>162</v>
      </c>
      <c r="D78">
        <f>COUNTIF(D2:D71,"=0")</f>
        <v>3</v>
      </c>
    </row>
    <row r="79" spans="1:4" x14ac:dyDescent="0.25">
      <c r="A79" t="s">
        <v>3983</v>
      </c>
      <c r="D79">
        <f>COUNTIF(D2:D71,"&lt;0")</f>
        <v>14</v>
      </c>
    </row>
    <row r="81" spans="1:4" x14ac:dyDescent="0.25">
      <c r="A81" s="2" t="s">
        <v>164</v>
      </c>
    </row>
    <row r="82" spans="1:4" x14ac:dyDescent="0.25">
      <c r="A82" t="s">
        <v>165</v>
      </c>
      <c r="D82">
        <f>AVERAGE(D2,D3,D4,D5,D6,D7,D8,D9,D10,D11,D12,D13,D14,D15,D16,D17,D18,D19,D20,D21)</f>
        <v>1</v>
      </c>
    </row>
    <row r="83" spans="1:4" x14ac:dyDescent="0.25">
      <c r="A83" t="s">
        <v>166</v>
      </c>
      <c r="D83">
        <f>AVERAGE(D22,D23,D24,D25,D26,D27,D28,D29,D30,D31,D32,D33,D34,D35,D36,D37,D38,D39,D40,D41,D42,D43)</f>
        <v>4.9090909090909092</v>
      </c>
    </row>
    <row r="84" spans="1:4" x14ac:dyDescent="0.25">
      <c r="A84" t="s">
        <v>167</v>
      </c>
      <c r="D84">
        <f>AVERAGE(D44,D45,D46,D47,D48,D49,D50,D51,D52,D53,D54)</f>
        <v>13.363636363636363</v>
      </c>
    </row>
    <row r="85" spans="1:4" x14ac:dyDescent="0.25">
      <c r="A85" t="s">
        <v>168</v>
      </c>
      <c r="D85">
        <f>AVERAGE(D55,D56,D57,D58,D59,D60,D61,D62,D63,D64,D65,D66,D67,D68,D69,D70,D71)</f>
        <v>19.411764705882351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8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1208</v>
      </c>
      <c r="C2" t="s">
        <v>6</v>
      </c>
      <c r="D2">
        <v>2</v>
      </c>
    </row>
    <row r="3" spans="1:4" x14ac:dyDescent="0.25">
      <c r="A3" t="s">
        <v>4</v>
      </c>
      <c r="B3" t="s">
        <v>1208</v>
      </c>
      <c r="C3" t="s">
        <v>171</v>
      </c>
      <c r="D3">
        <v>3</v>
      </c>
    </row>
    <row r="4" spans="1:4" x14ac:dyDescent="0.25">
      <c r="A4" t="s">
        <v>4</v>
      </c>
      <c r="B4" t="s">
        <v>242</v>
      </c>
      <c r="C4" t="s">
        <v>1191</v>
      </c>
      <c r="D4">
        <v>0</v>
      </c>
    </row>
    <row r="5" spans="1:4" x14ac:dyDescent="0.25">
      <c r="A5" t="s">
        <v>4</v>
      </c>
      <c r="B5" t="s">
        <v>1573</v>
      </c>
      <c r="C5" t="s">
        <v>692</v>
      </c>
      <c r="D5">
        <v>3</v>
      </c>
    </row>
    <row r="6" spans="1:4" x14ac:dyDescent="0.25">
      <c r="A6" t="s">
        <v>4</v>
      </c>
      <c r="B6" t="s">
        <v>54</v>
      </c>
      <c r="C6" t="s">
        <v>1193</v>
      </c>
      <c r="D6">
        <v>1</v>
      </c>
    </row>
    <row r="7" spans="1:4" x14ac:dyDescent="0.25">
      <c r="A7" t="s">
        <v>4</v>
      </c>
      <c r="B7" t="s">
        <v>1693</v>
      </c>
      <c r="C7" t="s">
        <v>2046</v>
      </c>
      <c r="D7">
        <v>0</v>
      </c>
    </row>
    <row r="8" spans="1:4" x14ac:dyDescent="0.25">
      <c r="A8" t="s">
        <v>4</v>
      </c>
      <c r="B8" t="s">
        <v>1693</v>
      </c>
      <c r="C8" t="s">
        <v>16</v>
      </c>
      <c r="D8">
        <v>-1</v>
      </c>
    </row>
    <row r="9" spans="1:4" x14ac:dyDescent="0.25">
      <c r="A9" t="s">
        <v>4</v>
      </c>
      <c r="B9" t="s">
        <v>60</v>
      </c>
      <c r="C9" t="s">
        <v>569</v>
      </c>
      <c r="D9">
        <v>2</v>
      </c>
    </row>
    <row r="10" spans="1:4" x14ac:dyDescent="0.25">
      <c r="A10" t="s">
        <v>4</v>
      </c>
      <c r="B10" t="s">
        <v>2154</v>
      </c>
      <c r="C10" t="s">
        <v>571</v>
      </c>
      <c r="D10">
        <v>0</v>
      </c>
    </row>
    <row r="11" spans="1:4" x14ac:dyDescent="0.25">
      <c r="A11" t="s">
        <v>4</v>
      </c>
      <c r="B11" t="s">
        <v>1819</v>
      </c>
      <c r="C11" t="s">
        <v>573</v>
      </c>
      <c r="D11">
        <v>2</v>
      </c>
    </row>
    <row r="12" spans="1:4" x14ac:dyDescent="0.25">
      <c r="A12" t="s">
        <v>4</v>
      </c>
      <c r="B12" t="s">
        <v>1795</v>
      </c>
      <c r="C12" t="s">
        <v>439</v>
      </c>
      <c r="D12">
        <v>1</v>
      </c>
    </row>
    <row r="13" spans="1:4" x14ac:dyDescent="0.25">
      <c r="A13" t="s">
        <v>4</v>
      </c>
      <c r="B13" t="s">
        <v>1795</v>
      </c>
      <c r="C13" t="s">
        <v>574</v>
      </c>
      <c r="D13">
        <v>0</v>
      </c>
    </row>
    <row r="14" spans="1:4" x14ac:dyDescent="0.25">
      <c r="A14" t="s">
        <v>4</v>
      </c>
      <c r="B14" t="s">
        <v>378</v>
      </c>
      <c r="C14" t="s">
        <v>1818</v>
      </c>
      <c r="D14">
        <v>2</v>
      </c>
    </row>
    <row r="15" spans="1:4" x14ac:dyDescent="0.25">
      <c r="A15" t="s">
        <v>4</v>
      </c>
      <c r="B15" t="s">
        <v>1638</v>
      </c>
      <c r="C15" t="s">
        <v>3025</v>
      </c>
      <c r="D15">
        <v>3</v>
      </c>
    </row>
    <row r="16" spans="1:4" x14ac:dyDescent="0.25">
      <c r="A16" t="s">
        <v>4</v>
      </c>
      <c r="B16" t="s">
        <v>116</v>
      </c>
      <c r="C16" t="s">
        <v>3026</v>
      </c>
      <c r="D16">
        <v>5</v>
      </c>
    </row>
    <row r="17" spans="1:4" x14ac:dyDescent="0.25">
      <c r="A17" t="s">
        <v>4</v>
      </c>
      <c r="B17" t="s">
        <v>148</v>
      </c>
      <c r="C17" t="s">
        <v>787</v>
      </c>
      <c r="D17">
        <v>7</v>
      </c>
    </row>
    <row r="18" spans="1:4" x14ac:dyDescent="0.25">
      <c r="A18" t="s">
        <v>4</v>
      </c>
      <c r="B18" t="s">
        <v>671</v>
      </c>
      <c r="C18" t="s">
        <v>1357</v>
      </c>
      <c r="D18">
        <v>9</v>
      </c>
    </row>
    <row r="19" spans="1:4" x14ac:dyDescent="0.25">
      <c r="A19" t="s">
        <v>4</v>
      </c>
      <c r="B19" t="s">
        <v>1844</v>
      </c>
      <c r="C19" t="s">
        <v>199</v>
      </c>
      <c r="D19">
        <v>7</v>
      </c>
    </row>
    <row r="20" spans="1:4" x14ac:dyDescent="0.25">
      <c r="A20" t="s">
        <v>4</v>
      </c>
      <c r="B20" t="s">
        <v>1237</v>
      </c>
      <c r="C20" t="s">
        <v>2047</v>
      </c>
      <c r="D20">
        <v>8</v>
      </c>
    </row>
    <row r="21" spans="1:4" x14ac:dyDescent="0.25">
      <c r="A21" t="s">
        <v>4</v>
      </c>
      <c r="B21" t="s">
        <v>1222</v>
      </c>
      <c r="C21" t="s">
        <v>328</v>
      </c>
      <c r="D21">
        <v>7</v>
      </c>
    </row>
    <row r="22" spans="1:4" x14ac:dyDescent="0.25">
      <c r="A22" t="s">
        <v>4</v>
      </c>
      <c r="B22" t="s">
        <v>1222</v>
      </c>
      <c r="C22" t="s">
        <v>1203</v>
      </c>
      <c r="D22">
        <v>6</v>
      </c>
    </row>
    <row r="23" spans="1:4" x14ac:dyDescent="0.25">
      <c r="A23" t="s">
        <v>40</v>
      </c>
      <c r="B23" t="s">
        <v>907</v>
      </c>
      <c r="C23" t="s">
        <v>1205</v>
      </c>
      <c r="D23">
        <v>8</v>
      </c>
    </row>
    <row r="24" spans="1:4" x14ac:dyDescent="0.25">
      <c r="A24" t="s">
        <v>40</v>
      </c>
      <c r="B24" t="s">
        <v>1116</v>
      </c>
      <c r="C24" t="s">
        <v>1927</v>
      </c>
      <c r="D24">
        <v>10</v>
      </c>
    </row>
    <row r="25" spans="1:4" x14ac:dyDescent="0.25">
      <c r="A25" t="s">
        <v>40</v>
      </c>
      <c r="B25" t="s">
        <v>691</v>
      </c>
      <c r="C25" t="s">
        <v>2049</v>
      </c>
      <c r="D25">
        <v>12</v>
      </c>
    </row>
    <row r="26" spans="1:4" x14ac:dyDescent="0.25">
      <c r="A26" t="s">
        <v>40</v>
      </c>
      <c r="B26" t="s">
        <v>398</v>
      </c>
      <c r="C26" t="s">
        <v>3389</v>
      </c>
      <c r="D26">
        <v>10</v>
      </c>
    </row>
    <row r="27" spans="1:4" x14ac:dyDescent="0.25">
      <c r="A27" t="s">
        <v>40</v>
      </c>
      <c r="B27" t="s">
        <v>460</v>
      </c>
      <c r="C27" t="s">
        <v>2481</v>
      </c>
      <c r="D27">
        <v>8</v>
      </c>
    </row>
    <row r="28" spans="1:4" x14ac:dyDescent="0.25">
      <c r="A28" t="s">
        <v>40</v>
      </c>
      <c r="B28" t="s">
        <v>15</v>
      </c>
      <c r="C28" t="s">
        <v>2927</v>
      </c>
      <c r="D28">
        <v>10</v>
      </c>
    </row>
    <row r="29" spans="1:4" x14ac:dyDescent="0.25">
      <c r="A29" t="s">
        <v>40</v>
      </c>
      <c r="B29" t="s">
        <v>1288</v>
      </c>
      <c r="C29" t="s">
        <v>3535</v>
      </c>
      <c r="D29">
        <v>7</v>
      </c>
    </row>
    <row r="30" spans="1:4" x14ac:dyDescent="0.25">
      <c r="A30" t="s">
        <v>40</v>
      </c>
      <c r="B30" t="s">
        <v>1819</v>
      </c>
      <c r="C30" t="s">
        <v>2525</v>
      </c>
      <c r="D30">
        <v>9</v>
      </c>
    </row>
    <row r="31" spans="1:4" x14ac:dyDescent="0.25">
      <c r="A31" t="s">
        <v>40</v>
      </c>
      <c r="B31" t="s">
        <v>1503</v>
      </c>
      <c r="C31" t="s">
        <v>3433</v>
      </c>
      <c r="D31">
        <v>7</v>
      </c>
    </row>
    <row r="32" spans="1:4" x14ac:dyDescent="0.25">
      <c r="A32" t="s">
        <v>40</v>
      </c>
      <c r="B32" t="s">
        <v>605</v>
      </c>
      <c r="C32" t="s">
        <v>1934</v>
      </c>
      <c r="D32">
        <v>9</v>
      </c>
    </row>
    <row r="33" spans="1:4" x14ac:dyDescent="0.25">
      <c r="A33" t="s">
        <v>40</v>
      </c>
      <c r="B33" t="s">
        <v>987</v>
      </c>
      <c r="C33" t="s">
        <v>3339</v>
      </c>
      <c r="D33">
        <v>6</v>
      </c>
    </row>
    <row r="34" spans="1:4" x14ac:dyDescent="0.25">
      <c r="A34" t="s">
        <v>40</v>
      </c>
      <c r="B34" t="s">
        <v>1113</v>
      </c>
      <c r="C34" t="s">
        <v>938</v>
      </c>
      <c r="D34">
        <v>4</v>
      </c>
    </row>
    <row r="35" spans="1:4" x14ac:dyDescent="0.25">
      <c r="A35" t="s">
        <v>40</v>
      </c>
      <c r="B35" t="s">
        <v>1261</v>
      </c>
      <c r="C35" t="s">
        <v>1133</v>
      </c>
      <c r="D35">
        <v>1</v>
      </c>
    </row>
    <row r="36" spans="1:4" x14ac:dyDescent="0.25">
      <c r="A36" t="s">
        <v>80</v>
      </c>
      <c r="B36" t="s">
        <v>1346</v>
      </c>
      <c r="C36" t="s">
        <v>1134</v>
      </c>
      <c r="D36">
        <v>-1</v>
      </c>
    </row>
    <row r="37" spans="1:4" x14ac:dyDescent="0.25">
      <c r="A37" t="s">
        <v>80</v>
      </c>
      <c r="B37" t="s">
        <v>1346</v>
      </c>
      <c r="C37" t="s">
        <v>1718</v>
      </c>
      <c r="D37">
        <v>-2</v>
      </c>
    </row>
    <row r="38" spans="1:4" x14ac:dyDescent="0.25">
      <c r="A38" t="s">
        <v>80</v>
      </c>
      <c r="B38" t="s">
        <v>1849</v>
      </c>
      <c r="C38" t="s">
        <v>2875</v>
      </c>
      <c r="D38">
        <v>-4</v>
      </c>
    </row>
    <row r="39" spans="1:4" x14ac:dyDescent="0.25">
      <c r="A39" t="s">
        <v>80</v>
      </c>
      <c r="B39" t="s">
        <v>2405</v>
      </c>
      <c r="C39" t="s">
        <v>731</v>
      </c>
      <c r="D39">
        <v>-2</v>
      </c>
    </row>
    <row r="40" spans="1:4" x14ac:dyDescent="0.25">
      <c r="A40" t="s">
        <v>80</v>
      </c>
      <c r="B40" t="s">
        <v>172</v>
      </c>
      <c r="C40" t="s">
        <v>2216</v>
      </c>
      <c r="D40">
        <v>-5</v>
      </c>
    </row>
    <row r="41" spans="1:4" x14ac:dyDescent="0.25">
      <c r="A41" t="s">
        <v>80</v>
      </c>
      <c r="B41" t="s">
        <v>623</v>
      </c>
      <c r="C41" t="s">
        <v>2217</v>
      </c>
      <c r="D41">
        <v>-3</v>
      </c>
    </row>
    <row r="42" spans="1:4" x14ac:dyDescent="0.25">
      <c r="A42" t="s">
        <v>80</v>
      </c>
      <c r="B42" t="s">
        <v>1498</v>
      </c>
      <c r="C42" t="s">
        <v>1832</v>
      </c>
      <c r="D42">
        <v>-6</v>
      </c>
    </row>
    <row r="43" spans="1:4" x14ac:dyDescent="0.25">
      <c r="A43" t="s">
        <v>80</v>
      </c>
      <c r="B43" t="s">
        <v>465</v>
      </c>
      <c r="C43" t="s">
        <v>617</v>
      </c>
      <c r="D43">
        <v>-4</v>
      </c>
    </row>
    <row r="44" spans="1:4" x14ac:dyDescent="0.25">
      <c r="A44" t="s">
        <v>80</v>
      </c>
      <c r="B44" t="s">
        <v>313</v>
      </c>
      <c r="C44" t="s">
        <v>619</v>
      </c>
      <c r="D44">
        <v>-7</v>
      </c>
    </row>
    <row r="45" spans="1:4" x14ac:dyDescent="0.25">
      <c r="A45" t="s">
        <v>80</v>
      </c>
      <c r="B45" t="s">
        <v>805</v>
      </c>
      <c r="C45" t="s">
        <v>92</v>
      </c>
      <c r="D45">
        <v>-5</v>
      </c>
    </row>
    <row r="46" spans="1:4" x14ac:dyDescent="0.25">
      <c r="A46" t="s">
        <v>80</v>
      </c>
      <c r="B46" t="s">
        <v>746</v>
      </c>
      <c r="C46" t="s">
        <v>1763</v>
      </c>
      <c r="D46">
        <v>-3</v>
      </c>
    </row>
    <row r="47" spans="1:4" x14ac:dyDescent="0.25">
      <c r="A47" t="s">
        <v>80</v>
      </c>
      <c r="B47" t="s">
        <v>1198</v>
      </c>
      <c r="C47" t="s">
        <v>822</v>
      </c>
      <c r="D47">
        <v>-5</v>
      </c>
    </row>
    <row r="48" spans="1:4" x14ac:dyDescent="0.25">
      <c r="A48" t="s">
        <v>80</v>
      </c>
      <c r="B48" t="s">
        <v>544</v>
      </c>
      <c r="C48" t="s">
        <v>257</v>
      </c>
      <c r="D48">
        <v>-2</v>
      </c>
    </row>
    <row r="49" spans="1:4" x14ac:dyDescent="0.25">
      <c r="A49" t="s">
        <v>80</v>
      </c>
      <c r="B49" t="s">
        <v>1019</v>
      </c>
      <c r="C49" t="s">
        <v>258</v>
      </c>
      <c r="D49">
        <v>-1</v>
      </c>
    </row>
    <row r="50" spans="1:4" x14ac:dyDescent="0.25">
      <c r="A50" t="s">
        <v>80</v>
      </c>
      <c r="B50" t="s">
        <v>1019</v>
      </c>
      <c r="C50" t="s">
        <v>2490</v>
      </c>
      <c r="D50">
        <v>0</v>
      </c>
    </row>
    <row r="51" spans="1:4" x14ac:dyDescent="0.25">
      <c r="A51" t="s">
        <v>80</v>
      </c>
      <c r="B51" t="s">
        <v>74</v>
      </c>
      <c r="C51" t="s">
        <v>1727</v>
      </c>
      <c r="D51">
        <v>-2</v>
      </c>
    </row>
    <row r="52" spans="1:4" x14ac:dyDescent="0.25">
      <c r="A52" t="s">
        <v>80</v>
      </c>
      <c r="B52" t="s">
        <v>298</v>
      </c>
      <c r="C52" t="s">
        <v>1728</v>
      </c>
      <c r="D52">
        <v>0</v>
      </c>
    </row>
    <row r="53" spans="1:4" x14ac:dyDescent="0.25">
      <c r="A53" t="s">
        <v>80</v>
      </c>
      <c r="B53" t="s">
        <v>793</v>
      </c>
      <c r="C53" t="s">
        <v>1729</v>
      </c>
      <c r="D53">
        <v>-2</v>
      </c>
    </row>
    <row r="54" spans="1:4" x14ac:dyDescent="0.25">
      <c r="A54" t="s">
        <v>123</v>
      </c>
      <c r="B54" t="s">
        <v>855</v>
      </c>
      <c r="C54" t="s">
        <v>1530</v>
      </c>
      <c r="D54">
        <v>1</v>
      </c>
    </row>
    <row r="55" spans="1:4" x14ac:dyDescent="0.25">
      <c r="A55" t="s">
        <v>123</v>
      </c>
      <c r="B55" t="s">
        <v>239</v>
      </c>
      <c r="C55" t="s">
        <v>3454</v>
      </c>
      <c r="D55">
        <v>-1</v>
      </c>
    </row>
    <row r="56" spans="1:4" x14ac:dyDescent="0.25">
      <c r="A56" t="s">
        <v>123</v>
      </c>
      <c r="B56" t="s">
        <v>932</v>
      </c>
      <c r="C56" t="s">
        <v>1532</v>
      </c>
      <c r="D56">
        <v>2</v>
      </c>
    </row>
    <row r="57" spans="1:4" x14ac:dyDescent="0.25">
      <c r="A57" t="s">
        <v>123</v>
      </c>
      <c r="B57" t="s">
        <v>1009</v>
      </c>
      <c r="C57" t="s">
        <v>1839</v>
      </c>
      <c r="D57">
        <v>4</v>
      </c>
    </row>
    <row r="58" spans="1:4" x14ac:dyDescent="0.25">
      <c r="A58" t="s">
        <v>123</v>
      </c>
      <c r="B58" t="s">
        <v>205</v>
      </c>
      <c r="C58" t="s">
        <v>1164</v>
      </c>
      <c r="D58">
        <v>6</v>
      </c>
    </row>
    <row r="59" spans="1:4" x14ac:dyDescent="0.25">
      <c r="A59" t="s">
        <v>123</v>
      </c>
      <c r="B59" t="s">
        <v>1973</v>
      </c>
      <c r="C59" t="s">
        <v>2180</v>
      </c>
      <c r="D59">
        <v>3</v>
      </c>
    </row>
    <row r="60" spans="1:4" x14ac:dyDescent="0.25">
      <c r="A60" t="s">
        <v>123</v>
      </c>
      <c r="B60" t="s">
        <v>1408</v>
      </c>
      <c r="C60" t="s">
        <v>1167</v>
      </c>
      <c r="D60">
        <v>5</v>
      </c>
    </row>
    <row r="61" spans="1:4" x14ac:dyDescent="0.25">
      <c r="A61" t="s">
        <v>123</v>
      </c>
      <c r="B61" t="s">
        <v>1817</v>
      </c>
      <c r="C61" t="s">
        <v>2729</v>
      </c>
      <c r="D61">
        <v>8</v>
      </c>
    </row>
    <row r="62" spans="1:4" x14ac:dyDescent="0.25">
      <c r="A62" t="s">
        <v>123</v>
      </c>
      <c r="B62" t="s">
        <v>1434</v>
      </c>
      <c r="C62" t="s">
        <v>1171</v>
      </c>
      <c r="D62">
        <v>5</v>
      </c>
    </row>
    <row r="63" spans="1:4" x14ac:dyDescent="0.25">
      <c r="A63" t="s">
        <v>123</v>
      </c>
      <c r="B63" t="s">
        <v>261</v>
      </c>
      <c r="C63" t="s">
        <v>2456</v>
      </c>
      <c r="D63">
        <v>7</v>
      </c>
    </row>
    <row r="64" spans="1:4" x14ac:dyDescent="0.25">
      <c r="A64" t="s">
        <v>123</v>
      </c>
      <c r="B64" t="s">
        <v>1202</v>
      </c>
      <c r="C64" t="s">
        <v>2457</v>
      </c>
      <c r="D64">
        <v>6</v>
      </c>
    </row>
    <row r="65" spans="1:4" x14ac:dyDescent="0.25">
      <c r="A65" t="s">
        <v>123</v>
      </c>
      <c r="B65" t="s">
        <v>1202</v>
      </c>
      <c r="C65" t="s">
        <v>1173</v>
      </c>
      <c r="D65">
        <v>5</v>
      </c>
    </row>
    <row r="66" spans="1:4" x14ac:dyDescent="0.25">
      <c r="A66" t="s">
        <v>123</v>
      </c>
      <c r="B66" t="s">
        <v>1132</v>
      </c>
      <c r="C66" t="s">
        <v>3701</v>
      </c>
      <c r="D66">
        <v>8</v>
      </c>
    </row>
    <row r="67" spans="1:4" x14ac:dyDescent="0.25">
      <c r="A67" t="s">
        <v>123</v>
      </c>
      <c r="B67" t="s">
        <v>1750</v>
      </c>
      <c r="C67" t="s">
        <v>2556</v>
      </c>
      <c r="D67">
        <v>5</v>
      </c>
    </row>
    <row r="68" spans="1:4" x14ac:dyDescent="0.25">
      <c r="A68" t="s">
        <v>123</v>
      </c>
      <c r="B68" t="s">
        <v>612</v>
      </c>
      <c r="C68" t="s">
        <v>1615</v>
      </c>
      <c r="D68">
        <v>6</v>
      </c>
    </row>
    <row r="69" spans="1:4" x14ac:dyDescent="0.25">
      <c r="A69" t="s">
        <v>123</v>
      </c>
      <c r="B69" t="s">
        <v>612</v>
      </c>
      <c r="C69" t="s">
        <v>409</v>
      </c>
      <c r="D69">
        <v>7</v>
      </c>
    </row>
    <row r="70" spans="1:4" x14ac:dyDescent="0.25">
      <c r="A70" t="s">
        <v>123</v>
      </c>
      <c r="B70" t="s">
        <v>710</v>
      </c>
      <c r="C70" t="s">
        <v>3068</v>
      </c>
      <c r="D70">
        <v>4</v>
      </c>
    </row>
    <row r="71" spans="1:4" x14ac:dyDescent="0.25">
      <c r="A71" t="s">
        <v>123</v>
      </c>
      <c r="B71" t="s">
        <v>582</v>
      </c>
      <c r="C71" t="s">
        <v>3069</v>
      </c>
      <c r="D71">
        <v>2</v>
      </c>
    </row>
    <row r="72" spans="1:4" x14ac:dyDescent="0.25">
      <c r="A72" t="s">
        <v>123</v>
      </c>
      <c r="B72" t="s">
        <v>1276</v>
      </c>
      <c r="C72" t="s">
        <v>2243</v>
      </c>
      <c r="D72">
        <v>0</v>
      </c>
    </row>
    <row r="73" spans="1:4" x14ac:dyDescent="0.25">
      <c r="A73" t="s">
        <v>123</v>
      </c>
      <c r="B73" t="s">
        <v>78</v>
      </c>
      <c r="C73" t="s">
        <v>769</v>
      </c>
      <c r="D73">
        <v>3</v>
      </c>
    </row>
    <row r="75" spans="1:4" x14ac:dyDescent="0.25">
      <c r="A75" s="2" t="s">
        <v>157</v>
      </c>
    </row>
    <row r="76" spans="1:4" x14ac:dyDescent="0.25">
      <c r="A76" t="s">
        <v>158</v>
      </c>
      <c r="D76">
        <f>AVERAGE(D2:D73)</f>
        <v>2.7777777777777777</v>
      </c>
    </row>
    <row r="77" spans="1:4" x14ac:dyDescent="0.25">
      <c r="A77" t="s">
        <v>159</v>
      </c>
      <c r="D77">
        <f>MAX(D2:D73)</f>
        <v>12</v>
      </c>
    </row>
    <row r="78" spans="1:4" x14ac:dyDescent="0.25">
      <c r="A78" t="s">
        <v>160</v>
      </c>
      <c r="D78">
        <f>MIN(D2:D73)</f>
        <v>-7</v>
      </c>
    </row>
    <row r="79" spans="1:4" x14ac:dyDescent="0.25">
      <c r="A79" t="s">
        <v>161</v>
      </c>
      <c r="D79">
        <f>COUNTIF(D2:D73,"&gt;0")</f>
        <v>47</v>
      </c>
    </row>
    <row r="80" spans="1:4" x14ac:dyDescent="0.25">
      <c r="A80" t="s">
        <v>162</v>
      </c>
      <c r="D80">
        <f>COUNTIF(D2:D73,"=0")</f>
        <v>7</v>
      </c>
    </row>
    <row r="81" spans="1:4" x14ac:dyDescent="0.25">
      <c r="A81" t="s">
        <v>1491</v>
      </c>
      <c r="D81">
        <f>COUNTIF(D2:D73,"&lt;0")</f>
        <v>18</v>
      </c>
    </row>
    <row r="83" spans="1:4" x14ac:dyDescent="0.25">
      <c r="A83" s="2" t="s">
        <v>164</v>
      </c>
    </row>
    <row r="84" spans="1:4" x14ac:dyDescent="0.25">
      <c r="A84" t="s">
        <v>165</v>
      </c>
      <c r="D84">
        <f>AVERAGE(D2,D3,D4,D5,D6,D7,D8,D9,D10,D11,D12,D13,D14,D15,D16,D17,D18,D19,D20,D21,D22)</f>
        <v>3.1904761904761907</v>
      </c>
    </row>
    <row r="85" spans="1:4" x14ac:dyDescent="0.25">
      <c r="A85" t="s">
        <v>166</v>
      </c>
      <c r="D85">
        <f>AVERAGE(D23,D24,D25,D26,D27,D28,D29,D30,D31,D32,D33,D34,D35)</f>
        <v>7.7692307692307692</v>
      </c>
    </row>
    <row r="86" spans="1:4" x14ac:dyDescent="0.25">
      <c r="A86" t="s">
        <v>167</v>
      </c>
      <c r="D86">
        <f>AVERAGE(D36,D37,D38,D39,D40,D41,D42,D43,D44,D45,D46,D47,D48,D49,D50,D51,D52,D53)</f>
        <v>-3</v>
      </c>
    </row>
    <row r="87" spans="1:4" x14ac:dyDescent="0.25">
      <c r="A87" t="s">
        <v>168</v>
      </c>
      <c r="D87">
        <f>AVERAGE(D54,D55,D56,D57,D58,D59,D60,D61,D62,D63,D64,D65,D66,D67,D68,D69,D70,D71,D72,D73)</f>
        <v>4.3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D9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43</v>
      </c>
      <c r="C2" t="s">
        <v>6</v>
      </c>
      <c r="D2">
        <v>2</v>
      </c>
    </row>
    <row r="3" spans="1:4" x14ac:dyDescent="0.25">
      <c r="A3" t="s">
        <v>4</v>
      </c>
      <c r="B3" t="s">
        <v>1266</v>
      </c>
      <c r="C3" t="s">
        <v>8</v>
      </c>
      <c r="D3">
        <v>0</v>
      </c>
    </row>
    <row r="4" spans="1:4" x14ac:dyDescent="0.25">
      <c r="A4" t="s">
        <v>4</v>
      </c>
      <c r="B4" t="s">
        <v>1210</v>
      </c>
      <c r="C4" t="s">
        <v>564</v>
      </c>
      <c r="D4">
        <v>2</v>
      </c>
    </row>
    <row r="5" spans="1:4" x14ac:dyDescent="0.25">
      <c r="A5" t="s">
        <v>4</v>
      </c>
      <c r="B5" t="s">
        <v>85</v>
      </c>
      <c r="C5" t="s">
        <v>176</v>
      </c>
      <c r="D5">
        <v>4</v>
      </c>
    </row>
    <row r="6" spans="1:4" x14ac:dyDescent="0.25">
      <c r="A6" t="s">
        <v>4</v>
      </c>
      <c r="B6" t="s">
        <v>1119</v>
      </c>
      <c r="C6" t="s">
        <v>1972</v>
      </c>
      <c r="D6">
        <v>6</v>
      </c>
    </row>
    <row r="7" spans="1:4" x14ac:dyDescent="0.25">
      <c r="A7" t="s">
        <v>4</v>
      </c>
      <c r="B7" t="s">
        <v>1119</v>
      </c>
      <c r="C7" t="s">
        <v>2593</v>
      </c>
      <c r="D7">
        <v>7</v>
      </c>
    </row>
    <row r="8" spans="1:4" x14ac:dyDescent="0.25">
      <c r="A8" t="s">
        <v>4</v>
      </c>
      <c r="B8" t="s">
        <v>1146</v>
      </c>
      <c r="C8" t="s">
        <v>182</v>
      </c>
      <c r="D8">
        <v>5</v>
      </c>
    </row>
    <row r="9" spans="1:4" x14ac:dyDescent="0.25">
      <c r="A9" t="s">
        <v>4</v>
      </c>
      <c r="B9" t="s">
        <v>15</v>
      </c>
      <c r="C9" t="s">
        <v>2356</v>
      </c>
      <c r="D9">
        <v>8</v>
      </c>
    </row>
    <row r="10" spans="1:4" x14ac:dyDescent="0.25">
      <c r="A10" t="s">
        <v>4</v>
      </c>
      <c r="B10" t="s">
        <v>1069</v>
      </c>
      <c r="C10" t="s">
        <v>783</v>
      </c>
      <c r="D10">
        <v>7</v>
      </c>
    </row>
    <row r="11" spans="1:4" x14ac:dyDescent="0.25">
      <c r="A11" t="s">
        <v>4</v>
      </c>
      <c r="B11" t="s">
        <v>1228</v>
      </c>
      <c r="C11" t="s">
        <v>24</v>
      </c>
      <c r="D11">
        <v>4</v>
      </c>
    </row>
    <row r="12" spans="1:4" x14ac:dyDescent="0.25">
      <c r="A12" t="s">
        <v>4</v>
      </c>
      <c r="B12" t="s">
        <v>1855</v>
      </c>
      <c r="C12" t="s">
        <v>917</v>
      </c>
      <c r="D12">
        <v>2</v>
      </c>
    </row>
    <row r="13" spans="1:4" x14ac:dyDescent="0.25">
      <c r="A13" t="s">
        <v>4</v>
      </c>
      <c r="B13" t="s">
        <v>2120</v>
      </c>
      <c r="C13" t="s">
        <v>1575</v>
      </c>
      <c r="D13">
        <v>4</v>
      </c>
    </row>
    <row r="14" spans="1:4" x14ac:dyDescent="0.25">
      <c r="A14" t="s">
        <v>4</v>
      </c>
      <c r="B14" t="s">
        <v>1638</v>
      </c>
      <c r="C14" t="s">
        <v>321</v>
      </c>
      <c r="D14">
        <v>6</v>
      </c>
    </row>
    <row r="15" spans="1:4" x14ac:dyDescent="0.25">
      <c r="A15" t="s">
        <v>4</v>
      </c>
      <c r="B15" t="s">
        <v>27</v>
      </c>
      <c r="C15" t="s">
        <v>1926</v>
      </c>
      <c r="D15">
        <v>3</v>
      </c>
    </row>
    <row r="16" spans="1:4" x14ac:dyDescent="0.25">
      <c r="A16" t="s">
        <v>4</v>
      </c>
      <c r="B16" t="s">
        <v>877</v>
      </c>
      <c r="C16" t="s">
        <v>1579</v>
      </c>
      <c r="D16">
        <v>6</v>
      </c>
    </row>
    <row r="17" spans="1:4" x14ac:dyDescent="0.25">
      <c r="A17" t="s">
        <v>4</v>
      </c>
      <c r="B17" t="s">
        <v>118</v>
      </c>
      <c r="C17" t="s">
        <v>1201</v>
      </c>
      <c r="D17">
        <v>4</v>
      </c>
    </row>
    <row r="18" spans="1:4" x14ac:dyDescent="0.25">
      <c r="A18" t="s">
        <v>4</v>
      </c>
      <c r="B18" t="s">
        <v>550</v>
      </c>
      <c r="C18" t="s">
        <v>201</v>
      </c>
      <c r="D18">
        <v>7</v>
      </c>
    </row>
    <row r="19" spans="1:4" x14ac:dyDescent="0.25">
      <c r="A19" t="s">
        <v>40</v>
      </c>
      <c r="B19" t="s">
        <v>49</v>
      </c>
      <c r="C19" t="s">
        <v>1749</v>
      </c>
      <c r="D19">
        <v>5</v>
      </c>
    </row>
    <row r="20" spans="1:4" x14ac:dyDescent="0.25">
      <c r="A20" t="s">
        <v>40</v>
      </c>
      <c r="B20" t="s">
        <v>1877</v>
      </c>
      <c r="C20" t="s">
        <v>2595</v>
      </c>
      <c r="D20">
        <v>6</v>
      </c>
    </row>
    <row r="21" spans="1:4" x14ac:dyDescent="0.25">
      <c r="A21" t="s">
        <v>40</v>
      </c>
      <c r="B21" t="s">
        <v>208</v>
      </c>
      <c r="C21" t="s">
        <v>1928</v>
      </c>
      <c r="D21">
        <v>8</v>
      </c>
    </row>
    <row r="22" spans="1:4" x14ac:dyDescent="0.25">
      <c r="A22" t="s">
        <v>40</v>
      </c>
      <c r="B22" t="s">
        <v>89</v>
      </c>
      <c r="C22" t="s">
        <v>1581</v>
      </c>
      <c r="D22">
        <v>7</v>
      </c>
    </row>
    <row r="23" spans="1:4" x14ac:dyDescent="0.25">
      <c r="A23" t="s">
        <v>40</v>
      </c>
      <c r="B23" t="s">
        <v>89</v>
      </c>
      <c r="C23" t="s">
        <v>209</v>
      </c>
      <c r="D23">
        <v>6</v>
      </c>
    </row>
    <row r="24" spans="1:4" x14ac:dyDescent="0.25">
      <c r="A24" t="s">
        <v>40</v>
      </c>
      <c r="B24" t="s">
        <v>494</v>
      </c>
      <c r="C24" t="s">
        <v>926</v>
      </c>
      <c r="D24">
        <v>3</v>
      </c>
    </row>
    <row r="25" spans="1:4" x14ac:dyDescent="0.25">
      <c r="A25" t="s">
        <v>40</v>
      </c>
      <c r="B25" t="s">
        <v>277</v>
      </c>
      <c r="C25" t="s">
        <v>2703</v>
      </c>
      <c r="D25">
        <v>1</v>
      </c>
    </row>
    <row r="26" spans="1:4" x14ac:dyDescent="0.25">
      <c r="A26" t="s">
        <v>40</v>
      </c>
      <c r="B26" t="s">
        <v>15</v>
      </c>
      <c r="C26" t="s">
        <v>929</v>
      </c>
      <c r="D26">
        <v>3</v>
      </c>
    </row>
    <row r="27" spans="1:4" x14ac:dyDescent="0.25">
      <c r="A27" t="s">
        <v>40</v>
      </c>
      <c r="B27" t="s">
        <v>97</v>
      </c>
      <c r="C27" t="s">
        <v>1124</v>
      </c>
      <c r="D27">
        <v>2</v>
      </c>
    </row>
    <row r="28" spans="1:4" x14ac:dyDescent="0.25">
      <c r="A28" t="s">
        <v>40</v>
      </c>
      <c r="B28" t="s">
        <v>97</v>
      </c>
      <c r="C28" t="s">
        <v>718</v>
      </c>
      <c r="D28">
        <v>1</v>
      </c>
    </row>
    <row r="29" spans="1:4" x14ac:dyDescent="0.25">
      <c r="A29" t="s">
        <v>40</v>
      </c>
      <c r="B29" t="s">
        <v>97</v>
      </c>
      <c r="C29" t="s">
        <v>3207</v>
      </c>
      <c r="D29">
        <v>0</v>
      </c>
    </row>
    <row r="30" spans="1:4" x14ac:dyDescent="0.25">
      <c r="A30" t="s">
        <v>40</v>
      </c>
      <c r="B30" t="s">
        <v>188</v>
      </c>
      <c r="C30" t="s">
        <v>2125</v>
      </c>
      <c r="D30">
        <v>1</v>
      </c>
    </row>
    <row r="31" spans="1:4" x14ac:dyDescent="0.25">
      <c r="A31" t="s">
        <v>40</v>
      </c>
      <c r="B31" t="s">
        <v>188</v>
      </c>
      <c r="C31" t="s">
        <v>2359</v>
      </c>
      <c r="D31">
        <v>2</v>
      </c>
    </row>
    <row r="32" spans="1:4" x14ac:dyDescent="0.25">
      <c r="A32" t="s">
        <v>40</v>
      </c>
      <c r="B32" t="s">
        <v>661</v>
      </c>
      <c r="C32" t="s">
        <v>1825</v>
      </c>
      <c r="D32">
        <v>0</v>
      </c>
    </row>
    <row r="33" spans="1:4" x14ac:dyDescent="0.25">
      <c r="A33" t="s">
        <v>40</v>
      </c>
      <c r="B33" t="s">
        <v>1231</v>
      </c>
      <c r="C33" t="s">
        <v>936</v>
      </c>
      <c r="D33">
        <v>2</v>
      </c>
    </row>
    <row r="34" spans="1:4" x14ac:dyDescent="0.25">
      <c r="A34" t="s">
        <v>40</v>
      </c>
      <c r="B34" t="s">
        <v>1092</v>
      </c>
      <c r="C34" t="s">
        <v>345</v>
      </c>
      <c r="D34">
        <v>0</v>
      </c>
    </row>
    <row r="35" spans="1:4" x14ac:dyDescent="0.25">
      <c r="A35" t="s">
        <v>40</v>
      </c>
      <c r="B35" t="s">
        <v>701</v>
      </c>
      <c r="C35" t="s">
        <v>347</v>
      </c>
      <c r="D35">
        <v>2</v>
      </c>
    </row>
    <row r="36" spans="1:4" x14ac:dyDescent="0.25">
      <c r="A36" t="s">
        <v>40</v>
      </c>
      <c r="B36" t="s">
        <v>544</v>
      </c>
      <c r="C36" t="s">
        <v>349</v>
      </c>
      <c r="D36">
        <v>3</v>
      </c>
    </row>
    <row r="37" spans="1:4" x14ac:dyDescent="0.25">
      <c r="A37" t="s">
        <v>40</v>
      </c>
      <c r="B37" t="s">
        <v>704</v>
      </c>
      <c r="C37" t="s">
        <v>470</v>
      </c>
      <c r="D37">
        <v>0</v>
      </c>
    </row>
    <row r="38" spans="1:4" x14ac:dyDescent="0.25">
      <c r="A38" t="s">
        <v>40</v>
      </c>
      <c r="B38" t="s">
        <v>1129</v>
      </c>
      <c r="C38" t="s">
        <v>1828</v>
      </c>
      <c r="D38">
        <v>-2</v>
      </c>
    </row>
    <row r="39" spans="1:4" x14ac:dyDescent="0.25">
      <c r="A39" t="s">
        <v>40</v>
      </c>
      <c r="B39" t="s">
        <v>417</v>
      </c>
      <c r="C39" t="s">
        <v>2362</v>
      </c>
      <c r="D39">
        <v>-3</v>
      </c>
    </row>
    <row r="40" spans="1:4" x14ac:dyDescent="0.25">
      <c r="A40" t="s">
        <v>40</v>
      </c>
      <c r="B40" t="s">
        <v>417</v>
      </c>
      <c r="C40" t="s">
        <v>731</v>
      </c>
      <c r="D40">
        <v>-2</v>
      </c>
    </row>
    <row r="41" spans="1:4" x14ac:dyDescent="0.25">
      <c r="A41" t="s">
        <v>40</v>
      </c>
      <c r="B41" t="s">
        <v>31</v>
      </c>
      <c r="C41" t="s">
        <v>1518</v>
      </c>
      <c r="D41">
        <v>-1</v>
      </c>
    </row>
    <row r="42" spans="1:4" x14ac:dyDescent="0.25">
      <c r="A42" t="s">
        <v>40</v>
      </c>
      <c r="B42" t="s">
        <v>31</v>
      </c>
      <c r="C42" t="s">
        <v>2304</v>
      </c>
      <c r="D42">
        <v>0</v>
      </c>
    </row>
    <row r="43" spans="1:4" x14ac:dyDescent="0.25">
      <c r="A43" t="s">
        <v>40</v>
      </c>
      <c r="B43" t="s">
        <v>999</v>
      </c>
      <c r="C43" t="s">
        <v>476</v>
      </c>
      <c r="D43">
        <v>1</v>
      </c>
    </row>
    <row r="44" spans="1:4" x14ac:dyDescent="0.25">
      <c r="A44" t="s">
        <v>40</v>
      </c>
      <c r="B44" t="s">
        <v>681</v>
      </c>
      <c r="C44" t="s">
        <v>3574</v>
      </c>
      <c r="D44">
        <v>0</v>
      </c>
    </row>
    <row r="45" spans="1:4" x14ac:dyDescent="0.25">
      <c r="A45" t="s">
        <v>40</v>
      </c>
      <c r="B45" t="s">
        <v>350</v>
      </c>
      <c r="C45" t="s">
        <v>360</v>
      </c>
      <c r="D45">
        <v>3</v>
      </c>
    </row>
    <row r="46" spans="1:4" x14ac:dyDescent="0.25">
      <c r="A46" t="s">
        <v>80</v>
      </c>
      <c r="B46" t="s">
        <v>242</v>
      </c>
      <c r="C46" t="s">
        <v>1144</v>
      </c>
      <c r="D46">
        <v>6</v>
      </c>
    </row>
    <row r="47" spans="1:4" x14ac:dyDescent="0.25">
      <c r="A47" t="s">
        <v>80</v>
      </c>
      <c r="B47" t="s">
        <v>7</v>
      </c>
      <c r="C47" t="s">
        <v>3208</v>
      </c>
      <c r="D47">
        <v>7</v>
      </c>
    </row>
    <row r="48" spans="1:4" x14ac:dyDescent="0.25">
      <c r="A48" t="s">
        <v>80</v>
      </c>
      <c r="B48" t="s">
        <v>1083</v>
      </c>
      <c r="C48" t="s">
        <v>2596</v>
      </c>
      <c r="D48">
        <v>5</v>
      </c>
    </row>
    <row r="49" spans="1:4" x14ac:dyDescent="0.25">
      <c r="A49" t="s">
        <v>80</v>
      </c>
      <c r="B49" t="s">
        <v>1431</v>
      </c>
      <c r="C49" t="s">
        <v>2169</v>
      </c>
      <c r="D49">
        <v>6</v>
      </c>
    </row>
    <row r="50" spans="1:4" x14ac:dyDescent="0.25">
      <c r="A50" t="s">
        <v>80</v>
      </c>
      <c r="B50" t="s">
        <v>85</v>
      </c>
      <c r="C50" t="s">
        <v>2548</v>
      </c>
      <c r="D50">
        <v>4</v>
      </c>
    </row>
    <row r="51" spans="1:4" x14ac:dyDescent="0.25">
      <c r="A51" t="s">
        <v>80</v>
      </c>
      <c r="B51" t="s">
        <v>11</v>
      </c>
      <c r="C51" t="s">
        <v>2488</v>
      </c>
      <c r="D51">
        <v>3</v>
      </c>
    </row>
    <row r="52" spans="1:4" x14ac:dyDescent="0.25">
      <c r="A52" t="s">
        <v>80</v>
      </c>
      <c r="B52" t="s">
        <v>2118</v>
      </c>
      <c r="C52" t="s">
        <v>2489</v>
      </c>
      <c r="D52">
        <v>1</v>
      </c>
    </row>
    <row r="53" spans="1:4" x14ac:dyDescent="0.25">
      <c r="A53" t="s">
        <v>80</v>
      </c>
      <c r="B53" t="s">
        <v>15</v>
      </c>
      <c r="C53" t="s">
        <v>3093</v>
      </c>
      <c r="D53">
        <v>4</v>
      </c>
    </row>
    <row r="54" spans="1:4" x14ac:dyDescent="0.25">
      <c r="A54" t="s">
        <v>80</v>
      </c>
      <c r="B54" t="s">
        <v>219</v>
      </c>
      <c r="C54" t="s">
        <v>3028</v>
      </c>
      <c r="D54">
        <v>2</v>
      </c>
    </row>
    <row r="55" spans="1:4" x14ac:dyDescent="0.25">
      <c r="A55" t="s">
        <v>80</v>
      </c>
      <c r="B55" t="s">
        <v>284</v>
      </c>
      <c r="C55" t="s">
        <v>4192</v>
      </c>
      <c r="D55">
        <v>3</v>
      </c>
    </row>
    <row r="56" spans="1:4" x14ac:dyDescent="0.25">
      <c r="A56" t="s">
        <v>80</v>
      </c>
      <c r="B56" t="s">
        <v>663</v>
      </c>
      <c r="C56" t="s">
        <v>3733</v>
      </c>
      <c r="D56">
        <v>6</v>
      </c>
    </row>
    <row r="57" spans="1:4" x14ac:dyDescent="0.25">
      <c r="A57" t="s">
        <v>80</v>
      </c>
      <c r="B57" t="s">
        <v>1040</v>
      </c>
      <c r="C57" t="s">
        <v>1528</v>
      </c>
      <c r="D57">
        <v>3</v>
      </c>
    </row>
    <row r="58" spans="1:4" x14ac:dyDescent="0.25">
      <c r="A58" t="s">
        <v>80</v>
      </c>
      <c r="B58" t="s">
        <v>1335</v>
      </c>
      <c r="C58" t="s">
        <v>1530</v>
      </c>
      <c r="D58">
        <v>1</v>
      </c>
    </row>
    <row r="59" spans="1:4" x14ac:dyDescent="0.25">
      <c r="A59" t="s">
        <v>80</v>
      </c>
      <c r="B59" t="s">
        <v>1335</v>
      </c>
      <c r="C59" t="s">
        <v>2448</v>
      </c>
      <c r="D59">
        <v>0</v>
      </c>
    </row>
    <row r="60" spans="1:4" x14ac:dyDescent="0.25">
      <c r="A60" t="s">
        <v>80</v>
      </c>
      <c r="B60" t="s">
        <v>290</v>
      </c>
      <c r="C60" t="s">
        <v>382</v>
      </c>
      <c r="D60">
        <v>1</v>
      </c>
    </row>
    <row r="61" spans="1:4" x14ac:dyDescent="0.25">
      <c r="A61" t="s">
        <v>80</v>
      </c>
      <c r="B61" t="s">
        <v>2363</v>
      </c>
      <c r="C61" t="s">
        <v>2177</v>
      </c>
      <c r="D61">
        <v>4</v>
      </c>
    </row>
    <row r="62" spans="1:4" x14ac:dyDescent="0.25">
      <c r="A62" t="s">
        <v>80</v>
      </c>
      <c r="B62" t="s">
        <v>505</v>
      </c>
      <c r="C62" t="s">
        <v>387</v>
      </c>
      <c r="D62">
        <v>2</v>
      </c>
    </row>
    <row r="63" spans="1:4" x14ac:dyDescent="0.25">
      <c r="A63" t="s">
        <v>80</v>
      </c>
      <c r="B63" t="s">
        <v>38</v>
      </c>
      <c r="C63" t="s">
        <v>2495</v>
      </c>
      <c r="D63">
        <v>0</v>
      </c>
    </row>
    <row r="64" spans="1:4" x14ac:dyDescent="0.25">
      <c r="A64" t="s">
        <v>123</v>
      </c>
      <c r="B64" t="s">
        <v>1136</v>
      </c>
      <c r="C64" t="s">
        <v>3094</v>
      </c>
      <c r="D64">
        <v>-3</v>
      </c>
    </row>
    <row r="65" spans="1:4" x14ac:dyDescent="0.25">
      <c r="A65" t="s">
        <v>123</v>
      </c>
      <c r="B65" t="s">
        <v>1117</v>
      </c>
      <c r="C65" t="s">
        <v>2230</v>
      </c>
      <c r="D65">
        <v>-4</v>
      </c>
    </row>
    <row r="66" spans="1:4" x14ac:dyDescent="0.25">
      <c r="A66" t="s">
        <v>123</v>
      </c>
      <c r="B66" t="s">
        <v>1117</v>
      </c>
      <c r="C66" t="s">
        <v>2140</v>
      </c>
      <c r="D66">
        <v>-5</v>
      </c>
    </row>
    <row r="67" spans="1:4" x14ac:dyDescent="0.25">
      <c r="A67" t="s">
        <v>123</v>
      </c>
      <c r="B67" t="s">
        <v>778</v>
      </c>
      <c r="C67" t="s">
        <v>3538</v>
      </c>
      <c r="D67">
        <v>-4</v>
      </c>
    </row>
    <row r="68" spans="1:4" x14ac:dyDescent="0.25">
      <c r="A68" t="s">
        <v>123</v>
      </c>
      <c r="B68" t="s">
        <v>778</v>
      </c>
      <c r="C68" t="s">
        <v>276</v>
      </c>
      <c r="D68">
        <v>-3</v>
      </c>
    </row>
    <row r="69" spans="1:4" x14ac:dyDescent="0.25">
      <c r="A69" t="s">
        <v>123</v>
      </c>
      <c r="B69" t="s">
        <v>87</v>
      </c>
      <c r="C69" t="s">
        <v>2498</v>
      </c>
      <c r="D69">
        <v>0</v>
      </c>
    </row>
    <row r="70" spans="1:4" x14ac:dyDescent="0.25">
      <c r="A70" t="s">
        <v>123</v>
      </c>
      <c r="B70" t="s">
        <v>625</v>
      </c>
      <c r="C70" t="s">
        <v>2235</v>
      </c>
      <c r="D70">
        <v>-3</v>
      </c>
    </row>
    <row r="71" spans="1:4" x14ac:dyDescent="0.25">
      <c r="A71" t="s">
        <v>123</v>
      </c>
      <c r="B71" t="s">
        <v>1776</v>
      </c>
      <c r="C71" t="s">
        <v>2499</v>
      </c>
      <c r="D71">
        <v>-1</v>
      </c>
    </row>
    <row r="72" spans="1:4" x14ac:dyDescent="0.25">
      <c r="A72" t="s">
        <v>123</v>
      </c>
      <c r="B72" t="s">
        <v>1231</v>
      </c>
      <c r="C72" t="s">
        <v>3835</v>
      </c>
      <c r="D72">
        <v>2</v>
      </c>
    </row>
    <row r="73" spans="1:4" x14ac:dyDescent="0.25">
      <c r="A73" t="s">
        <v>123</v>
      </c>
      <c r="B73" t="s">
        <v>1700</v>
      </c>
      <c r="C73" t="s">
        <v>2555</v>
      </c>
      <c r="D73">
        <v>4</v>
      </c>
    </row>
    <row r="74" spans="1:4" x14ac:dyDescent="0.25">
      <c r="A74" t="s">
        <v>123</v>
      </c>
      <c r="B74" t="s">
        <v>1127</v>
      </c>
      <c r="C74" t="s">
        <v>409</v>
      </c>
      <c r="D74">
        <v>7</v>
      </c>
    </row>
    <row r="75" spans="1:4" x14ac:dyDescent="0.25">
      <c r="A75" t="s">
        <v>123</v>
      </c>
      <c r="B75" t="s">
        <v>1356</v>
      </c>
      <c r="C75" t="s">
        <v>1616</v>
      </c>
      <c r="D75">
        <v>9</v>
      </c>
    </row>
    <row r="76" spans="1:4" x14ac:dyDescent="0.25">
      <c r="A76" t="s">
        <v>123</v>
      </c>
      <c r="B76" t="s">
        <v>1204</v>
      </c>
      <c r="C76" t="s">
        <v>412</v>
      </c>
      <c r="D76">
        <v>7</v>
      </c>
    </row>
    <row r="77" spans="1:4" x14ac:dyDescent="0.25">
      <c r="A77" t="s">
        <v>123</v>
      </c>
      <c r="B77" t="s">
        <v>1180</v>
      </c>
      <c r="C77" t="s">
        <v>413</v>
      </c>
      <c r="D77">
        <v>8</v>
      </c>
    </row>
    <row r="78" spans="1:4" x14ac:dyDescent="0.25">
      <c r="A78" t="s">
        <v>123</v>
      </c>
      <c r="B78" t="s">
        <v>1180</v>
      </c>
      <c r="C78" t="s">
        <v>415</v>
      </c>
      <c r="D78">
        <v>9</v>
      </c>
    </row>
    <row r="79" spans="1:4" x14ac:dyDescent="0.25">
      <c r="A79" t="s">
        <v>123</v>
      </c>
      <c r="B79" t="s">
        <v>394</v>
      </c>
      <c r="C79" t="s">
        <v>1182</v>
      </c>
      <c r="D79">
        <v>7</v>
      </c>
    </row>
    <row r="81" spans="1:4" x14ac:dyDescent="0.25">
      <c r="A81" s="2" t="s">
        <v>157</v>
      </c>
    </row>
    <row r="82" spans="1:4" x14ac:dyDescent="0.25">
      <c r="A82" t="s">
        <v>158</v>
      </c>
      <c r="D82">
        <f>AVERAGE(D2:D79)</f>
        <v>2.7307692307692308</v>
      </c>
    </row>
    <row r="83" spans="1:4" x14ac:dyDescent="0.25">
      <c r="A83" t="s">
        <v>159</v>
      </c>
      <c r="D83">
        <f>MAX(D2:D79)</f>
        <v>9</v>
      </c>
    </row>
    <row r="84" spans="1:4" x14ac:dyDescent="0.25">
      <c r="A84" t="s">
        <v>160</v>
      </c>
      <c r="D84">
        <f>MIN(D2:D79)</f>
        <v>-5</v>
      </c>
    </row>
    <row r="85" spans="1:4" x14ac:dyDescent="0.25">
      <c r="A85" t="s">
        <v>161</v>
      </c>
      <c r="D85">
        <f>COUNTIF(D2:D79,"&gt;0")</f>
        <v>57</v>
      </c>
    </row>
    <row r="86" spans="1:4" x14ac:dyDescent="0.25">
      <c r="A86" t="s">
        <v>162</v>
      </c>
      <c r="D86">
        <f>COUNTIF(D2:D79,"=0")</f>
        <v>10</v>
      </c>
    </row>
    <row r="87" spans="1:4" x14ac:dyDescent="0.25">
      <c r="A87" t="s">
        <v>2872</v>
      </c>
      <c r="D87">
        <f>COUNTIF(D2:D79,"&lt;0")</f>
        <v>11</v>
      </c>
    </row>
    <row r="89" spans="1:4" x14ac:dyDescent="0.25">
      <c r="A89" s="2" t="s">
        <v>164</v>
      </c>
    </row>
    <row r="90" spans="1:4" x14ac:dyDescent="0.25">
      <c r="A90" t="s">
        <v>165</v>
      </c>
      <c r="D90">
        <f>AVERAGE(D2,D3,D4,D5,D6,D7,D8,D9,D10,D11,D12,D13,D14,D15,D16,D17,D18)</f>
        <v>4.5294117647058822</v>
      </c>
    </row>
    <row r="91" spans="1:4" x14ac:dyDescent="0.25">
      <c r="A91" t="s">
        <v>166</v>
      </c>
      <c r="D91">
        <f>AVERAGE(D19,D20,D21,D22,D23,D24,D25,D26,D27,D28,D29,D30,D31,D32,D33,D34,D35,D36,D37,D38,D39,D40,D41,D42,D43,D44,D45)</f>
        <v>1.7777777777777777</v>
      </c>
    </row>
    <row r="92" spans="1:4" x14ac:dyDescent="0.25">
      <c r="A92" t="s">
        <v>167</v>
      </c>
      <c r="D92">
        <f>AVERAGE(D46,D47,D48,D49,D50,D51,D52,D53,D54,D55,D56,D57,D58,D59,D60,D61,D62,D63)</f>
        <v>3.2222222222222223</v>
      </c>
    </row>
    <row r="93" spans="1:4" x14ac:dyDescent="0.25">
      <c r="A93" t="s">
        <v>168</v>
      </c>
      <c r="D93">
        <f>AVERAGE(D64,D65,D66,D67,D68,D69,D70,D71,D72,D73,D74,D75,D76,D77,D78,D79)</f>
        <v>1.875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D8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1735</v>
      </c>
      <c r="C2" t="s">
        <v>908</v>
      </c>
      <c r="D2">
        <v>-2</v>
      </c>
    </row>
    <row r="3" spans="1:4" x14ac:dyDescent="0.25">
      <c r="A3" t="s">
        <v>4</v>
      </c>
      <c r="B3" t="s">
        <v>827</v>
      </c>
      <c r="C3" t="s">
        <v>1692</v>
      </c>
      <c r="D3">
        <v>-4</v>
      </c>
    </row>
    <row r="4" spans="1:4" x14ac:dyDescent="0.25">
      <c r="A4" t="s">
        <v>4</v>
      </c>
      <c r="B4" t="s">
        <v>759</v>
      </c>
      <c r="C4" t="s">
        <v>10</v>
      </c>
      <c r="D4">
        <v>-2</v>
      </c>
    </row>
    <row r="5" spans="1:4" x14ac:dyDescent="0.25">
      <c r="A5" t="s">
        <v>4</v>
      </c>
      <c r="B5" t="s">
        <v>759</v>
      </c>
      <c r="C5" t="s">
        <v>2045</v>
      </c>
      <c r="D5">
        <v>-1</v>
      </c>
    </row>
    <row r="6" spans="1:4" x14ac:dyDescent="0.25">
      <c r="A6" t="s">
        <v>4</v>
      </c>
      <c r="B6" t="s">
        <v>54</v>
      </c>
      <c r="C6" t="s">
        <v>1106</v>
      </c>
      <c r="D6">
        <v>1</v>
      </c>
    </row>
    <row r="7" spans="1:4" x14ac:dyDescent="0.25">
      <c r="A7" t="s">
        <v>4</v>
      </c>
      <c r="B7" t="s">
        <v>1498</v>
      </c>
      <c r="C7" t="s">
        <v>913</v>
      </c>
      <c r="D7">
        <v>-2</v>
      </c>
    </row>
    <row r="8" spans="1:4" x14ac:dyDescent="0.25">
      <c r="A8" t="s">
        <v>4</v>
      </c>
      <c r="B8" t="s">
        <v>1816</v>
      </c>
      <c r="C8" t="s">
        <v>567</v>
      </c>
      <c r="D8">
        <v>0</v>
      </c>
    </row>
    <row r="9" spans="1:4" x14ac:dyDescent="0.25">
      <c r="A9" t="s">
        <v>4</v>
      </c>
      <c r="B9" t="s">
        <v>2266</v>
      </c>
      <c r="C9" t="s">
        <v>1497</v>
      </c>
      <c r="D9">
        <v>-2</v>
      </c>
    </row>
    <row r="10" spans="1:4" x14ac:dyDescent="0.25">
      <c r="A10" t="s">
        <v>4</v>
      </c>
      <c r="B10" t="s">
        <v>97</v>
      </c>
      <c r="C10" t="s">
        <v>571</v>
      </c>
      <c r="D10">
        <v>0</v>
      </c>
    </row>
    <row r="11" spans="1:4" x14ac:dyDescent="0.25">
      <c r="A11" t="s">
        <v>4</v>
      </c>
      <c r="B11" t="s">
        <v>1151</v>
      </c>
      <c r="C11" t="s">
        <v>573</v>
      </c>
      <c r="D11">
        <v>2</v>
      </c>
    </row>
    <row r="12" spans="1:4" x14ac:dyDescent="0.25">
      <c r="A12" t="s">
        <v>4</v>
      </c>
      <c r="B12" t="s">
        <v>600</v>
      </c>
      <c r="C12" t="s">
        <v>574</v>
      </c>
      <c r="D12">
        <v>0</v>
      </c>
    </row>
    <row r="13" spans="1:4" x14ac:dyDescent="0.25">
      <c r="A13" t="s">
        <v>4</v>
      </c>
      <c r="B13" t="s">
        <v>887</v>
      </c>
      <c r="C13" t="s">
        <v>3025</v>
      </c>
      <c r="D13">
        <v>3</v>
      </c>
    </row>
    <row r="14" spans="1:4" x14ac:dyDescent="0.25">
      <c r="A14" t="s">
        <v>4</v>
      </c>
      <c r="B14" t="s">
        <v>1016</v>
      </c>
      <c r="C14" t="s">
        <v>1872</v>
      </c>
      <c r="D14">
        <v>2</v>
      </c>
    </row>
    <row r="15" spans="1:4" x14ac:dyDescent="0.25">
      <c r="A15" t="s">
        <v>4</v>
      </c>
      <c r="B15" t="s">
        <v>1602</v>
      </c>
      <c r="C15" t="s">
        <v>35</v>
      </c>
      <c r="D15">
        <v>-1</v>
      </c>
    </row>
    <row r="16" spans="1:4" x14ac:dyDescent="0.25">
      <c r="A16" t="s">
        <v>4</v>
      </c>
      <c r="B16" t="s">
        <v>317</v>
      </c>
      <c r="C16" t="s">
        <v>2298</v>
      </c>
      <c r="D16">
        <v>-2</v>
      </c>
    </row>
    <row r="17" spans="1:4" x14ac:dyDescent="0.25">
      <c r="A17" t="s">
        <v>4</v>
      </c>
      <c r="B17" t="s">
        <v>196</v>
      </c>
      <c r="C17" t="s">
        <v>2204</v>
      </c>
      <c r="D17">
        <v>-3</v>
      </c>
    </row>
    <row r="18" spans="1:4" x14ac:dyDescent="0.25">
      <c r="A18" t="s">
        <v>4</v>
      </c>
      <c r="B18" t="s">
        <v>788</v>
      </c>
      <c r="C18" t="s">
        <v>1820</v>
      </c>
      <c r="D18">
        <v>0</v>
      </c>
    </row>
    <row r="19" spans="1:4" x14ac:dyDescent="0.25">
      <c r="A19" t="s">
        <v>4</v>
      </c>
      <c r="B19" t="s">
        <v>1675</v>
      </c>
      <c r="C19" t="s">
        <v>1821</v>
      </c>
      <c r="D19">
        <v>-2</v>
      </c>
    </row>
    <row r="20" spans="1:4" x14ac:dyDescent="0.25">
      <c r="A20" t="s">
        <v>4</v>
      </c>
      <c r="B20" t="s">
        <v>880</v>
      </c>
      <c r="C20" t="s">
        <v>792</v>
      </c>
      <c r="D20">
        <v>1</v>
      </c>
    </row>
    <row r="21" spans="1:4" x14ac:dyDescent="0.25">
      <c r="A21" t="s">
        <v>4</v>
      </c>
      <c r="B21" t="s">
        <v>1276</v>
      </c>
      <c r="C21" t="s">
        <v>1822</v>
      </c>
      <c r="D21">
        <v>2</v>
      </c>
    </row>
    <row r="22" spans="1:4" x14ac:dyDescent="0.25">
      <c r="A22" t="s">
        <v>4</v>
      </c>
      <c r="B22" t="s">
        <v>1276</v>
      </c>
      <c r="C22" t="s">
        <v>586</v>
      </c>
      <c r="D22">
        <v>3</v>
      </c>
    </row>
    <row r="23" spans="1:4" x14ac:dyDescent="0.25">
      <c r="A23" t="s">
        <v>4</v>
      </c>
      <c r="B23" t="s">
        <v>817</v>
      </c>
      <c r="C23" t="s">
        <v>587</v>
      </c>
      <c r="D23">
        <v>1</v>
      </c>
    </row>
    <row r="24" spans="1:4" x14ac:dyDescent="0.25">
      <c r="A24" t="s">
        <v>40</v>
      </c>
      <c r="B24" t="s">
        <v>2421</v>
      </c>
      <c r="C24" t="s">
        <v>1439</v>
      </c>
      <c r="D24">
        <v>4</v>
      </c>
    </row>
    <row r="25" spans="1:4" x14ac:dyDescent="0.25">
      <c r="A25" t="s">
        <v>40</v>
      </c>
      <c r="B25" t="s">
        <v>81</v>
      </c>
      <c r="C25" t="s">
        <v>926</v>
      </c>
      <c r="D25">
        <v>3</v>
      </c>
    </row>
    <row r="26" spans="1:4" x14ac:dyDescent="0.25">
      <c r="A26" t="s">
        <v>40</v>
      </c>
      <c r="B26" t="s">
        <v>1244</v>
      </c>
      <c r="C26" t="s">
        <v>2124</v>
      </c>
      <c r="D26">
        <v>6</v>
      </c>
    </row>
    <row r="27" spans="1:4" x14ac:dyDescent="0.25">
      <c r="A27" t="s">
        <v>40</v>
      </c>
      <c r="B27" t="s">
        <v>51</v>
      </c>
      <c r="C27" t="s">
        <v>3535</v>
      </c>
      <c r="D27">
        <v>7</v>
      </c>
    </row>
    <row r="28" spans="1:4" x14ac:dyDescent="0.25">
      <c r="A28" t="s">
        <v>40</v>
      </c>
      <c r="B28" t="s">
        <v>51</v>
      </c>
      <c r="C28" t="s">
        <v>2561</v>
      </c>
      <c r="D28">
        <v>8</v>
      </c>
    </row>
    <row r="29" spans="1:4" x14ac:dyDescent="0.25">
      <c r="A29" t="s">
        <v>40</v>
      </c>
      <c r="B29" t="s">
        <v>51</v>
      </c>
      <c r="C29" t="s">
        <v>2525</v>
      </c>
      <c r="D29">
        <v>9</v>
      </c>
    </row>
    <row r="30" spans="1:4" x14ac:dyDescent="0.25">
      <c r="A30" t="s">
        <v>40</v>
      </c>
      <c r="B30" t="s">
        <v>1118</v>
      </c>
      <c r="C30" t="s">
        <v>3433</v>
      </c>
      <c r="D30">
        <v>7</v>
      </c>
    </row>
    <row r="31" spans="1:4" x14ac:dyDescent="0.25">
      <c r="A31" t="s">
        <v>40</v>
      </c>
      <c r="B31" t="s">
        <v>261</v>
      </c>
      <c r="C31" t="s">
        <v>1934</v>
      </c>
      <c r="D31">
        <v>9</v>
      </c>
    </row>
    <row r="32" spans="1:4" x14ac:dyDescent="0.25">
      <c r="A32" t="s">
        <v>40</v>
      </c>
      <c r="B32" t="s">
        <v>104</v>
      </c>
      <c r="C32" t="s">
        <v>3008</v>
      </c>
      <c r="D32">
        <v>11</v>
      </c>
    </row>
    <row r="33" spans="1:4" x14ac:dyDescent="0.25">
      <c r="A33" t="s">
        <v>40</v>
      </c>
      <c r="B33" t="s">
        <v>1698</v>
      </c>
      <c r="C33" t="s">
        <v>4088</v>
      </c>
      <c r="D33">
        <v>14</v>
      </c>
    </row>
    <row r="34" spans="1:4" x14ac:dyDescent="0.25">
      <c r="A34" t="s">
        <v>40</v>
      </c>
      <c r="B34" t="s">
        <v>25</v>
      </c>
      <c r="C34" t="s">
        <v>3373</v>
      </c>
      <c r="D34">
        <v>17</v>
      </c>
    </row>
    <row r="35" spans="1:4" x14ac:dyDescent="0.25">
      <c r="A35" t="s">
        <v>40</v>
      </c>
      <c r="B35" t="s">
        <v>2048</v>
      </c>
      <c r="C35" t="s">
        <v>4240</v>
      </c>
      <c r="D35">
        <v>16</v>
      </c>
    </row>
    <row r="36" spans="1:4" x14ac:dyDescent="0.25">
      <c r="A36" t="s">
        <v>40</v>
      </c>
      <c r="B36" t="s">
        <v>2048</v>
      </c>
      <c r="C36" t="s">
        <v>3449</v>
      </c>
      <c r="D36">
        <v>15</v>
      </c>
    </row>
    <row r="37" spans="1:4" x14ac:dyDescent="0.25">
      <c r="A37" t="s">
        <v>40</v>
      </c>
      <c r="B37" t="s">
        <v>2608</v>
      </c>
      <c r="C37" t="s">
        <v>2655</v>
      </c>
      <c r="D37">
        <v>16</v>
      </c>
    </row>
    <row r="38" spans="1:4" x14ac:dyDescent="0.25">
      <c r="A38" t="s">
        <v>40</v>
      </c>
      <c r="B38" t="s">
        <v>2608</v>
      </c>
      <c r="C38" t="s">
        <v>4241</v>
      </c>
      <c r="D38">
        <v>17</v>
      </c>
    </row>
    <row r="39" spans="1:4" x14ac:dyDescent="0.25">
      <c r="A39" t="s">
        <v>80</v>
      </c>
      <c r="B39" t="s">
        <v>4242</v>
      </c>
      <c r="C39" t="s">
        <v>3055</v>
      </c>
      <c r="D39">
        <v>18</v>
      </c>
    </row>
    <row r="40" spans="1:4" x14ac:dyDescent="0.25">
      <c r="A40" t="s">
        <v>80</v>
      </c>
      <c r="B40" t="s">
        <v>4242</v>
      </c>
      <c r="C40" t="s">
        <v>2656</v>
      </c>
      <c r="D40">
        <v>19</v>
      </c>
    </row>
    <row r="41" spans="1:4" x14ac:dyDescent="0.25">
      <c r="A41" t="s">
        <v>80</v>
      </c>
      <c r="B41" t="s">
        <v>325</v>
      </c>
      <c r="C41" t="s">
        <v>3237</v>
      </c>
      <c r="D41">
        <v>20</v>
      </c>
    </row>
    <row r="42" spans="1:4" x14ac:dyDescent="0.25">
      <c r="A42" t="s">
        <v>80</v>
      </c>
      <c r="B42" t="s">
        <v>325</v>
      </c>
      <c r="C42" t="s">
        <v>3057</v>
      </c>
      <c r="D42">
        <v>21</v>
      </c>
    </row>
    <row r="43" spans="1:4" x14ac:dyDescent="0.25">
      <c r="A43" t="s">
        <v>80</v>
      </c>
      <c r="B43" t="s">
        <v>490</v>
      </c>
      <c r="C43" t="s">
        <v>3163</v>
      </c>
      <c r="D43">
        <v>20</v>
      </c>
    </row>
    <row r="44" spans="1:4" x14ac:dyDescent="0.25">
      <c r="A44" t="s">
        <v>80</v>
      </c>
      <c r="B44" t="s">
        <v>490</v>
      </c>
      <c r="C44" t="s">
        <v>2658</v>
      </c>
      <c r="D44">
        <v>19</v>
      </c>
    </row>
    <row r="45" spans="1:4" x14ac:dyDescent="0.25">
      <c r="A45" t="s">
        <v>80</v>
      </c>
      <c r="B45" t="s">
        <v>2405</v>
      </c>
      <c r="C45" t="s">
        <v>3165</v>
      </c>
      <c r="D45">
        <v>21</v>
      </c>
    </row>
    <row r="46" spans="1:4" x14ac:dyDescent="0.25">
      <c r="A46" t="s">
        <v>80</v>
      </c>
      <c r="B46" t="s">
        <v>1851</v>
      </c>
      <c r="C46" t="s">
        <v>3166</v>
      </c>
      <c r="D46">
        <v>19</v>
      </c>
    </row>
    <row r="47" spans="1:4" x14ac:dyDescent="0.25">
      <c r="A47" t="s">
        <v>80</v>
      </c>
      <c r="B47" t="s">
        <v>332</v>
      </c>
      <c r="C47" t="s">
        <v>3167</v>
      </c>
      <c r="D47">
        <v>22</v>
      </c>
    </row>
    <row r="48" spans="1:4" x14ac:dyDescent="0.25">
      <c r="A48" t="s">
        <v>80</v>
      </c>
      <c r="B48" t="s">
        <v>1411</v>
      </c>
      <c r="C48" t="s">
        <v>2064</v>
      </c>
      <c r="D48">
        <v>20</v>
      </c>
    </row>
    <row r="49" spans="1:4" x14ac:dyDescent="0.25">
      <c r="A49" t="s">
        <v>80</v>
      </c>
      <c r="B49" t="s">
        <v>1411</v>
      </c>
      <c r="C49" t="s">
        <v>3376</v>
      </c>
      <c r="D49">
        <v>19</v>
      </c>
    </row>
    <row r="50" spans="1:4" x14ac:dyDescent="0.25">
      <c r="A50" t="s">
        <v>80</v>
      </c>
      <c r="B50" t="s">
        <v>13</v>
      </c>
      <c r="C50" t="s">
        <v>953</v>
      </c>
      <c r="D50">
        <v>17</v>
      </c>
    </row>
    <row r="51" spans="1:4" x14ac:dyDescent="0.25">
      <c r="A51" t="s">
        <v>80</v>
      </c>
      <c r="B51" t="s">
        <v>254</v>
      </c>
      <c r="C51" t="s">
        <v>2067</v>
      </c>
      <c r="D51">
        <v>19</v>
      </c>
    </row>
    <row r="52" spans="1:4" x14ac:dyDescent="0.25">
      <c r="A52" t="s">
        <v>80</v>
      </c>
      <c r="B52" t="s">
        <v>836</v>
      </c>
      <c r="C52" t="s">
        <v>2820</v>
      </c>
      <c r="D52">
        <v>17</v>
      </c>
    </row>
    <row r="53" spans="1:4" x14ac:dyDescent="0.25">
      <c r="A53" t="s">
        <v>80</v>
      </c>
      <c r="B53" t="s">
        <v>836</v>
      </c>
      <c r="C53" t="s">
        <v>1949</v>
      </c>
      <c r="D53">
        <v>16</v>
      </c>
    </row>
    <row r="54" spans="1:4" x14ac:dyDescent="0.25">
      <c r="A54" t="s">
        <v>80</v>
      </c>
      <c r="B54" t="s">
        <v>2431</v>
      </c>
      <c r="C54" t="s">
        <v>3061</v>
      </c>
      <c r="D54">
        <v>19</v>
      </c>
    </row>
    <row r="55" spans="1:4" x14ac:dyDescent="0.25">
      <c r="A55" t="s">
        <v>80</v>
      </c>
      <c r="B55" t="s">
        <v>1475</v>
      </c>
      <c r="C55" t="s">
        <v>958</v>
      </c>
      <c r="D55">
        <v>20</v>
      </c>
    </row>
    <row r="56" spans="1:4" x14ac:dyDescent="0.25">
      <c r="A56" t="s">
        <v>80</v>
      </c>
      <c r="B56" t="s">
        <v>1475</v>
      </c>
      <c r="C56" t="s">
        <v>4243</v>
      </c>
      <c r="D56">
        <v>21</v>
      </c>
    </row>
    <row r="57" spans="1:4" x14ac:dyDescent="0.25">
      <c r="A57" t="s">
        <v>80</v>
      </c>
      <c r="B57" t="s">
        <v>941</v>
      </c>
      <c r="C57" t="s">
        <v>4244</v>
      </c>
      <c r="D57">
        <v>24</v>
      </c>
    </row>
    <row r="58" spans="1:4" x14ac:dyDescent="0.25">
      <c r="A58" t="s">
        <v>80</v>
      </c>
      <c r="B58" t="s">
        <v>539</v>
      </c>
      <c r="C58" t="s">
        <v>3210</v>
      </c>
      <c r="D58">
        <v>22</v>
      </c>
    </row>
    <row r="59" spans="1:4" x14ac:dyDescent="0.25">
      <c r="A59" t="s">
        <v>80</v>
      </c>
      <c r="B59" t="s">
        <v>922</v>
      </c>
      <c r="C59" t="s">
        <v>963</v>
      </c>
      <c r="D59">
        <v>20</v>
      </c>
    </row>
    <row r="60" spans="1:4" x14ac:dyDescent="0.25">
      <c r="A60" t="s">
        <v>80</v>
      </c>
      <c r="B60" t="s">
        <v>1536</v>
      </c>
      <c r="C60" t="s">
        <v>4245</v>
      </c>
      <c r="D60">
        <v>22</v>
      </c>
    </row>
    <row r="61" spans="1:4" x14ac:dyDescent="0.25">
      <c r="A61" t="s">
        <v>80</v>
      </c>
      <c r="B61" t="s">
        <v>317</v>
      </c>
      <c r="C61" t="s">
        <v>4246</v>
      </c>
      <c r="D61">
        <v>24</v>
      </c>
    </row>
    <row r="62" spans="1:4" x14ac:dyDescent="0.25">
      <c r="A62" t="s">
        <v>80</v>
      </c>
      <c r="B62" t="s">
        <v>1640</v>
      </c>
      <c r="C62" t="s">
        <v>4247</v>
      </c>
      <c r="D62">
        <v>21</v>
      </c>
    </row>
    <row r="63" spans="1:4" x14ac:dyDescent="0.25">
      <c r="A63" t="s">
        <v>80</v>
      </c>
      <c r="B63" t="s">
        <v>29</v>
      </c>
      <c r="C63" t="s">
        <v>2828</v>
      </c>
      <c r="D63">
        <v>24</v>
      </c>
    </row>
    <row r="64" spans="1:4" x14ac:dyDescent="0.25">
      <c r="A64" t="s">
        <v>80</v>
      </c>
      <c r="B64" t="s">
        <v>1437</v>
      </c>
      <c r="C64" t="s">
        <v>3677</v>
      </c>
      <c r="D64">
        <v>27</v>
      </c>
    </row>
    <row r="65" spans="1:4" x14ac:dyDescent="0.25">
      <c r="A65" t="s">
        <v>80</v>
      </c>
      <c r="B65" t="s">
        <v>481</v>
      </c>
      <c r="C65" t="s">
        <v>4248</v>
      </c>
      <c r="D65">
        <v>29</v>
      </c>
    </row>
    <row r="66" spans="1:4" x14ac:dyDescent="0.25">
      <c r="A66" t="s">
        <v>80</v>
      </c>
      <c r="B66" t="s">
        <v>681</v>
      </c>
      <c r="C66" t="s">
        <v>2085</v>
      </c>
      <c r="D66">
        <v>26</v>
      </c>
    </row>
    <row r="67" spans="1:4" x14ac:dyDescent="0.25">
      <c r="A67" t="s">
        <v>123</v>
      </c>
      <c r="B67" t="s">
        <v>714</v>
      </c>
      <c r="C67" t="s">
        <v>2022</v>
      </c>
      <c r="D67">
        <v>29</v>
      </c>
    </row>
    <row r="68" spans="1:4" x14ac:dyDescent="0.25">
      <c r="A68" t="s">
        <v>123</v>
      </c>
      <c r="B68" t="s">
        <v>1346</v>
      </c>
      <c r="C68" t="s">
        <v>4249</v>
      </c>
      <c r="D68">
        <v>30</v>
      </c>
    </row>
    <row r="69" spans="1:4" x14ac:dyDescent="0.25">
      <c r="A69" t="s">
        <v>123</v>
      </c>
      <c r="B69" t="s">
        <v>1346</v>
      </c>
      <c r="C69" t="s">
        <v>2023</v>
      </c>
      <c r="D69">
        <v>31</v>
      </c>
    </row>
    <row r="70" spans="1:4" x14ac:dyDescent="0.25">
      <c r="A70" t="s">
        <v>123</v>
      </c>
      <c r="B70" t="s">
        <v>823</v>
      </c>
      <c r="C70" t="s">
        <v>4250</v>
      </c>
      <c r="D70">
        <v>28</v>
      </c>
    </row>
    <row r="71" spans="1:4" x14ac:dyDescent="0.25">
      <c r="A71" t="s">
        <v>123</v>
      </c>
      <c r="B71" t="s">
        <v>2355</v>
      </c>
      <c r="C71" t="s">
        <v>4251</v>
      </c>
      <c r="D71">
        <v>31</v>
      </c>
    </row>
    <row r="72" spans="1:4" x14ac:dyDescent="0.25">
      <c r="A72" t="s">
        <v>123</v>
      </c>
      <c r="B72" t="s">
        <v>398</v>
      </c>
      <c r="C72" t="s">
        <v>4021</v>
      </c>
      <c r="D72">
        <v>29</v>
      </c>
    </row>
    <row r="73" spans="1:4" x14ac:dyDescent="0.25">
      <c r="A73" t="s">
        <v>123</v>
      </c>
      <c r="B73" t="s">
        <v>621</v>
      </c>
      <c r="C73" t="s">
        <v>3145</v>
      </c>
      <c r="D73">
        <v>27</v>
      </c>
    </row>
    <row r="75" spans="1:4" x14ac:dyDescent="0.25">
      <c r="A75" s="2" t="s">
        <v>157</v>
      </c>
    </row>
    <row r="76" spans="1:4" x14ac:dyDescent="0.25">
      <c r="A76" t="s">
        <v>158</v>
      </c>
      <c r="D76">
        <f>AVERAGE(D2:D73)</f>
        <v>13.111111111111111</v>
      </c>
    </row>
    <row r="77" spans="1:4" x14ac:dyDescent="0.25">
      <c r="A77" t="s">
        <v>159</v>
      </c>
      <c r="D77">
        <f>MAX(D2:D73)</f>
        <v>31</v>
      </c>
    </row>
    <row r="78" spans="1:4" x14ac:dyDescent="0.25">
      <c r="A78" t="s">
        <v>160</v>
      </c>
      <c r="D78">
        <f>MIN(D2:D73)</f>
        <v>-4</v>
      </c>
    </row>
    <row r="79" spans="1:4" x14ac:dyDescent="0.25">
      <c r="A79" t="s">
        <v>161</v>
      </c>
      <c r="D79">
        <f>COUNTIF(D2:D73,"&gt;0")</f>
        <v>58</v>
      </c>
    </row>
    <row r="80" spans="1:4" x14ac:dyDescent="0.25">
      <c r="A80" t="s">
        <v>162</v>
      </c>
      <c r="D80">
        <f>COUNTIF(D2:D73,"=0")</f>
        <v>4</v>
      </c>
    </row>
    <row r="81" spans="1:4" x14ac:dyDescent="0.25">
      <c r="A81" t="s">
        <v>2857</v>
      </c>
      <c r="D81">
        <f>COUNTIF(D2:D73,"&lt;0")</f>
        <v>10</v>
      </c>
    </row>
    <row r="83" spans="1:4" x14ac:dyDescent="0.25">
      <c r="A83" s="2" t="s">
        <v>164</v>
      </c>
    </row>
    <row r="84" spans="1:4" x14ac:dyDescent="0.25">
      <c r="A84" t="s">
        <v>165</v>
      </c>
      <c r="D84">
        <f>AVERAGE(D2,D3,D4,D5,D6,D7,D8,D9,D10,D11,D12,D13,D14,D15,D16,D17,D18,D19,D20,D21,D22,D23)</f>
        <v>-0.27272727272727271</v>
      </c>
    </row>
    <row r="85" spans="1:4" x14ac:dyDescent="0.25">
      <c r="A85" t="s">
        <v>166</v>
      </c>
      <c r="D85">
        <f>AVERAGE(D24,D25,D26,D27,D28,D29,D30,D31,D32,D33,D34,D35,D36,D37,D38)</f>
        <v>10.6</v>
      </c>
    </row>
    <row r="86" spans="1:4" x14ac:dyDescent="0.25">
      <c r="A86" t="s">
        <v>167</v>
      </c>
      <c r="D86">
        <f>AVERAGE(D39,D40,D41,D42,D43,D44,D45,D46,D47,D48,D49,D50,D51,D52,D53,D54,D55,D56,D57,D58,D59,D60,D61,D62,D63,D64,D65,D66)</f>
        <v>20.928571428571427</v>
      </c>
    </row>
    <row r="87" spans="1:4" x14ac:dyDescent="0.25">
      <c r="A87" t="s">
        <v>168</v>
      </c>
      <c r="D87">
        <f>AVERAGE(D67,D68,D69,D70,D71,D72,D73)</f>
        <v>29.285714285714285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1492</v>
      </c>
    </row>
    <row r="2" spans="1:4" x14ac:dyDescent="0.25">
      <c r="A2" t="s">
        <v>4</v>
      </c>
      <c r="B2" t="s">
        <v>428</v>
      </c>
      <c r="C2" t="s">
        <v>908</v>
      </c>
      <c r="D2">
        <v>-2</v>
      </c>
    </row>
    <row r="3" spans="1:4" x14ac:dyDescent="0.25">
      <c r="A3" t="s">
        <v>4</v>
      </c>
      <c r="B3" t="s">
        <v>2151</v>
      </c>
      <c r="C3" t="s">
        <v>8</v>
      </c>
      <c r="D3">
        <v>0</v>
      </c>
    </row>
    <row r="4" spans="1:4" x14ac:dyDescent="0.25">
      <c r="A4" t="s">
        <v>4</v>
      </c>
      <c r="B4" t="s">
        <v>719</v>
      </c>
      <c r="C4" t="s">
        <v>306</v>
      </c>
      <c r="D4">
        <v>-1</v>
      </c>
    </row>
    <row r="5" spans="1:4" x14ac:dyDescent="0.25">
      <c r="A5" t="s">
        <v>4</v>
      </c>
      <c r="B5" t="s">
        <v>514</v>
      </c>
      <c r="C5" t="s">
        <v>10</v>
      </c>
      <c r="D5">
        <v>-2</v>
      </c>
    </row>
    <row r="6" spans="1:4" x14ac:dyDescent="0.25">
      <c r="A6" t="s">
        <v>4</v>
      </c>
      <c r="B6" t="s">
        <v>364</v>
      </c>
      <c r="C6" t="s">
        <v>12</v>
      </c>
      <c r="D6">
        <v>0</v>
      </c>
    </row>
    <row r="7" spans="1:4" x14ac:dyDescent="0.25">
      <c r="A7" t="s">
        <v>4</v>
      </c>
      <c r="B7" t="s">
        <v>280</v>
      </c>
      <c r="C7" t="s">
        <v>310</v>
      </c>
      <c r="D7">
        <v>-2</v>
      </c>
    </row>
    <row r="8" spans="1:4" x14ac:dyDescent="0.25">
      <c r="A8" t="s">
        <v>4</v>
      </c>
      <c r="B8" t="s">
        <v>2431</v>
      </c>
      <c r="C8" t="s">
        <v>1694</v>
      </c>
      <c r="D8">
        <v>-4</v>
      </c>
    </row>
    <row r="9" spans="1:4" x14ac:dyDescent="0.25">
      <c r="A9" t="s">
        <v>4</v>
      </c>
      <c r="B9" t="s">
        <v>700</v>
      </c>
      <c r="C9" t="s">
        <v>4097</v>
      </c>
      <c r="D9">
        <v>-6</v>
      </c>
    </row>
    <row r="10" spans="1:4" x14ac:dyDescent="0.25">
      <c r="A10" t="s">
        <v>4</v>
      </c>
      <c r="B10" t="s">
        <v>315</v>
      </c>
      <c r="C10" t="s">
        <v>1635</v>
      </c>
      <c r="D10">
        <v>-5</v>
      </c>
    </row>
    <row r="11" spans="1:4" x14ac:dyDescent="0.25">
      <c r="A11" t="s">
        <v>4</v>
      </c>
      <c r="B11" t="s">
        <v>1503</v>
      </c>
      <c r="C11" t="s">
        <v>436</v>
      </c>
      <c r="D11">
        <v>-3</v>
      </c>
    </row>
    <row r="12" spans="1:4" x14ac:dyDescent="0.25">
      <c r="A12" t="s">
        <v>4</v>
      </c>
      <c r="B12" t="s">
        <v>192</v>
      </c>
      <c r="C12" t="s">
        <v>1637</v>
      </c>
      <c r="D12">
        <v>-6</v>
      </c>
    </row>
    <row r="13" spans="1:4" x14ac:dyDescent="0.25">
      <c r="A13" t="s">
        <v>4</v>
      </c>
      <c r="B13" t="s">
        <v>1073</v>
      </c>
      <c r="C13" t="s">
        <v>1745</v>
      </c>
      <c r="D13">
        <v>-4</v>
      </c>
    </row>
    <row r="14" spans="1:4" x14ac:dyDescent="0.25">
      <c r="A14" t="s">
        <v>4</v>
      </c>
      <c r="B14" t="s">
        <v>1739</v>
      </c>
      <c r="C14" t="s">
        <v>2812</v>
      </c>
      <c r="D14">
        <v>-7</v>
      </c>
    </row>
    <row r="15" spans="1:4" x14ac:dyDescent="0.25">
      <c r="A15" t="s">
        <v>4</v>
      </c>
      <c r="B15" t="s">
        <v>1222</v>
      </c>
      <c r="C15" t="s">
        <v>2813</v>
      </c>
      <c r="D15">
        <v>-5</v>
      </c>
    </row>
    <row r="16" spans="1:4" x14ac:dyDescent="0.25">
      <c r="A16" t="s">
        <v>40</v>
      </c>
      <c r="B16" t="s">
        <v>4193</v>
      </c>
      <c r="C16" t="s">
        <v>703</v>
      </c>
      <c r="D16">
        <v>-3</v>
      </c>
    </row>
    <row r="17" spans="1:4" x14ac:dyDescent="0.25">
      <c r="A17" t="s">
        <v>40</v>
      </c>
      <c r="B17" t="s">
        <v>2151</v>
      </c>
      <c r="C17" t="s">
        <v>705</v>
      </c>
      <c r="D17">
        <v>-1</v>
      </c>
    </row>
    <row r="18" spans="1:4" x14ac:dyDescent="0.25">
      <c r="A18" t="s">
        <v>40</v>
      </c>
      <c r="B18" t="s">
        <v>1267</v>
      </c>
      <c r="C18" t="s">
        <v>789</v>
      </c>
      <c r="D18">
        <v>2</v>
      </c>
    </row>
    <row r="19" spans="1:4" x14ac:dyDescent="0.25">
      <c r="A19" t="s">
        <v>40</v>
      </c>
      <c r="B19" t="s">
        <v>1826</v>
      </c>
      <c r="C19" t="s">
        <v>790</v>
      </c>
      <c r="D19">
        <v>4</v>
      </c>
    </row>
    <row r="20" spans="1:4" x14ac:dyDescent="0.25">
      <c r="A20" t="s">
        <v>40</v>
      </c>
      <c r="B20" t="s">
        <v>2032</v>
      </c>
      <c r="C20" t="s">
        <v>791</v>
      </c>
      <c r="D20">
        <v>2</v>
      </c>
    </row>
    <row r="21" spans="1:4" x14ac:dyDescent="0.25">
      <c r="A21" t="s">
        <v>40</v>
      </c>
      <c r="B21" t="s">
        <v>2311</v>
      </c>
      <c r="C21" t="s">
        <v>331</v>
      </c>
      <c r="D21">
        <v>3</v>
      </c>
    </row>
    <row r="22" spans="1:4" x14ac:dyDescent="0.25">
      <c r="A22" t="s">
        <v>40</v>
      </c>
      <c r="B22" t="s">
        <v>701</v>
      </c>
      <c r="C22" t="s">
        <v>1822</v>
      </c>
      <c r="D22">
        <v>2</v>
      </c>
    </row>
    <row r="23" spans="1:4" x14ac:dyDescent="0.25">
      <c r="A23" t="s">
        <v>40</v>
      </c>
      <c r="B23" t="s">
        <v>701</v>
      </c>
      <c r="C23" t="s">
        <v>711</v>
      </c>
      <c r="D23">
        <v>1</v>
      </c>
    </row>
    <row r="24" spans="1:4" x14ac:dyDescent="0.25">
      <c r="A24" t="s">
        <v>40</v>
      </c>
      <c r="B24" t="s">
        <v>319</v>
      </c>
      <c r="C24" t="s">
        <v>712</v>
      </c>
      <c r="D24">
        <v>3</v>
      </c>
    </row>
    <row r="25" spans="1:4" x14ac:dyDescent="0.25">
      <c r="A25" t="s">
        <v>40</v>
      </c>
      <c r="B25" t="s">
        <v>114</v>
      </c>
      <c r="C25" t="s">
        <v>455</v>
      </c>
      <c r="D25">
        <v>1</v>
      </c>
    </row>
    <row r="26" spans="1:4" x14ac:dyDescent="0.25">
      <c r="A26" t="s">
        <v>40</v>
      </c>
      <c r="B26" t="s">
        <v>1132</v>
      </c>
      <c r="C26" t="s">
        <v>926</v>
      </c>
      <c r="D26">
        <v>3</v>
      </c>
    </row>
    <row r="27" spans="1:4" x14ac:dyDescent="0.25">
      <c r="A27" t="s">
        <v>40</v>
      </c>
      <c r="B27" t="s">
        <v>550</v>
      </c>
      <c r="C27" t="s">
        <v>2703</v>
      </c>
      <c r="D27">
        <v>1</v>
      </c>
    </row>
    <row r="28" spans="1:4" x14ac:dyDescent="0.25">
      <c r="A28" t="s">
        <v>40</v>
      </c>
      <c r="B28" t="s">
        <v>534</v>
      </c>
      <c r="C28" t="s">
        <v>929</v>
      </c>
      <c r="D28">
        <v>3</v>
      </c>
    </row>
    <row r="29" spans="1:4" x14ac:dyDescent="0.25">
      <c r="A29" t="s">
        <v>40</v>
      </c>
      <c r="B29" t="s">
        <v>36</v>
      </c>
      <c r="C29" t="s">
        <v>1124</v>
      </c>
      <c r="D29">
        <v>2</v>
      </c>
    </row>
    <row r="30" spans="1:4" x14ac:dyDescent="0.25">
      <c r="A30" t="s">
        <v>40</v>
      </c>
      <c r="B30" t="s">
        <v>1261</v>
      </c>
      <c r="C30" t="s">
        <v>718</v>
      </c>
      <c r="D30">
        <v>1</v>
      </c>
    </row>
    <row r="31" spans="1:4" x14ac:dyDescent="0.25">
      <c r="A31" t="s">
        <v>40</v>
      </c>
      <c r="B31" t="s">
        <v>1261</v>
      </c>
      <c r="C31" t="s">
        <v>3207</v>
      </c>
      <c r="D31">
        <v>0</v>
      </c>
    </row>
    <row r="32" spans="1:4" x14ac:dyDescent="0.25">
      <c r="A32" t="s">
        <v>80</v>
      </c>
      <c r="B32" t="s">
        <v>907</v>
      </c>
      <c r="C32" t="s">
        <v>1512</v>
      </c>
      <c r="D32">
        <v>-2</v>
      </c>
    </row>
    <row r="33" spans="1:4" x14ac:dyDescent="0.25">
      <c r="A33" t="s">
        <v>80</v>
      </c>
      <c r="B33" t="s">
        <v>907</v>
      </c>
      <c r="C33" t="s">
        <v>3081</v>
      </c>
      <c r="D33">
        <v>-3</v>
      </c>
    </row>
    <row r="34" spans="1:4" x14ac:dyDescent="0.25">
      <c r="A34" t="s">
        <v>80</v>
      </c>
      <c r="B34" t="s">
        <v>81</v>
      </c>
      <c r="C34" t="s">
        <v>3558</v>
      </c>
      <c r="D34">
        <v>-6</v>
      </c>
    </row>
    <row r="35" spans="1:4" x14ac:dyDescent="0.25">
      <c r="A35" t="s">
        <v>80</v>
      </c>
      <c r="B35" t="s">
        <v>1851</v>
      </c>
      <c r="C35" t="s">
        <v>1881</v>
      </c>
      <c r="D35">
        <v>-8</v>
      </c>
    </row>
    <row r="36" spans="1:4" x14ac:dyDescent="0.25">
      <c r="A36" t="s">
        <v>80</v>
      </c>
      <c r="B36" t="s">
        <v>566</v>
      </c>
      <c r="C36" t="s">
        <v>606</v>
      </c>
      <c r="D36">
        <v>-6</v>
      </c>
    </row>
    <row r="37" spans="1:4" x14ac:dyDescent="0.25">
      <c r="A37" t="s">
        <v>80</v>
      </c>
      <c r="B37" t="s">
        <v>759</v>
      </c>
      <c r="C37" t="s">
        <v>68</v>
      </c>
      <c r="D37">
        <v>-5</v>
      </c>
    </row>
    <row r="38" spans="1:4" x14ac:dyDescent="0.25">
      <c r="A38" t="s">
        <v>80</v>
      </c>
      <c r="B38" t="s">
        <v>277</v>
      </c>
      <c r="C38" t="s">
        <v>1718</v>
      </c>
      <c r="D38">
        <v>-2</v>
      </c>
    </row>
    <row r="39" spans="1:4" x14ac:dyDescent="0.25">
      <c r="A39" t="s">
        <v>80</v>
      </c>
      <c r="B39" t="s">
        <v>1498</v>
      </c>
      <c r="C39" t="s">
        <v>2875</v>
      </c>
      <c r="D39">
        <v>-4</v>
      </c>
    </row>
    <row r="40" spans="1:4" x14ac:dyDescent="0.25">
      <c r="A40" t="s">
        <v>80</v>
      </c>
      <c r="B40" t="s">
        <v>802</v>
      </c>
      <c r="C40" t="s">
        <v>731</v>
      </c>
      <c r="D40">
        <v>-2</v>
      </c>
    </row>
    <row r="41" spans="1:4" x14ac:dyDescent="0.25">
      <c r="A41" t="s">
        <v>80</v>
      </c>
      <c r="B41" t="s">
        <v>870</v>
      </c>
      <c r="C41" t="s">
        <v>2304</v>
      </c>
      <c r="D41">
        <v>0</v>
      </c>
    </row>
    <row r="42" spans="1:4" x14ac:dyDescent="0.25">
      <c r="A42" t="s">
        <v>80</v>
      </c>
      <c r="B42" t="s">
        <v>1228</v>
      </c>
      <c r="C42" t="s">
        <v>4064</v>
      </c>
      <c r="D42">
        <v>-2</v>
      </c>
    </row>
    <row r="43" spans="1:4" x14ac:dyDescent="0.25">
      <c r="A43" t="s">
        <v>80</v>
      </c>
      <c r="B43" t="s">
        <v>101</v>
      </c>
      <c r="C43" t="s">
        <v>2133</v>
      </c>
      <c r="D43">
        <v>-5</v>
      </c>
    </row>
    <row r="44" spans="1:4" x14ac:dyDescent="0.25">
      <c r="A44" t="s">
        <v>80</v>
      </c>
      <c r="B44" t="s">
        <v>729</v>
      </c>
      <c r="C44" t="s">
        <v>2134</v>
      </c>
      <c r="D44">
        <v>-2</v>
      </c>
    </row>
    <row r="45" spans="1:4" x14ac:dyDescent="0.25">
      <c r="A45" t="s">
        <v>80</v>
      </c>
      <c r="B45" t="s">
        <v>108</v>
      </c>
      <c r="C45" t="s">
        <v>3575</v>
      </c>
      <c r="D45">
        <v>-4</v>
      </c>
    </row>
    <row r="46" spans="1:4" x14ac:dyDescent="0.25">
      <c r="A46" t="s">
        <v>80</v>
      </c>
      <c r="B46" t="s">
        <v>1312</v>
      </c>
      <c r="C46" t="s">
        <v>818</v>
      </c>
      <c r="D46">
        <v>-6</v>
      </c>
    </row>
    <row r="47" spans="1:4" x14ac:dyDescent="0.25">
      <c r="A47" t="s">
        <v>80</v>
      </c>
      <c r="B47" t="s">
        <v>2317</v>
      </c>
      <c r="C47" t="s">
        <v>820</v>
      </c>
      <c r="D47">
        <v>-8</v>
      </c>
    </row>
    <row r="48" spans="1:4" x14ac:dyDescent="0.25">
      <c r="A48" t="s">
        <v>80</v>
      </c>
      <c r="B48" t="s">
        <v>1050</v>
      </c>
      <c r="C48" t="s">
        <v>4252</v>
      </c>
      <c r="D48">
        <v>-10</v>
      </c>
    </row>
    <row r="49" spans="1:4" x14ac:dyDescent="0.25">
      <c r="A49" t="s">
        <v>80</v>
      </c>
      <c r="B49" t="s">
        <v>298</v>
      </c>
      <c r="C49" t="s">
        <v>3595</v>
      </c>
      <c r="D49">
        <v>-12</v>
      </c>
    </row>
    <row r="50" spans="1:4" x14ac:dyDescent="0.25">
      <c r="A50" t="s">
        <v>80</v>
      </c>
      <c r="B50" t="s">
        <v>36</v>
      </c>
      <c r="C50" t="s">
        <v>825</v>
      </c>
      <c r="D50">
        <v>-9</v>
      </c>
    </row>
    <row r="51" spans="1:4" x14ac:dyDescent="0.25">
      <c r="A51" t="s">
        <v>123</v>
      </c>
      <c r="B51" t="s">
        <v>325</v>
      </c>
      <c r="C51" t="s">
        <v>4253</v>
      </c>
      <c r="D51">
        <v>-12</v>
      </c>
    </row>
    <row r="52" spans="1:4" x14ac:dyDescent="0.25">
      <c r="A52" t="s">
        <v>123</v>
      </c>
      <c r="B52" t="s">
        <v>398</v>
      </c>
      <c r="C52" t="s">
        <v>830</v>
      </c>
      <c r="D52">
        <v>-9</v>
      </c>
    </row>
    <row r="53" spans="1:4" x14ac:dyDescent="0.25">
      <c r="A53" t="s">
        <v>123</v>
      </c>
      <c r="B53" t="s">
        <v>172</v>
      </c>
      <c r="C53" t="s">
        <v>4116</v>
      </c>
      <c r="D53">
        <v>-11</v>
      </c>
    </row>
    <row r="54" spans="1:4" x14ac:dyDescent="0.25">
      <c r="A54" t="s">
        <v>123</v>
      </c>
      <c r="B54" t="s">
        <v>1411</v>
      </c>
      <c r="C54" t="s">
        <v>3601</v>
      </c>
      <c r="D54">
        <v>-14</v>
      </c>
    </row>
    <row r="55" spans="1:4" x14ac:dyDescent="0.25">
      <c r="A55" t="s">
        <v>123</v>
      </c>
      <c r="B55" t="s">
        <v>916</v>
      </c>
      <c r="C55" t="s">
        <v>3602</v>
      </c>
      <c r="D55">
        <v>-11</v>
      </c>
    </row>
    <row r="56" spans="1:4" x14ac:dyDescent="0.25">
      <c r="A56" t="s">
        <v>123</v>
      </c>
      <c r="B56" t="s">
        <v>259</v>
      </c>
      <c r="C56" t="s">
        <v>3985</v>
      </c>
      <c r="D56">
        <v>-9</v>
      </c>
    </row>
    <row r="57" spans="1:4" x14ac:dyDescent="0.25">
      <c r="A57" t="s">
        <v>123</v>
      </c>
      <c r="B57" t="s">
        <v>2266</v>
      </c>
      <c r="C57" t="s">
        <v>2572</v>
      </c>
      <c r="D57">
        <v>-11</v>
      </c>
    </row>
    <row r="58" spans="1:4" x14ac:dyDescent="0.25">
      <c r="A58" t="s">
        <v>123</v>
      </c>
      <c r="B58" t="s">
        <v>726</v>
      </c>
      <c r="C58" t="s">
        <v>3629</v>
      </c>
      <c r="D58">
        <v>-10</v>
      </c>
    </row>
    <row r="59" spans="1:4" x14ac:dyDescent="0.25">
      <c r="A59" t="s">
        <v>123</v>
      </c>
      <c r="B59" t="s">
        <v>1288</v>
      </c>
      <c r="C59" t="s">
        <v>4254</v>
      </c>
      <c r="D59">
        <v>-13</v>
      </c>
    </row>
    <row r="60" spans="1:4" x14ac:dyDescent="0.25">
      <c r="A60" t="s">
        <v>123</v>
      </c>
      <c r="B60" t="s">
        <v>746</v>
      </c>
      <c r="C60" t="s">
        <v>3988</v>
      </c>
      <c r="D60">
        <v>-11</v>
      </c>
    </row>
    <row r="61" spans="1:4" x14ac:dyDescent="0.25">
      <c r="A61" t="s">
        <v>123</v>
      </c>
      <c r="B61" t="s">
        <v>746</v>
      </c>
      <c r="C61" t="s">
        <v>3989</v>
      </c>
      <c r="D61">
        <v>-10</v>
      </c>
    </row>
    <row r="62" spans="1:4" x14ac:dyDescent="0.25">
      <c r="A62" t="s">
        <v>123</v>
      </c>
      <c r="B62" t="s">
        <v>285</v>
      </c>
      <c r="C62" t="s">
        <v>125</v>
      </c>
      <c r="D62">
        <v>-9</v>
      </c>
    </row>
    <row r="63" spans="1:4" x14ac:dyDescent="0.25">
      <c r="A63" t="s">
        <v>123</v>
      </c>
      <c r="B63" t="s">
        <v>288</v>
      </c>
      <c r="C63" t="s">
        <v>4120</v>
      </c>
      <c r="D63">
        <v>-11</v>
      </c>
    </row>
    <row r="64" spans="1:4" x14ac:dyDescent="0.25">
      <c r="A64" t="s">
        <v>123</v>
      </c>
      <c r="B64" t="s">
        <v>2048</v>
      </c>
      <c r="C64" t="s">
        <v>3564</v>
      </c>
      <c r="D64">
        <v>-10</v>
      </c>
    </row>
    <row r="65" spans="1:4" x14ac:dyDescent="0.25">
      <c r="A65" t="s">
        <v>123</v>
      </c>
      <c r="B65" t="s">
        <v>2048</v>
      </c>
      <c r="C65" t="s">
        <v>129</v>
      </c>
      <c r="D65">
        <v>-9</v>
      </c>
    </row>
    <row r="66" spans="1:4" x14ac:dyDescent="0.25">
      <c r="A66" t="s">
        <v>123</v>
      </c>
      <c r="B66" t="s">
        <v>444</v>
      </c>
      <c r="C66" t="s">
        <v>3565</v>
      </c>
      <c r="D66">
        <v>-8</v>
      </c>
    </row>
    <row r="67" spans="1:4" x14ac:dyDescent="0.25">
      <c r="A67" t="s">
        <v>123</v>
      </c>
      <c r="B67" t="s">
        <v>788</v>
      </c>
      <c r="C67" t="s">
        <v>3976</v>
      </c>
      <c r="D67">
        <v>-7</v>
      </c>
    </row>
    <row r="68" spans="1:4" x14ac:dyDescent="0.25">
      <c r="A68" t="s">
        <v>123</v>
      </c>
      <c r="B68" t="s">
        <v>927</v>
      </c>
      <c r="C68" t="s">
        <v>3977</v>
      </c>
      <c r="D68">
        <v>-5</v>
      </c>
    </row>
    <row r="69" spans="1:4" x14ac:dyDescent="0.25">
      <c r="A69" t="s">
        <v>123</v>
      </c>
      <c r="B69" t="s">
        <v>1261</v>
      </c>
      <c r="C69" t="s">
        <v>2422</v>
      </c>
      <c r="D69">
        <v>-3</v>
      </c>
    </row>
    <row r="70" spans="1:4" x14ac:dyDescent="0.25">
      <c r="A70" t="s">
        <v>123</v>
      </c>
      <c r="B70" t="s">
        <v>770</v>
      </c>
      <c r="C70" t="s">
        <v>2313</v>
      </c>
      <c r="D70">
        <v>-4</v>
      </c>
    </row>
    <row r="71" spans="1:4" x14ac:dyDescent="0.25">
      <c r="A71" t="s">
        <v>123</v>
      </c>
      <c r="B71" t="s">
        <v>508</v>
      </c>
      <c r="C71" t="s">
        <v>2969</v>
      </c>
      <c r="D71">
        <v>-5</v>
      </c>
    </row>
    <row r="72" spans="1:4" x14ac:dyDescent="0.25">
      <c r="A72" t="s">
        <v>123</v>
      </c>
      <c r="B72" t="s">
        <v>584</v>
      </c>
      <c r="C72" t="s">
        <v>3032</v>
      </c>
      <c r="D72">
        <v>-2</v>
      </c>
    </row>
    <row r="73" spans="1:4" x14ac:dyDescent="0.25">
      <c r="A73" t="s">
        <v>123</v>
      </c>
      <c r="B73" t="s">
        <v>38</v>
      </c>
      <c r="C73" t="s">
        <v>515</v>
      </c>
      <c r="D73">
        <v>-3</v>
      </c>
    </row>
    <row r="74" spans="1:4" x14ac:dyDescent="0.25">
      <c r="A74" t="s">
        <v>123</v>
      </c>
      <c r="B74" t="s">
        <v>38</v>
      </c>
      <c r="C74" t="s">
        <v>2241</v>
      </c>
      <c r="D74">
        <v>-4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-4.3835616438356162</v>
      </c>
    </row>
    <row r="78" spans="1:4" x14ac:dyDescent="0.25">
      <c r="A78" t="s">
        <v>159</v>
      </c>
      <c r="D78">
        <f>MAX(D2:D74)</f>
        <v>4</v>
      </c>
    </row>
    <row r="79" spans="1:4" x14ac:dyDescent="0.25">
      <c r="A79" t="s">
        <v>160</v>
      </c>
      <c r="D79">
        <f>MIN(D2:D74)</f>
        <v>-14</v>
      </c>
    </row>
    <row r="80" spans="1:4" x14ac:dyDescent="0.25">
      <c r="A80" t="s">
        <v>161</v>
      </c>
      <c r="D80">
        <f>COUNTIF(D2:D74,"&gt;0")</f>
        <v>13</v>
      </c>
    </row>
    <row r="81" spans="1:4" x14ac:dyDescent="0.25">
      <c r="A81" t="s">
        <v>162</v>
      </c>
      <c r="D81">
        <f>COUNTIF(D2:D74,"=0")</f>
        <v>4</v>
      </c>
    </row>
    <row r="82" spans="1:4" x14ac:dyDescent="0.25">
      <c r="A82" t="s">
        <v>1570</v>
      </c>
      <c r="D82">
        <f>COUNTIF(D2:D74,"&lt;0")</f>
        <v>56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AVERAGE(D2,D3,D4,D5,D6,D7,D8,D9,D10,D11,D12,D13,D14,D15)</f>
        <v>-3.3571428571428572</v>
      </c>
    </row>
    <row r="86" spans="1:4" x14ac:dyDescent="0.25">
      <c r="A86" t="s">
        <v>166</v>
      </c>
      <c r="D86">
        <f>AVERAGE(D16,D17,D18,D19,D20,D21,D22,D23,D24,D25,D26,D27,D28,D29,D30,D31)</f>
        <v>1.5</v>
      </c>
    </row>
    <row r="87" spans="1:4" x14ac:dyDescent="0.25">
      <c r="A87" t="s">
        <v>167</v>
      </c>
      <c r="D87">
        <f>AVERAGE(D32,D33,D34,D35,D36,D37,D38,D39,D40,D41,D42,D43,D44,D45,D46,D47,D48,D49,D50)</f>
        <v>-5.0526315789473681</v>
      </c>
    </row>
    <row r="88" spans="1:4" x14ac:dyDescent="0.25">
      <c r="A88" t="s">
        <v>168</v>
      </c>
      <c r="D88">
        <f>AVERAGE(D51,D52,D53,D54,D55,D56,D57,D58,D59,D60,D61,D62,D63,D64,D65,D66,D67,D68,D69,D70,D71,D72,D73,D74)</f>
        <v>-8.375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1704</v>
      </c>
      <c r="C2" t="s">
        <v>171</v>
      </c>
      <c r="D2">
        <v>3</v>
      </c>
    </row>
    <row r="3" spans="1:4" x14ac:dyDescent="0.25">
      <c r="A3" t="s">
        <v>4</v>
      </c>
      <c r="B3" t="s">
        <v>565</v>
      </c>
      <c r="C3" t="s">
        <v>1572</v>
      </c>
      <c r="D3">
        <v>5</v>
      </c>
    </row>
    <row r="4" spans="1:4" x14ac:dyDescent="0.25">
      <c r="A4" t="s">
        <v>4</v>
      </c>
      <c r="B4" t="s">
        <v>693</v>
      </c>
      <c r="C4" t="s">
        <v>2643</v>
      </c>
      <c r="D4">
        <v>7</v>
      </c>
    </row>
    <row r="5" spans="1:4" x14ac:dyDescent="0.25">
      <c r="A5" t="s">
        <v>4</v>
      </c>
      <c r="B5" t="s">
        <v>250</v>
      </c>
      <c r="C5" t="s">
        <v>2592</v>
      </c>
      <c r="D5">
        <v>5</v>
      </c>
    </row>
    <row r="6" spans="1:4" x14ac:dyDescent="0.25">
      <c r="A6" t="s">
        <v>4</v>
      </c>
      <c r="B6" t="s">
        <v>494</v>
      </c>
      <c r="C6" t="s">
        <v>1348</v>
      </c>
      <c r="D6">
        <v>3</v>
      </c>
    </row>
    <row r="7" spans="1:4" x14ac:dyDescent="0.25">
      <c r="A7" t="s">
        <v>4</v>
      </c>
      <c r="B7" t="s">
        <v>1065</v>
      </c>
      <c r="C7" t="s">
        <v>311</v>
      </c>
      <c r="D7">
        <v>1</v>
      </c>
    </row>
    <row r="8" spans="1:4" x14ac:dyDescent="0.25">
      <c r="A8" t="s">
        <v>4</v>
      </c>
      <c r="B8" t="s">
        <v>219</v>
      </c>
      <c r="C8" t="s">
        <v>434</v>
      </c>
      <c r="D8">
        <v>-1</v>
      </c>
    </row>
    <row r="9" spans="1:4" x14ac:dyDescent="0.25">
      <c r="A9" t="s">
        <v>4</v>
      </c>
      <c r="B9" t="s">
        <v>221</v>
      </c>
      <c r="C9" t="s">
        <v>3087</v>
      </c>
      <c r="D9">
        <v>1</v>
      </c>
    </row>
    <row r="10" spans="1:4" x14ac:dyDescent="0.25">
      <c r="A10" t="s">
        <v>4</v>
      </c>
      <c r="B10" t="s">
        <v>764</v>
      </c>
      <c r="C10" t="s">
        <v>438</v>
      </c>
      <c r="D10">
        <v>-1</v>
      </c>
    </row>
    <row r="11" spans="1:4" x14ac:dyDescent="0.25">
      <c r="A11" t="s">
        <v>4</v>
      </c>
      <c r="B11" t="s">
        <v>524</v>
      </c>
      <c r="C11" t="s">
        <v>1433</v>
      </c>
      <c r="D11">
        <v>-3</v>
      </c>
    </row>
    <row r="12" spans="1:4" x14ac:dyDescent="0.25">
      <c r="A12" t="s">
        <v>4</v>
      </c>
      <c r="B12" t="s">
        <v>546</v>
      </c>
      <c r="C12" t="s">
        <v>575</v>
      </c>
      <c r="D12">
        <v>-1</v>
      </c>
    </row>
    <row r="13" spans="1:4" x14ac:dyDescent="0.25">
      <c r="A13" t="s">
        <v>4</v>
      </c>
      <c r="B13" t="s">
        <v>1402</v>
      </c>
      <c r="C13" t="s">
        <v>441</v>
      </c>
      <c r="D13">
        <v>-2</v>
      </c>
    </row>
    <row r="14" spans="1:4" x14ac:dyDescent="0.25">
      <c r="A14" t="s">
        <v>4</v>
      </c>
      <c r="B14" t="s">
        <v>1402</v>
      </c>
      <c r="C14" t="s">
        <v>2326</v>
      </c>
      <c r="D14">
        <v>-3</v>
      </c>
    </row>
    <row r="15" spans="1:4" x14ac:dyDescent="0.25">
      <c r="A15" t="s">
        <v>4</v>
      </c>
      <c r="B15" t="s">
        <v>120</v>
      </c>
      <c r="C15" t="s">
        <v>2119</v>
      </c>
      <c r="D15">
        <v>-2</v>
      </c>
    </row>
    <row r="16" spans="1:4" x14ac:dyDescent="0.25">
      <c r="A16" t="s">
        <v>4</v>
      </c>
      <c r="B16" t="s">
        <v>120</v>
      </c>
      <c r="C16" t="s">
        <v>1435</v>
      </c>
      <c r="D16">
        <v>-1</v>
      </c>
    </row>
    <row r="17" spans="1:4" x14ac:dyDescent="0.25">
      <c r="A17" t="s">
        <v>4</v>
      </c>
      <c r="B17" t="s">
        <v>537</v>
      </c>
      <c r="C17" t="s">
        <v>1504</v>
      </c>
      <c r="D17">
        <v>-4</v>
      </c>
    </row>
    <row r="18" spans="1:4" x14ac:dyDescent="0.25">
      <c r="A18" t="s">
        <v>40</v>
      </c>
      <c r="B18" t="s">
        <v>1208</v>
      </c>
      <c r="C18" t="s">
        <v>1505</v>
      </c>
      <c r="D18">
        <v>-2</v>
      </c>
    </row>
    <row r="19" spans="1:4" x14ac:dyDescent="0.25">
      <c r="A19" t="s">
        <v>40</v>
      </c>
      <c r="B19" t="s">
        <v>1929</v>
      </c>
      <c r="C19" t="s">
        <v>1820</v>
      </c>
      <c r="D19">
        <v>0</v>
      </c>
    </row>
    <row r="20" spans="1:4" x14ac:dyDescent="0.25">
      <c r="A20" t="s">
        <v>40</v>
      </c>
      <c r="B20" t="s">
        <v>1929</v>
      </c>
      <c r="C20" t="s">
        <v>2122</v>
      </c>
      <c r="D20">
        <v>1</v>
      </c>
    </row>
    <row r="21" spans="1:4" x14ac:dyDescent="0.25">
      <c r="A21" t="s">
        <v>40</v>
      </c>
      <c r="B21" t="s">
        <v>205</v>
      </c>
      <c r="C21" t="s">
        <v>450</v>
      </c>
      <c r="D21">
        <v>3</v>
      </c>
    </row>
    <row r="22" spans="1:4" x14ac:dyDescent="0.25">
      <c r="A22" t="s">
        <v>40</v>
      </c>
      <c r="B22" t="s">
        <v>1057</v>
      </c>
      <c r="C22" t="s">
        <v>2480</v>
      </c>
      <c r="D22">
        <v>4</v>
      </c>
    </row>
    <row r="23" spans="1:4" x14ac:dyDescent="0.25">
      <c r="A23" t="s">
        <v>40</v>
      </c>
      <c r="B23" t="s">
        <v>719</v>
      </c>
      <c r="C23" t="s">
        <v>1822</v>
      </c>
      <c r="D23">
        <v>2</v>
      </c>
    </row>
    <row r="24" spans="1:4" x14ac:dyDescent="0.25">
      <c r="A24" t="s">
        <v>40</v>
      </c>
      <c r="B24" t="s">
        <v>719</v>
      </c>
      <c r="C24" t="s">
        <v>711</v>
      </c>
      <c r="D24">
        <v>1</v>
      </c>
    </row>
    <row r="25" spans="1:4" x14ac:dyDescent="0.25">
      <c r="A25" t="s">
        <v>40</v>
      </c>
      <c r="B25" t="s">
        <v>1666</v>
      </c>
      <c r="C25" t="s">
        <v>2265</v>
      </c>
      <c r="D25">
        <v>-1</v>
      </c>
    </row>
    <row r="26" spans="1:4" x14ac:dyDescent="0.25">
      <c r="A26" t="s">
        <v>40</v>
      </c>
      <c r="B26" t="s">
        <v>2152</v>
      </c>
      <c r="C26" t="s">
        <v>1751</v>
      </c>
      <c r="D26">
        <v>2</v>
      </c>
    </row>
    <row r="27" spans="1:4" x14ac:dyDescent="0.25">
      <c r="A27" t="s">
        <v>40</v>
      </c>
      <c r="B27" t="s">
        <v>1824</v>
      </c>
      <c r="C27" t="s">
        <v>2330</v>
      </c>
      <c r="D27">
        <v>-1</v>
      </c>
    </row>
    <row r="28" spans="1:4" x14ac:dyDescent="0.25">
      <c r="A28" t="s">
        <v>40</v>
      </c>
      <c r="B28" t="s">
        <v>1549</v>
      </c>
      <c r="C28" t="s">
        <v>4074</v>
      </c>
      <c r="D28">
        <v>-3</v>
      </c>
    </row>
    <row r="29" spans="1:4" x14ac:dyDescent="0.25">
      <c r="A29" t="s">
        <v>40</v>
      </c>
      <c r="B29" t="s">
        <v>1284</v>
      </c>
      <c r="C29" t="s">
        <v>1879</v>
      </c>
      <c r="D29">
        <v>-5</v>
      </c>
    </row>
    <row r="30" spans="1:4" x14ac:dyDescent="0.25">
      <c r="A30" t="s">
        <v>40</v>
      </c>
      <c r="B30" t="s">
        <v>1724</v>
      </c>
      <c r="C30" t="s">
        <v>1715</v>
      </c>
      <c r="D30">
        <v>-3</v>
      </c>
    </row>
    <row r="31" spans="1:4" x14ac:dyDescent="0.25">
      <c r="A31" t="s">
        <v>40</v>
      </c>
      <c r="B31" t="s">
        <v>437</v>
      </c>
      <c r="C31" t="s">
        <v>59</v>
      </c>
      <c r="D31">
        <v>-1</v>
      </c>
    </row>
    <row r="32" spans="1:4" x14ac:dyDescent="0.25">
      <c r="A32" t="s">
        <v>40</v>
      </c>
      <c r="B32" t="s">
        <v>600</v>
      </c>
      <c r="C32" t="s">
        <v>61</v>
      </c>
      <c r="D32">
        <v>-3</v>
      </c>
    </row>
    <row r="33" spans="1:4" x14ac:dyDescent="0.25">
      <c r="A33" t="s">
        <v>40</v>
      </c>
      <c r="B33" t="s">
        <v>376</v>
      </c>
      <c r="C33" t="s">
        <v>1514</v>
      </c>
      <c r="D33">
        <v>-2</v>
      </c>
    </row>
    <row r="34" spans="1:4" x14ac:dyDescent="0.25">
      <c r="A34" t="s">
        <v>40</v>
      </c>
      <c r="B34" t="s">
        <v>376</v>
      </c>
      <c r="C34" t="s">
        <v>63</v>
      </c>
      <c r="D34">
        <v>-1</v>
      </c>
    </row>
    <row r="35" spans="1:4" x14ac:dyDescent="0.25">
      <c r="A35" t="s">
        <v>40</v>
      </c>
      <c r="B35" t="s">
        <v>192</v>
      </c>
      <c r="C35" t="s">
        <v>66</v>
      </c>
      <c r="D35">
        <v>-3</v>
      </c>
    </row>
    <row r="36" spans="1:4" x14ac:dyDescent="0.25">
      <c r="A36" t="s">
        <v>40</v>
      </c>
      <c r="B36" t="s">
        <v>1040</v>
      </c>
      <c r="C36" t="s">
        <v>1756</v>
      </c>
      <c r="D36">
        <v>-1</v>
      </c>
    </row>
    <row r="37" spans="1:4" x14ac:dyDescent="0.25">
      <c r="A37" t="s">
        <v>40</v>
      </c>
      <c r="B37" t="s">
        <v>1217</v>
      </c>
      <c r="C37" t="s">
        <v>4002</v>
      </c>
      <c r="D37">
        <v>0</v>
      </c>
    </row>
    <row r="38" spans="1:4" x14ac:dyDescent="0.25">
      <c r="A38" t="s">
        <v>40</v>
      </c>
      <c r="B38" t="s">
        <v>1217</v>
      </c>
      <c r="C38" t="s">
        <v>351</v>
      </c>
      <c r="D38">
        <v>1</v>
      </c>
    </row>
    <row r="39" spans="1:4" x14ac:dyDescent="0.25">
      <c r="A39" t="s">
        <v>40</v>
      </c>
      <c r="B39" t="s">
        <v>1398</v>
      </c>
      <c r="C39" t="s">
        <v>1828</v>
      </c>
      <c r="D39">
        <v>-2</v>
      </c>
    </row>
    <row r="40" spans="1:4" x14ac:dyDescent="0.25">
      <c r="A40" t="s">
        <v>40</v>
      </c>
      <c r="B40" t="s">
        <v>1874</v>
      </c>
      <c r="C40" t="s">
        <v>232</v>
      </c>
      <c r="D40">
        <v>0</v>
      </c>
    </row>
    <row r="41" spans="1:4" x14ac:dyDescent="0.25">
      <c r="A41" t="s">
        <v>40</v>
      </c>
      <c r="B41" t="s">
        <v>1489</v>
      </c>
      <c r="C41" t="s">
        <v>1518</v>
      </c>
      <c r="D41">
        <v>-1</v>
      </c>
    </row>
    <row r="42" spans="1:4" x14ac:dyDescent="0.25">
      <c r="A42" t="s">
        <v>40</v>
      </c>
      <c r="B42" t="s">
        <v>1489</v>
      </c>
      <c r="C42" t="s">
        <v>2763</v>
      </c>
      <c r="D42">
        <v>-2</v>
      </c>
    </row>
    <row r="43" spans="1:4" x14ac:dyDescent="0.25">
      <c r="A43" t="s">
        <v>80</v>
      </c>
      <c r="B43" t="s">
        <v>1024</v>
      </c>
      <c r="C43" t="s">
        <v>3574</v>
      </c>
      <c r="D43">
        <v>0</v>
      </c>
    </row>
    <row r="44" spans="1:4" x14ac:dyDescent="0.25">
      <c r="A44" t="s">
        <v>80</v>
      </c>
      <c r="B44" t="s">
        <v>487</v>
      </c>
      <c r="C44" t="s">
        <v>238</v>
      </c>
      <c r="D44">
        <v>-2</v>
      </c>
    </row>
    <row r="45" spans="1:4" x14ac:dyDescent="0.25">
      <c r="A45" t="s">
        <v>80</v>
      </c>
      <c r="B45" t="s">
        <v>859</v>
      </c>
      <c r="C45" t="s">
        <v>1722</v>
      </c>
      <c r="D45">
        <v>-1</v>
      </c>
    </row>
    <row r="46" spans="1:4" x14ac:dyDescent="0.25">
      <c r="A46" t="s">
        <v>80</v>
      </c>
      <c r="B46" t="s">
        <v>859</v>
      </c>
      <c r="C46" t="s">
        <v>733</v>
      </c>
      <c r="D46">
        <v>0</v>
      </c>
    </row>
    <row r="47" spans="1:4" x14ac:dyDescent="0.25">
      <c r="A47" t="s">
        <v>80</v>
      </c>
      <c r="B47" t="s">
        <v>1190</v>
      </c>
      <c r="C47" t="s">
        <v>2134</v>
      </c>
      <c r="D47">
        <v>-2</v>
      </c>
    </row>
    <row r="48" spans="1:4" x14ac:dyDescent="0.25">
      <c r="A48" t="s">
        <v>80</v>
      </c>
      <c r="B48" t="s">
        <v>723</v>
      </c>
      <c r="C48" t="s">
        <v>245</v>
      </c>
      <c r="D48">
        <v>0</v>
      </c>
    </row>
    <row r="49" spans="1:4" x14ac:dyDescent="0.25">
      <c r="A49" t="s">
        <v>80</v>
      </c>
      <c r="B49" t="s">
        <v>590</v>
      </c>
      <c r="C49" t="s">
        <v>365</v>
      </c>
      <c r="D49">
        <v>2</v>
      </c>
    </row>
    <row r="50" spans="1:4" x14ac:dyDescent="0.25">
      <c r="A50" t="s">
        <v>80</v>
      </c>
      <c r="B50" t="s">
        <v>1529</v>
      </c>
      <c r="C50" t="s">
        <v>367</v>
      </c>
      <c r="D50">
        <v>0</v>
      </c>
    </row>
    <row r="51" spans="1:4" x14ac:dyDescent="0.25">
      <c r="A51" t="s">
        <v>80</v>
      </c>
      <c r="B51" t="s">
        <v>1533</v>
      </c>
      <c r="C51" t="s">
        <v>2415</v>
      </c>
      <c r="D51">
        <v>-2</v>
      </c>
    </row>
    <row r="52" spans="1:4" x14ac:dyDescent="0.25">
      <c r="A52" t="s">
        <v>80</v>
      </c>
      <c r="B52" t="s">
        <v>1442</v>
      </c>
      <c r="C52" t="s">
        <v>2310</v>
      </c>
      <c r="D52">
        <v>0</v>
      </c>
    </row>
    <row r="53" spans="1:4" x14ac:dyDescent="0.25">
      <c r="A53" t="s">
        <v>80</v>
      </c>
      <c r="B53" t="s">
        <v>1217</v>
      </c>
      <c r="C53" t="s">
        <v>373</v>
      </c>
      <c r="D53">
        <v>3</v>
      </c>
    </row>
    <row r="54" spans="1:4" x14ac:dyDescent="0.25">
      <c r="A54" t="s">
        <v>80</v>
      </c>
      <c r="B54" t="s">
        <v>386</v>
      </c>
      <c r="C54" t="s">
        <v>375</v>
      </c>
      <c r="D54">
        <v>1</v>
      </c>
    </row>
    <row r="55" spans="1:4" x14ac:dyDescent="0.25">
      <c r="A55" t="s">
        <v>80</v>
      </c>
      <c r="B55" t="s">
        <v>1422</v>
      </c>
      <c r="C55" t="s">
        <v>2727</v>
      </c>
      <c r="D55">
        <v>4</v>
      </c>
    </row>
    <row r="56" spans="1:4" x14ac:dyDescent="0.25">
      <c r="A56" t="s">
        <v>80</v>
      </c>
      <c r="B56" t="s">
        <v>1843</v>
      </c>
      <c r="C56" t="s">
        <v>379</v>
      </c>
      <c r="D56">
        <v>1</v>
      </c>
    </row>
    <row r="57" spans="1:4" x14ac:dyDescent="0.25">
      <c r="A57" t="s">
        <v>80</v>
      </c>
      <c r="B57" t="s">
        <v>2608</v>
      </c>
      <c r="C57" t="s">
        <v>3030</v>
      </c>
      <c r="D57">
        <v>3</v>
      </c>
    </row>
    <row r="58" spans="1:4" x14ac:dyDescent="0.25">
      <c r="A58" t="s">
        <v>80</v>
      </c>
      <c r="B58" t="s">
        <v>301</v>
      </c>
      <c r="C58" t="s">
        <v>2175</v>
      </c>
      <c r="D58">
        <v>6</v>
      </c>
    </row>
    <row r="59" spans="1:4" x14ac:dyDescent="0.25">
      <c r="A59" t="s">
        <v>123</v>
      </c>
      <c r="B59" t="s">
        <v>2419</v>
      </c>
      <c r="C59" t="s">
        <v>2177</v>
      </c>
      <c r="D59">
        <v>4</v>
      </c>
    </row>
    <row r="60" spans="1:4" x14ac:dyDescent="0.25">
      <c r="A60" t="s">
        <v>123</v>
      </c>
      <c r="B60" t="s">
        <v>325</v>
      </c>
      <c r="C60" t="s">
        <v>3982</v>
      </c>
      <c r="D60">
        <v>6</v>
      </c>
    </row>
    <row r="61" spans="1:4" x14ac:dyDescent="0.25">
      <c r="A61" t="s">
        <v>123</v>
      </c>
      <c r="B61" t="s">
        <v>2151</v>
      </c>
      <c r="C61" t="s">
        <v>1688</v>
      </c>
      <c r="D61">
        <v>8</v>
      </c>
    </row>
    <row r="62" spans="1:4" x14ac:dyDescent="0.25">
      <c r="A62" t="s">
        <v>123</v>
      </c>
      <c r="B62" t="s">
        <v>1768</v>
      </c>
      <c r="C62" t="s">
        <v>4255</v>
      </c>
      <c r="D62">
        <v>11</v>
      </c>
    </row>
    <row r="63" spans="1:4" x14ac:dyDescent="0.25">
      <c r="A63" t="s">
        <v>123</v>
      </c>
      <c r="B63" t="s">
        <v>2118</v>
      </c>
      <c r="C63" t="s">
        <v>2452</v>
      </c>
      <c r="D63">
        <v>9</v>
      </c>
    </row>
    <row r="64" spans="1:4" x14ac:dyDescent="0.25">
      <c r="A64" t="s">
        <v>123</v>
      </c>
      <c r="B64" t="s">
        <v>1693</v>
      </c>
      <c r="C64" t="s">
        <v>1168</v>
      </c>
      <c r="D64">
        <v>7</v>
      </c>
    </row>
    <row r="65" spans="1:4" x14ac:dyDescent="0.25">
      <c r="A65" t="s">
        <v>123</v>
      </c>
      <c r="B65" t="s">
        <v>1105</v>
      </c>
      <c r="C65" t="s">
        <v>1610</v>
      </c>
      <c r="D65">
        <v>5</v>
      </c>
    </row>
    <row r="66" spans="1:4" x14ac:dyDescent="0.25">
      <c r="A66" t="s">
        <v>123</v>
      </c>
      <c r="B66" t="s">
        <v>594</v>
      </c>
      <c r="C66" t="s">
        <v>1611</v>
      </c>
      <c r="D66">
        <v>7</v>
      </c>
    </row>
    <row r="67" spans="1:4" x14ac:dyDescent="0.25">
      <c r="A67" t="s">
        <v>123</v>
      </c>
      <c r="B67" t="s">
        <v>1775</v>
      </c>
      <c r="C67" t="s">
        <v>2183</v>
      </c>
      <c r="D67">
        <v>6</v>
      </c>
    </row>
    <row r="68" spans="1:4" x14ac:dyDescent="0.25">
      <c r="A68" t="s">
        <v>123</v>
      </c>
      <c r="B68" t="s">
        <v>62</v>
      </c>
      <c r="C68" t="s">
        <v>644</v>
      </c>
      <c r="D68">
        <v>4</v>
      </c>
    </row>
    <row r="69" spans="1:4" x14ac:dyDescent="0.25">
      <c r="A69" t="s">
        <v>123</v>
      </c>
      <c r="B69" t="s">
        <v>922</v>
      </c>
      <c r="C69" t="s">
        <v>2185</v>
      </c>
      <c r="D69">
        <v>7</v>
      </c>
    </row>
    <row r="70" spans="1:4" x14ac:dyDescent="0.25">
      <c r="A70" t="s">
        <v>123</v>
      </c>
      <c r="B70" t="s">
        <v>1153</v>
      </c>
      <c r="C70" t="s">
        <v>2279</v>
      </c>
      <c r="D70">
        <v>9</v>
      </c>
    </row>
    <row r="71" spans="1:4" x14ac:dyDescent="0.25">
      <c r="A71" t="s">
        <v>123</v>
      </c>
      <c r="B71" t="s">
        <v>544</v>
      </c>
      <c r="C71" t="s">
        <v>3452</v>
      </c>
      <c r="D71">
        <v>7</v>
      </c>
    </row>
    <row r="72" spans="1:4" x14ac:dyDescent="0.25">
      <c r="A72" t="s">
        <v>123</v>
      </c>
      <c r="B72" t="s">
        <v>1312</v>
      </c>
      <c r="C72" t="s">
        <v>763</v>
      </c>
      <c r="D72">
        <v>5</v>
      </c>
    </row>
    <row r="73" spans="1:4" x14ac:dyDescent="0.25">
      <c r="A73" t="s">
        <v>123</v>
      </c>
      <c r="B73" t="s">
        <v>671</v>
      </c>
      <c r="C73" t="s">
        <v>765</v>
      </c>
      <c r="D73">
        <v>7</v>
      </c>
    </row>
    <row r="74" spans="1:4" x14ac:dyDescent="0.25">
      <c r="A74" t="s">
        <v>123</v>
      </c>
      <c r="B74" t="s">
        <v>298</v>
      </c>
      <c r="C74" t="s">
        <v>2996</v>
      </c>
      <c r="D74">
        <v>10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1.5753424657534247</v>
      </c>
    </row>
    <row r="78" spans="1:4" x14ac:dyDescent="0.25">
      <c r="A78" t="s">
        <v>159</v>
      </c>
      <c r="D78">
        <f>MAX(D2:D74)</f>
        <v>11</v>
      </c>
    </row>
    <row r="79" spans="1:4" x14ac:dyDescent="0.25">
      <c r="A79" t="s">
        <v>160</v>
      </c>
      <c r="D79">
        <f>MIN(D2:D74)</f>
        <v>-5</v>
      </c>
    </row>
    <row r="80" spans="1:4" x14ac:dyDescent="0.25">
      <c r="A80" t="s">
        <v>161</v>
      </c>
      <c r="D80">
        <f>COUNTIF(D2:D74,"&gt;0")</f>
        <v>37</v>
      </c>
    </row>
    <row r="81" spans="1:4" x14ac:dyDescent="0.25">
      <c r="A81" t="s">
        <v>162</v>
      </c>
      <c r="D81">
        <f>COUNTIF(D2:D74,"=0")</f>
        <v>8</v>
      </c>
    </row>
    <row r="82" spans="1:4" x14ac:dyDescent="0.25">
      <c r="A82" t="s">
        <v>1264</v>
      </c>
      <c r="D82">
        <f>COUNTIF(D2:D74,"&lt;0")</f>
        <v>28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AVERAGE(D2,D3,D4,D5,D6,D7,D8,D9,D10,D11,D12,D13,D14,D15,D16,D17)</f>
        <v>0.4375</v>
      </c>
    </row>
    <row r="86" spans="1:4" x14ac:dyDescent="0.25">
      <c r="A86" t="s">
        <v>166</v>
      </c>
      <c r="D86">
        <f>AVERAGE(D18,D19,D20,D21,D22,D23,D24,D25,D26,D27,D28,D29,D30,D31,D32,D33,D34,D35,D36,D37,D38,D39,D40,D41,D42)</f>
        <v>-0.68</v>
      </c>
    </row>
    <row r="87" spans="1:4" x14ac:dyDescent="0.25">
      <c r="A87" t="s">
        <v>167</v>
      </c>
      <c r="D87">
        <f>AVERAGE(D43,D44,D45,D46,D47,D48,D49,D50,D51,D52,D53,D54,D55,D56,D57,D58)</f>
        <v>0.8125</v>
      </c>
    </row>
    <row r="88" spans="1:4" x14ac:dyDescent="0.25">
      <c r="A88" t="s">
        <v>168</v>
      </c>
      <c r="D88">
        <f>AVERAGE(D59,D60,D61,D62,D63,D64,D65,D66,D67,D68,D69,D70,D71,D72,D73,D74)</f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4</v>
      </c>
      <c r="B3" t="s">
        <v>1116</v>
      </c>
      <c r="C3" t="s">
        <v>306</v>
      </c>
      <c r="D3">
        <v>-1</v>
      </c>
    </row>
    <row r="4" spans="1:4" x14ac:dyDescent="0.25">
      <c r="A4" t="s">
        <v>4</v>
      </c>
      <c r="B4" t="s">
        <v>1545</v>
      </c>
      <c r="C4" t="s">
        <v>429</v>
      </c>
      <c r="D4">
        <v>2</v>
      </c>
    </row>
    <row r="5" spans="1:4" x14ac:dyDescent="0.25">
      <c r="A5" t="s">
        <v>4</v>
      </c>
      <c r="B5" t="s">
        <v>1851</v>
      </c>
      <c r="C5" t="s">
        <v>2430</v>
      </c>
      <c r="D5">
        <v>0</v>
      </c>
    </row>
    <row r="6" spans="1:4" x14ac:dyDescent="0.25">
      <c r="A6" t="s">
        <v>4</v>
      </c>
      <c r="B6" t="s">
        <v>2074</v>
      </c>
      <c r="C6" t="s">
        <v>1109</v>
      </c>
      <c r="D6">
        <v>-3</v>
      </c>
    </row>
    <row r="7" spans="1:4" x14ac:dyDescent="0.25">
      <c r="A7" t="s">
        <v>4</v>
      </c>
      <c r="B7" t="s">
        <v>275</v>
      </c>
      <c r="C7" t="s">
        <v>20</v>
      </c>
      <c r="D7">
        <v>0</v>
      </c>
    </row>
    <row r="8" spans="1:4" x14ac:dyDescent="0.25">
      <c r="A8" t="s">
        <v>4</v>
      </c>
      <c r="B8" t="s">
        <v>737</v>
      </c>
      <c r="C8" t="s">
        <v>1743</v>
      </c>
      <c r="D8">
        <v>-3</v>
      </c>
    </row>
    <row r="9" spans="1:4" x14ac:dyDescent="0.25">
      <c r="A9" t="s">
        <v>4</v>
      </c>
      <c r="B9" t="s">
        <v>256</v>
      </c>
      <c r="C9" t="s">
        <v>2202</v>
      </c>
      <c r="D9">
        <v>-1</v>
      </c>
    </row>
    <row r="10" spans="1:4" x14ac:dyDescent="0.25">
      <c r="A10" t="s">
        <v>4</v>
      </c>
      <c r="B10" t="s">
        <v>1069</v>
      </c>
      <c r="C10" t="s">
        <v>1501</v>
      </c>
      <c r="D10">
        <v>-4</v>
      </c>
    </row>
    <row r="11" spans="1:4" x14ac:dyDescent="0.25">
      <c r="A11" t="s">
        <v>4</v>
      </c>
      <c r="B11" t="s">
        <v>184</v>
      </c>
      <c r="C11" t="s">
        <v>2119</v>
      </c>
      <c r="D11">
        <v>-2</v>
      </c>
    </row>
    <row r="12" spans="1:4" x14ac:dyDescent="0.25">
      <c r="A12" t="s">
        <v>4</v>
      </c>
      <c r="B12" t="s">
        <v>184</v>
      </c>
      <c r="C12" t="s">
        <v>1435</v>
      </c>
      <c r="D12">
        <v>-1</v>
      </c>
    </row>
    <row r="13" spans="1:4" x14ac:dyDescent="0.25">
      <c r="A13" t="s">
        <v>4</v>
      </c>
      <c r="B13" t="s">
        <v>1231</v>
      </c>
      <c r="C13" t="s">
        <v>921</v>
      </c>
      <c r="D13">
        <v>1</v>
      </c>
    </row>
    <row r="14" spans="1:4" x14ac:dyDescent="0.25">
      <c r="A14" t="s">
        <v>4</v>
      </c>
      <c r="B14" t="s">
        <v>1436</v>
      </c>
      <c r="C14" t="s">
        <v>2121</v>
      </c>
      <c r="D14">
        <v>0</v>
      </c>
    </row>
    <row r="15" spans="1:4" x14ac:dyDescent="0.25">
      <c r="A15" t="s">
        <v>4</v>
      </c>
      <c r="B15" t="s">
        <v>1073</v>
      </c>
      <c r="C15" t="s">
        <v>1505</v>
      </c>
      <c r="D15">
        <v>-2</v>
      </c>
    </row>
    <row r="16" spans="1:4" x14ac:dyDescent="0.25">
      <c r="A16" t="s">
        <v>4</v>
      </c>
      <c r="B16" t="s">
        <v>812</v>
      </c>
      <c r="C16" t="s">
        <v>447</v>
      </c>
      <c r="D16">
        <v>-1</v>
      </c>
    </row>
    <row r="17" spans="1:4" x14ac:dyDescent="0.25">
      <c r="A17" t="s">
        <v>4</v>
      </c>
      <c r="B17" t="s">
        <v>1843</v>
      </c>
      <c r="C17" t="s">
        <v>2156</v>
      </c>
      <c r="D17">
        <v>-2</v>
      </c>
    </row>
    <row r="18" spans="1:4" x14ac:dyDescent="0.25">
      <c r="A18" t="s">
        <v>4</v>
      </c>
      <c r="B18" t="s">
        <v>152</v>
      </c>
      <c r="C18" t="s">
        <v>583</v>
      </c>
      <c r="D18">
        <v>1</v>
      </c>
    </row>
    <row r="19" spans="1:4" x14ac:dyDescent="0.25">
      <c r="A19" t="s">
        <v>4</v>
      </c>
      <c r="B19" t="s">
        <v>2042</v>
      </c>
      <c r="C19" t="s">
        <v>1120</v>
      </c>
      <c r="D19">
        <v>4</v>
      </c>
    </row>
    <row r="20" spans="1:4" x14ac:dyDescent="0.25">
      <c r="A20" t="s">
        <v>4</v>
      </c>
      <c r="B20" t="s">
        <v>1135</v>
      </c>
      <c r="C20" t="s">
        <v>586</v>
      </c>
      <c r="D20">
        <v>3</v>
      </c>
    </row>
    <row r="21" spans="1:4" x14ac:dyDescent="0.25">
      <c r="A21" t="s">
        <v>4</v>
      </c>
      <c r="B21" t="s">
        <v>1135</v>
      </c>
      <c r="C21" t="s">
        <v>1121</v>
      </c>
      <c r="D21">
        <v>2</v>
      </c>
    </row>
    <row r="22" spans="1:4" x14ac:dyDescent="0.25">
      <c r="A22" t="s">
        <v>40</v>
      </c>
      <c r="B22" t="s">
        <v>453</v>
      </c>
      <c r="C22" t="s">
        <v>713</v>
      </c>
      <c r="D22">
        <v>5</v>
      </c>
    </row>
    <row r="23" spans="1:4" x14ac:dyDescent="0.25">
      <c r="A23" t="s">
        <v>40</v>
      </c>
      <c r="B23" t="s">
        <v>427</v>
      </c>
      <c r="C23" t="s">
        <v>1123</v>
      </c>
      <c r="D23">
        <v>6</v>
      </c>
    </row>
    <row r="24" spans="1:4" x14ac:dyDescent="0.25">
      <c r="A24" t="s">
        <v>40</v>
      </c>
      <c r="B24" t="s">
        <v>1665</v>
      </c>
      <c r="C24" t="s">
        <v>1752</v>
      </c>
      <c r="D24">
        <v>4</v>
      </c>
    </row>
    <row r="25" spans="1:4" x14ac:dyDescent="0.25">
      <c r="A25" t="s">
        <v>40</v>
      </c>
      <c r="B25" t="s">
        <v>570</v>
      </c>
      <c r="C25" t="s">
        <v>2357</v>
      </c>
      <c r="D25">
        <v>1</v>
      </c>
    </row>
    <row r="26" spans="1:4" x14ac:dyDescent="0.25">
      <c r="A26" t="s">
        <v>40</v>
      </c>
      <c r="B26" t="s">
        <v>648</v>
      </c>
      <c r="C26" t="s">
        <v>1714</v>
      </c>
      <c r="D26">
        <v>-1</v>
      </c>
    </row>
    <row r="27" spans="1:4" x14ac:dyDescent="0.25">
      <c r="A27" t="s">
        <v>40</v>
      </c>
      <c r="B27" t="s">
        <v>804</v>
      </c>
      <c r="C27" t="s">
        <v>2359</v>
      </c>
      <c r="D27">
        <v>2</v>
      </c>
    </row>
    <row r="28" spans="1:4" x14ac:dyDescent="0.25">
      <c r="A28" t="s">
        <v>40</v>
      </c>
      <c r="B28" t="s">
        <v>1475</v>
      </c>
      <c r="C28" t="s">
        <v>1825</v>
      </c>
      <c r="D28">
        <v>0</v>
      </c>
    </row>
    <row r="29" spans="1:4" x14ac:dyDescent="0.25">
      <c r="A29" t="s">
        <v>40</v>
      </c>
      <c r="B29" t="s">
        <v>1475</v>
      </c>
      <c r="C29" t="s">
        <v>2332</v>
      </c>
      <c r="D29">
        <v>-1</v>
      </c>
    </row>
    <row r="30" spans="1:4" x14ac:dyDescent="0.25">
      <c r="A30" t="s">
        <v>40</v>
      </c>
      <c r="B30" t="s">
        <v>598</v>
      </c>
      <c r="C30" t="s">
        <v>1128</v>
      </c>
      <c r="D30">
        <v>1</v>
      </c>
    </row>
    <row r="31" spans="1:4" x14ac:dyDescent="0.25">
      <c r="A31" t="s">
        <v>40</v>
      </c>
      <c r="B31" t="s">
        <v>286</v>
      </c>
      <c r="C31" t="s">
        <v>2361</v>
      </c>
      <c r="D31">
        <v>4</v>
      </c>
    </row>
    <row r="32" spans="1:4" x14ac:dyDescent="0.25">
      <c r="A32" t="s">
        <v>40</v>
      </c>
      <c r="B32" t="s">
        <v>70</v>
      </c>
      <c r="C32" t="s">
        <v>468</v>
      </c>
      <c r="D32">
        <v>2</v>
      </c>
    </row>
    <row r="33" spans="1:4" x14ac:dyDescent="0.25">
      <c r="A33" t="s">
        <v>40</v>
      </c>
      <c r="B33" t="s">
        <v>1844</v>
      </c>
      <c r="C33" t="s">
        <v>229</v>
      </c>
      <c r="D33">
        <v>4</v>
      </c>
    </row>
    <row r="34" spans="1:4" x14ac:dyDescent="0.25">
      <c r="A34" t="s">
        <v>40</v>
      </c>
      <c r="B34" t="s">
        <v>1844</v>
      </c>
      <c r="C34" t="s">
        <v>2268</v>
      </c>
      <c r="D34">
        <v>5</v>
      </c>
    </row>
    <row r="35" spans="1:4" x14ac:dyDescent="0.25">
      <c r="A35" t="s">
        <v>40</v>
      </c>
      <c r="B35" t="s">
        <v>202</v>
      </c>
      <c r="C35" t="s">
        <v>1218</v>
      </c>
      <c r="D35">
        <v>2</v>
      </c>
    </row>
    <row r="36" spans="1:4" x14ac:dyDescent="0.25">
      <c r="A36" t="s">
        <v>40</v>
      </c>
      <c r="B36" t="s">
        <v>508</v>
      </c>
      <c r="C36" t="s">
        <v>1219</v>
      </c>
      <c r="D36">
        <v>4</v>
      </c>
    </row>
    <row r="37" spans="1:4" x14ac:dyDescent="0.25">
      <c r="A37" t="s">
        <v>80</v>
      </c>
      <c r="B37" t="s">
        <v>5</v>
      </c>
      <c r="C37" t="s">
        <v>1591</v>
      </c>
      <c r="D37">
        <v>5</v>
      </c>
    </row>
    <row r="38" spans="1:4" x14ac:dyDescent="0.25">
      <c r="A38" t="s">
        <v>80</v>
      </c>
      <c r="B38" t="s">
        <v>5</v>
      </c>
      <c r="C38" t="s">
        <v>3731</v>
      </c>
      <c r="D38">
        <v>6</v>
      </c>
    </row>
    <row r="39" spans="1:4" x14ac:dyDescent="0.25">
      <c r="A39" t="s">
        <v>80</v>
      </c>
      <c r="B39" t="s">
        <v>1648</v>
      </c>
      <c r="C39" t="s">
        <v>3340</v>
      </c>
      <c r="D39">
        <v>9</v>
      </c>
    </row>
    <row r="40" spans="1:4" x14ac:dyDescent="0.25">
      <c r="A40" t="s">
        <v>80</v>
      </c>
      <c r="B40" t="s">
        <v>128</v>
      </c>
      <c r="C40" t="s">
        <v>1673</v>
      </c>
      <c r="D40">
        <v>7</v>
      </c>
    </row>
    <row r="41" spans="1:4" x14ac:dyDescent="0.25">
      <c r="A41" t="s">
        <v>80</v>
      </c>
      <c r="B41" t="s">
        <v>616</v>
      </c>
      <c r="C41" t="s">
        <v>2336</v>
      </c>
      <c r="D41">
        <v>5</v>
      </c>
    </row>
    <row r="42" spans="1:4" x14ac:dyDescent="0.25">
      <c r="A42" t="s">
        <v>80</v>
      </c>
      <c r="B42" t="s">
        <v>332</v>
      </c>
      <c r="C42" t="s">
        <v>2547</v>
      </c>
      <c r="D42">
        <v>4</v>
      </c>
    </row>
    <row r="43" spans="1:4" x14ac:dyDescent="0.25">
      <c r="A43" t="s">
        <v>80</v>
      </c>
      <c r="B43" t="s">
        <v>332</v>
      </c>
      <c r="C43" t="s">
        <v>2487</v>
      </c>
      <c r="D43">
        <v>3</v>
      </c>
    </row>
    <row r="44" spans="1:4" x14ac:dyDescent="0.25">
      <c r="A44" t="s">
        <v>80</v>
      </c>
      <c r="B44" t="s">
        <v>1119</v>
      </c>
      <c r="C44" t="s">
        <v>365</v>
      </c>
      <c r="D44">
        <v>2</v>
      </c>
    </row>
    <row r="45" spans="1:4" x14ac:dyDescent="0.25">
      <c r="A45" t="s">
        <v>80</v>
      </c>
      <c r="B45" t="s">
        <v>1119</v>
      </c>
      <c r="C45" t="s">
        <v>1226</v>
      </c>
      <c r="D45">
        <v>1</v>
      </c>
    </row>
    <row r="46" spans="1:4" x14ac:dyDescent="0.25">
      <c r="A46" t="s">
        <v>80</v>
      </c>
      <c r="B46" t="s">
        <v>570</v>
      </c>
      <c r="C46" t="s">
        <v>2488</v>
      </c>
      <c r="D46">
        <v>3</v>
      </c>
    </row>
    <row r="47" spans="1:4" x14ac:dyDescent="0.25">
      <c r="A47" t="s">
        <v>80</v>
      </c>
      <c r="B47" t="s">
        <v>462</v>
      </c>
      <c r="C47" t="s">
        <v>1523</v>
      </c>
      <c r="D47">
        <v>4</v>
      </c>
    </row>
    <row r="48" spans="1:4" x14ac:dyDescent="0.25">
      <c r="A48" t="s">
        <v>80</v>
      </c>
      <c r="B48" t="s">
        <v>2510</v>
      </c>
      <c r="C48" t="s">
        <v>2171</v>
      </c>
      <c r="D48">
        <v>6</v>
      </c>
    </row>
    <row r="49" spans="1:4" x14ac:dyDescent="0.25">
      <c r="A49" t="s">
        <v>80</v>
      </c>
      <c r="B49" t="s">
        <v>517</v>
      </c>
      <c r="C49" t="s">
        <v>373</v>
      </c>
      <c r="D49">
        <v>3</v>
      </c>
    </row>
    <row r="50" spans="1:4" x14ac:dyDescent="0.25">
      <c r="A50" t="s">
        <v>80</v>
      </c>
      <c r="B50" t="s">
        <v>368</v>
      </c>
      <c r="C50" t="s">
        <v>489</v>
      </c>
      <c r="D50">
        <v>4</v>
      </c>
    </row>
    <row r="51" spans="1:4" x14ac:dyDescent="0.25">
      <c r="A51" t="s">
        <v>80</v>
      </c>
      <c r="B51" t="s">
        <v>368</v>
      </c>
      <c r="C51" t="s">
        <v>2172</v>
      </c>
      <c r="D51">
        <v>5</v>
      </c>
    </row>
    <row r="52" spans="1:4" x14ac:dyDescent="0.25">
      <c r="A52" t="s">
        <v>80</v>
      </c>
      <c r="B52" t="s">
        <v>370</v>
      </c>
      <c r="C52" t="s">
        <v>4256</v>
      </c>
      <c r="D52">
        <v>4</v>
      </c>
    </row>
    <row r="53" spans="1:4" x14ac:dyDescent="0.25">
      <c r="A53" t="s">
        <v>80</v>
      </c>
      <c r="B53" t="s">
        <v>541</v>
      </c>
      <c r="C53" t="s">
        <v>3733</v>
      </c>
      <c r="D53">
        <v>6</v>
      </c>
    </row>
    <row r="54" spans="1:4" x14ac:dyDescent="0.25">
      <c r="A54" t="s">
        <v>80</v>
      </c>
      <c r="B54" t="s">
        <v>1503</v>
      </c>
      <c r="C54" t="s">
        <v>1527</v>
      </c>
      <c r="D54">
        <v>4</v>
      </c>
    </row>
    <row r="55" spans="1:4" x14ac:dyDescent="0.25">
      <c r="A55" t="s">
        <v>80</v>
      </c>
      <c r="B55" t="s">
        <v>142</v>
      </c>
      <c r="C55" t="s">
        <v>493</v>
      </c>
      <c r="D55">
        <v>6</v>
      </c>
    </row>
    <row r="56" spans="1:4" x14ac:dyDescent="0.25">
      <c r="A56" t="s">
        <v>80</v>
      </c>
      <c r="B56" t="s">
        <v>1177</v>
      </c>
      <c r="C56" t="s">
        <v>1603</v>
      </c>
      <c r="D56">
        <v>7</v>
      </c>
    </row>
    <row r="57" spans="1:4" x14ac:dyDescent="0.25">
      <c r="A57" t="s">
        <v>80</v>
      </c>
      <c r="B57" t="s">
        <v>1177</v>
      </c>
      <c r="C57" t="s">
        <v>2274</v>
      </c>
      <c r="D57">
        <v>8</v>
      </c>
    </row>
    <row r="58" spans="1:4" x14ac:dyDescent="0.25">
      <c r="A58" t="s">
        <v>80</v>
      </c>
      <c r="B58" t="s">
        <v>152</v>
      </c>
      <c r="C58" t="s">
        <v>2881</v>
      </c>
      <c r="D58">
        <v>9</v>
      </c>
    </row>
    <row r="59" spans="1:4" x14ac:dyDescent="0.25">
      <c r="A59" t="s">
        <v>80</v>
      </c>
      <c r="B59" t="s">
        <v>394</v>
      </c>
      <c r="C59" t="s">
        <v>3066</v>
      </c>
      <c r="D59">
        <v>12</v>
      </c>
    </row>
    <row r="60" spans="1:4" x14ac:dyDescent="0.25">
      <c r="A60" t="s">
        <v>123</v>
      </c>
      <c r="B60" t="s">
        <v>1022</v>
      </c>
      <c r="C60" t="s">
        <v>4144</v>
      </c>
      <c r="D60">
        <v>15</v>
      </c>
    </row>
    <row r="61" spans="1:4" x14ac:dyDescent="0.25">
      <c r="A61" t="s">
        <v>123</v>
      </c>
      <c r="B61" t="s">
        <v>716</v>
      </c>
      <c r="C61" t="s">
        <v>4032</v>
      </c>
      <c r="D61">
        <v>13</v>
      </c>
    </row>
    <row r="62" spans="1:4" x14ac:dyDescent="0.25">
      <c r="A62" t="s">
        <v>123</v>
      </c>
      <c r="B62" t="s">
        <v>490</v>
      </c>
      <c r="C62" t="s">
        <v>2884</v>
      </c>
      <c r="D62">
        <v>10</v>
      </c>
    </row>
    <row r="63" spans="1:4" x14ac:dyDescent="0.25">
      <c r="A63" t="s">
        <v>123</v>
      </c>
      <c r="B63" t="s">
        <v>355</v>
      </c>
      <c r="C63" t="s">
        <v>1609</v>
      </c>
      <c r="D63">
        <v>8</v>
      </c>
    </row>
    <row r="64" spans="1:4" x14ac:dyDescent="0.25">
      <c r="A64" t="s">
        <v>123</v>
      </c>
      <c r="B64" t="s">
        <v>800</v>
      </c>
      <c r="C64" t="s">
        <v>3019</v>
      </c>
      <c r="D64">
        <v>6</v>
      </c>
    </row>
    <row r="65" spans="1:4" x14ac:dyDescent="0.25">
      <c r="A65" t="s">
        <v>123</v>
      </c>
      <c r="B65" t="s">
        <v>1119</v>
      </c>
      <c r="C65" t="s">
        <v>2552</v>
      </c>
      <c r="D65">
        <v>7</v>
      </c>
    </row>
    <row r="66" spans="1:4" x14ac:dyDescent="0.25">
      <c r="A66" t="s">
        <v>123</v>
      </c>
      <c r="B66" t="s">
        <v>1194</v>
      </c>
      <c r="C66" t="s">
        <v>1171</v>
      </c>
      <c r="D66">
        <v>5</v>
      </c>
    </row>
    <row r="67" spans="1:4" x14ac:dyDescent="0.25">
      <c r="A67" t="s">
        <v>123</v>
      </c>
      <c r="B67" t="s">
        <v>280</v>
      </c>
      <c r="C67" t="s">
        <v>1172</v>
      </c>
      <c r="D67">
        <v>3</v>
      </c>
    </row>
    <row r="68" spans="1:4" x14ac:dyDescent="0.25">
      <c r="A68" t="s">
        <v>123</v>
      </c>
      <c r="B68" t="s">
        <v>408</v>
      </c>
      <c r="C68" t="s">
        <v>509</v>
      </c>
      <c r="D68">
        <v>2</v>
      </c>
    </row>
    <row r="69" spans="1:4" x14ac:dyDescent="0.25">
      <c r="A69" t="s">
        <v>123</v>
      </c>
      <c r="B69" t="s">
        <v>726</v>
      </c>
      <c r="C69" t="s">
        <v>510</v>
      </c>
      <c r="D69">
        <v>-1</v>
      </c>
    </row>
    <row r="70" spans="1:4" x14ac:dyDescent="0.25">
      <c r="A70" t="s">
        <v>123</v>
      </c>
      <c r="B70" t="s">
        <v>598</v>
      </c>
      <c r="C70" t="s">
        <v>2534</v>
      </c>
      <c r="D70">
        <v>-2</v>
      </c>
    </row>
    <row r="71" spans="1:4" x14ac:dyDescent="0.25">
      <c r="A71" t="s">
        <v>123</v>
      </c>
      <c r="B71" t="s">
        <v>598</v>
      </c>
      <c r="C71" t="s">
        <v>512</v>
      </c>
      <c r="D71">
        <v>-3</v>
      </c>
    </row>
    <row r="72" spans="1:4" x14ac:dyDescent="0.25">
      <c r="A72" t="s">
        <v>123</v>
      </c>
      <c r="B72" t="s">
        <v>1090</v>
      </c>
      <c r="C72" t="s">
        <v>513</v>
      </c>
      <c r="D72">
        <v>-1</v>
      </c>
    </row>
    <row r="73" spans="1:4" x14ac:dyDescent="0.25">
      <c r="A73" t="s">
        <v>123</v>
      </c>
      <c r="B73" t="s">
        <v>104</v>
      </c>
      <c r="C73" t="s">
        <v>655</v>
      </c>
      <c r="D73">
        <v>1</v>
      </c>
    </row>
    <row r="74" spans="1:4" x14ac:dyDescent="0.25">
      <c r="A74" t="s">
        <v>123</v>
      </c>
      <c r="B74" t="s">
        <v>1602</v>
      </c>
      <c r="C74" t="s">
        <v>2707</v>
      </c>
      <c r="D74">
        <v>3</v>
      </c>
    </row>
    <row r="75" spans="1:4" x14ac:dyDescent="0.25">
      <c r="A75" t="s">
        <v>123</v>
      </c>
      <c r="B75" t="s">
        <v>1217</v>
      </c>
      <c r="C75" t="s">
        <v>1847</v>
      </c>
      <c r="D75">
        <v>5</v>
      </c>
    </row>
    <row r="76" spans="1:4" x14ac:dyDescent="0.25">
      <c r="A76" t="s">
        <v>123</v>
      </c>
      <c r="B76" t="s">
        <v>876</v>
      </c>
      <c r="C76" t="s">
        <v>1962</v>
      </c>
      <c r="D76">
        <v>3</v>
      </c>
    </row>
    <row r="77" spans="1:4" x14ac:dyDescent="0.25">
      <c r="A77" t="s">
        <v>123</v>
      </c>
      <c r="B77" t="s">
        <v>1422</v>
      </c>
      <c r="C77" t="s">
        <v>1618</v>
      </c>
      <c r="D77">
        <v>6</v>
      </c>
    </row>
    <row r="78" spans="1:4" x14ac:dyDescent="0.25">
      <c r="A78" t="s">
        <v>123</v>
      </c>
      <c r="B78" t="s">
        <v>198</v>
      </c>
      <c r="C78" t="s">
        <v>1620</v>
      </c>
      <c r="D78">
        <v>8</v>
      </c>
    </row>
    <row r="79" spans="1:4" x14ac:dyDescent="0.25">
      <c r="A79" t="s">
        <v>123</v>
      </c>
      <c r="B79" t="s">
        <v>118</v>
      </c>
      <c r="C79" t="s">
        <v>2195</v>
      </c>
      <c r="D79">
        <v>11</v>
      </c>
    </row>
    <row r="80" spans="1:4" x14ac:dyDescent="0.25">
      <c r="A80" t="s">
        <v>123</v>
      </c>
      <c r="B80" t="s">
        <v>1204</v>
      </c>
      <c r="C80" t="s">
        <v>992</v>
      </c>
      <c r="D80">
        <v>12</v>
      </c>
    </row>
    <row r="81" spans="1:4" x14ac:dyDescent="0.25">
      <c r="A81" t="s">
        <v>123</v>
      </c>
      <c r="B81" t="s">
        <v>1204</v>
      </c>
      <c r="C81" t="s">
        <v>993</v>
      </c>
      <c r="D81">
        <v>13</v>
      </c>
    </row>
    <row r="82" spans="1:4" x14ac:dyDescent="0.25">
      <c r="A82" t="s">
        <v>123</v>
      </c>
      <c r="B82" t="s">
        <v>481</v>
      </c>
      <c r="C82" t="s">
        <v>994</v>
      </c>
      <c r="D82">
        <v>14</v>
      </c>
    </row>
    <row r="83" spans="1:4" x14ac:dyDescent="0.25">
      <c r="A83" t="s">
        <v>123</v>
      </c>
      <c r="B83" t="s">
        <v>481</v>
      </c>
      <c r="C83" t="s">
        <v>2809</v>
      </c>
      <c r="D83">
        <v>15</v>
      </c>
    </row>
    <row r="84" spans="1:4" x14ac:dyDescent="0.25">
      <c r="A84" t="s">
        <v>123</v>
      </c>
      <c r="B84" t="s">
        <v>556</v>
      </c>
      <c r="C84" t="s">
        <v>2288</v>
      </c>
      <c r="D84">
        <v>14</v>
      </c>
    </row>
    <row r="85" spans="1:4" x14ac:dyDescent="0.25">
      <c r="A85" t="s">
        <v>123</v>
      </c>
      <c r="B85" t="s">
        <v>556</v>
      </c>
      <c r="C85" t="s">
        <v>4257</v>
      </c>
      <c r="D85">
        <v>13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4</v>
      </c>
    </row>
    <row r="89" spans="1:4" x14ac:dyDescent="0.25">
      <c r="A89" t="s">
        <v>159</v>
      </c>
      <c r="D89">
        <f>MAX(D2:D85)</f>
        <v>15</v>
      </c>
    </row>
    <row r="90" spans="1:4" x14ac:dyDescent="0.25">
      <c r="A90" t="s">
        <v>160</v>
      </c>
      <c r="D90">
        <f>MIN(D2:D85)</f>
        <v>-4</v>
      </c>
    </row>
    <row r="91" spans="1:4" x14ac:dyDescent="0.25">
      <c r="A91" t="s">
        <v>161</v>
      </c>
      <c r="D91">
        <f>COUNTIF(D2:D85,"&gt;0")</f>
        <v>64</v>
      </c>
    </row>
    <row r="92" spans="1:4" x14ac:dyDescent="0.25">
      <c r="A92" t="s">
        <v>162</v>
      </c>
      <c r="D92">
        <f>COUNTIF(D2:D85,"=0")</f>
        <v>4</v>
      </c>
    </row>
    <row r="93" spans="1:4" x14ac:dyDescent="0.25">
      <c r="A93" t="s">
        <v>2920</v>
      </c>
      <c r="D93">
        <f>COUNTIF(D2:D85,"&lt;0")</f>
        <v>16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AVERAGE(D2,D3,D4,D5,D6,D7,D8,D9,D10,D11,D12,D13,D14,D15,D16,D17,D18,D19,D20,D21)</f>
        <v>-0.25</v>
      </c>
    </row>
    <row r="97" spans="1:4" x14ac:dyDescent="0.25">
      <c r="A97" t="s">
        <v>166</v>
      </c>
      <c r="D97">
        <f>AVERAGE(D22,D23,D24,D25,D26,D27,D28,D29,D30,D31,D32,D33,D34,D35,D36)</f>
        <v>2.5333333333333332</v>
      </c>
    </row>
    <row r="98" spans="1:4" x14ac:dyDescent="0.25">
      <c r="A98" t="s">
        <v>167</v>
      </c>
      <c r="D98">
        <f>AVERAGE(D37,D38,D39,D40,D41,D42,D43,D44,D45,D46,D47,D48,D49,D50,D51,D52,D53,D54,D55,D56,D57,D58,D59)</f>
        <v>5.3478260869565215</v>
      </c>
    </row>
    <row r="99" spans="1:4" x14ac:dyDescent="0.25">
      <c r="A99" t="s">
        <v>168</v>
      </c>
      <c r="D99">
        <f>AVERAGE(D60,D61,D62,D63,D64,D65,D66,D67,D68,D69,D70,D71,D72,D73,D74,D75,D76,D77,D78,D79,D80,D81,D82,D83,D84,D85)</f>
        <v>6.9230769230769234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D10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1055</v>
      </c>
      <c r="C2" t="s">
        <v>6</v>
      </c>
      <c r="D2">
        <v>2</v>
      </c>
    </row>
    <row r="3" spans="1:4" x14ac:dyDescent="0.25">
      <c r="A3" t="s">
        <v>4</v>
      </c>
      <c r="B3" t="s">
        <v>933</v>
      </c>
      <c r="C3" t="s">
        <v>2353</v>
      </c>
      <c r="D3">
        <v>4</v>
      </c>
    </row>
    <row r="4" spans="1:4" x14ac:dyDescent="0.25">
      <c r="A4" t="s">
        <v>4</v>
      </c>
      <c r="B4" t="s">
        <v>1573</v>
      </c>
      <c r="C4" t="s">
        <v>690</v>
      </c>
      <c r="D4">
        <v>6</v>
      </c>
    </row>
    <row r="5" spans="1:4" x14ac:dyDescent="0.25">
      <c r="A5" t="s">
        <v>4</v>
      </c>
      <c r="B5" t="s">
        <v>912</v>
      </c>
      <c r="C5" t="s">
        <v>692</v>
      </c>
      <c r="D5">
        <v>3</v>
      </c>
    </row>
    <row r="6" spans="1:4" x14ac:dyDescent="0.25">
      <c r="A6" t="s">
        <v>4</v>
      </c>
      <c r="B6" t="s">
        <v>759</v>
      </c>
      <c r="C6" t="s">
        <v>694</v>
      </c>
      <c r="D6">
        <v>5</v>
      </c>
    </row>
    <row r="7" spans="1:4" x14ac:dyDescent="0.25">
      <c r="A7" t="s">
        <v>4</v>
      </c>
      <c r="B7" t="s">
        <v>1495</v>
      </c>
      <c r="C7" t="s">
        <v>180</v>
      </c>
      <c r="D7">
        <v>4</v>
      </c>
    </row>
    <row r="8" spans="1:4" x14ac:dyDescent="0.25">
      <c r="A8" t="s">
        <v>4</v>
      </c>
      <c r="B8" t="s">
        <v>1742</v>
      </c>
      <c r="C8" t="s">
        <v>1574</v>
      </c>
      <c r="D8">
        <v>2</v>
      </c>
    </row>
    <row r="9" spans="1:4" x14ac:dyDescent="0.25">
      <c r="A9" t="s">
        <v>4</v>
      </c>
      <c r="B9" t="s">
        <v>1498</v>
      </c>
      <c r="C9" t="s">
        <v>185</v>
      </c>
      <c r="D9">
        <v>4</v>
      </c>
    </row>
    <row r="10" spans="1:4" x14ac:dyDescent="0.25">
      <c r="A10" t="s">
        <v>4</v>
      </c>
      <c r="B10" t="s">
        <v>1033</v>
      </c>
      <c r="C10" t="s">
        <v>22</v>
      </c>
      <c r="D10">
        <v>2</v>
      </c>
    </row>
    <row r="11" spans="1:4" x14ac:dyDescent="0.25">
      <c r="A11" t="s">
        <v>4</v>
      </c>
      <c r="B11" t="s">
        <v>1069</v>
      </c>
      <c r="C11" t="s">
        <v>24</v>
      </c>
      <c r="D11">
        <v>4</v>
      </c>
    </row>
    <row r="12" spans="1:4" x14ac:dyDescent="0.25">
      <c r="A12" t="s">
        <v>4</v>
      </c>
      <c r="B12" t="s">
        <v>1230</v>
      </c>
      <c r="C12" t="s">
        <v>28</v>
      </c>
      <c r="D12">
        <v>1</v>
      </c>
    </row>
    <row r="13" spans="1:4" x14ac:dyDescent="0.25">
      <c r="A13" t="s">
        <v>4</v>
      </c>
      <c r="B13" t="s">
        <v>1442</v>
      </c>
      <c r="C13" t="s">
        <v>1818</v>
      </c>
      <c r="D13">
        <v>2</v>
      </c>
    </row>
    <row r="14" spans="1:4" x14ac:dyDescent="0.25">
      <c r="A14" t="s">
        <v>4</v>
      </c>
      <c r="B14" t="s">
        <v>467</v>
      </c>
      <c r="C14" t="s">
        <v>443</v>
      </c>
      <c r="D14">
        <v>0</v>
      </c>
    </row>
    <row r="15" spans="1:4" x14ac:dyDescent="0.25">
      <c r="A15" t="s">
        <v>4</v>
      </c>
      <c r="B15" t="s">
        <v>467</v>
      </c>
      <c r="C15" t="s">
        <v>1435</v>
      </c>
      <c r="D15">
        <v>-1</v>
      </c>
    </row>
    <row r="16" spans="1:4" x14ac:dyDescent="0.25">
      <c r="A16" t="s">
        <v>4</v>
      </c>
      <c r="B16" t="s">
        <v>290</v>
      </c>
      <c r="C16" t="s">
        <v>1504</v>
      </c>
      <c r="D16">
        <v>-4</v>
      </c>
    </row>
    <row r="17" spans="1:4" x14ac:dyDescent="0.25">
      <c r="A17" t="s">
        <v>4</v>
      </c>
      <c r="B17" t="s">
        <v>896</v>
      </c>
      <c r="C17" t="s">
        <v>1505</v>
      </c>
      <c r="D17">
        <v>-2</v>
      </c>
    </row>
    <row r="18" spans="1:4" x14ac:dyDescent="0.25">
      <c r="A18" t="s">
        <v>4</v>
      </c>
      <c r="B18" t="s">
        <v>118</v>
      </c>
      <c r="C18" t="s">
        <v>2699</v>
      </c>
      <c r="D18">
        <v>-4</v>
      </c>
    </row>
    <row r="19" spans="1:4" x14ac:dyDescent="0.25">
      <c r="A19" t="s">
        <v>4</v>
      </c>
      <c r="B19" t="s">
        <v>732</v>
      </c>
      <c r="C19" t="s">
        <v>2157</v>
      </c>
      <c r="D19">
        <v>-3</v>
      </c>
    </row>
    <row r="20" spans="1:4" x14ac:dyDescent="0.25">
      <c r="A20" t="s">
        <v>4</v>
      </c>
      <c r="B20" t="s">
        <v>673</v>
      </c>
      <c r="C20" t="s">
        <v>1821</v>
      </c>
      <c r="D20">
        <v>-2</v>
      </c>
    </row>
    <row r="21" spans="1:4" x14ac:dyDescent="0.25">
      <c r="A21" t="s">
        <v>4</v>
      </c>
      <c r="B21" t="s">
        <v>673</v>
      </c>
      <c r="C21" t="s">
        <v>2123</v>
      </c>
      <c r="D21">
        <v>-1</v>
      </c>
    </row>
    <row r="22" spans="1:4" x14ac:dyDescent="0.25">
      <c r="A22" t="s">
        <v>4</v>
      </c>
      <c r="B22" t="s">
        <v>681</v>
      </c>
      <c r="C22" t="s">
        <v>792</v>
      </c>
      <c r="D22">
        <v>1</v>
      </c>
    </row>
    <row r="23" spans="1:4" x14ac:dyDescent="0.25">
      <c r="A23" t="s">
        <v>4</v>
      </c>
      <c r="B23" t="s">
        <v>772</v>
      </c>
      <c r="C23" t="s">
        <v>586</v>
      </c>
      <c r="D23">
        <v>3</v>
      </c>
    </row>
    <row r="24" spans="1:4" x14ac:dyDescent="0.25">
      <c r="A24" t="s">
        <v>4</v>
      </c>
      <c r="B24" t="s">
        <v>38</v>
      </c>
      <c r="C24" t="s">
        <v>587</v>
      </c>
      <c r="D24">
        <v>1</v>
      </c>
    </row>
    <row r="25" spans="1:4" x14ac:dyDescent="0.25">
      <c r="A25" t="s">
        <v>40</v>
      </c>
      <c r="B25" t="s">
        <v>777</v>
      </c>
      <c r="C25" t="s">
        <v>334</v>
      </c>
      <c r="D25">
        <v>3</v>
      </c>
    </row>
    <row r="26" spans="1:4" x14ac:dyDescent="0.25">
      <c r="A26" t="s">
        <v>40</v>
      </c>
      <c r="B26" t="s">
        <v>1057</v>
      </c>
      <c r="C26" t="s">
        <v>591</v>
      </c>
      <c r="D26">
        <v>1</v>
      </c>
    </row>
    <row r="27" spans="1:4" x14ac:dyDescent="0.25">
      <c r="A27" t="s">
        <v>40</v>
      </c>
      <c r="B27" t="s">
        <v>49</v>
      </c>
      <c r="C27" t="s">
        <v>2330</v>
      </c>
      <c r="D27">
        <v>-1</v>
      </c>
    </row>
    <row r="28" spans="1:4" x14ac:dyDescent="0.25">
      <c r="A28" t="s">
        <v>40</v>
      </c>
      <c r="B28" t="s">
        <v>208</v>
      </c>
      <c r="C28" t="s">
        <v>1124</v>
      </c>
      <c r="D28">
        <v>2</v>
      </c>
    </row>
    <row r="29" spans="1:4" x14ac:dyDescent="0.25">
      <c r="A29" t="s">
        <v>40</v>
      </c>
      <c r="B29" t="s">
        <v>568</v>
      </c>
      <c r="C29" t="s">
        <v>1584</v>
      </c>
      <c r="D29">
        <v>5</v>
      </c>
    </row>
    <row r="30" spans="1:4" x14ac:dyDescent="0.25">
      <c r="A30" t="s">
        <v>40</v>
      </c>
      <c r="B30" t="s">
        <v>916</v>
      </c>
      <c r="C30" t="s">
        <v>343</v>
      </c>
      <c r="D30">
        <v>2</v>
      </c>
    </row>
    <row r="31" spans="1:4" x14ac:dyDescent="0.25">
      <c r="A31" t="s">
        <v>40</v>
      </c>
      <c r="B31" t="s">
        <v>870</v>
      </c>
      <c r="C31" t="s">
        <v>222</v>
      </c>
      <c r="D31">
        <v>4</v>
      </c>
    </row>
    <row r="32" spans="1:4" x14ac:dyDescent="0.25">
      <c r="A32" t="s">
        <v>40</v>
      </c>
      <c r="B32" t="s">
        <v>870</v>
      </c>
      <c r="C32" t="s">
        <v>2563</v>
      </c>
      <c r="D32">
        <v>5</v>
      </c>
    </row>
    <row r="33" spans="1:4" x14ac:dyDescent="0.25">
      <c r="A33" t="s">
        <v>40</v>
      </c>
      <c r="B33" t="s">
        <v>374</v>
      </c>
      <c r="C33" t="s">
        <v>226</v>
      </c>
      <c r="D33">
        <v>8</v>
      </c>
    </row>
    <row r="34" spans="1:4" x14ac:dyDescent="0.25">
      <c r="A34" t="s">
        <v>40</v>
      </c>
      <c r="B34" t="s">
        <v>747</v>
      </c>
      <c r="C34" t="s">
        <v>2544</v>
      </c>
      <c r="D34">
        <v>10</v>
      </c>
    </row>
    <row r="35" spans="1:4" x14ac:dyDescent="0.25">
      <c r="A35" t="s">
        <v>40</v>
      </c>
      <c r="B35" t="s">
        <v>1217</v>
      </c>
      <c r="C35" t="s">
        <v>2815</v>
      </c>
      <c r="D35">
        <v>11</v>
      </c>
    </row>
    <row r="36" spans="1:4" x14ac:dyDescent="0.25">
      <c r="A36" t="s">
        <v>40</v>
      </c>
      <c r="B36" t="s">
        <v>1217</v>
      </c>
      <c r="C36" t="s">
        <v>2545</v>
      </c>
      <c r="D36">
        <v>12</v>
      </c>
    </row>
    <row r="37" spans="1:4" x14ac:dyDescent="0.25">
      <c r="A37" t="s">
        <v>40</v>
      </c>
      <c r="B37" t="s">
        <v>1376</v>
      </c>
      <c r="C37" t="s">
        <v>1589</v>
      </c>
      <c r="D37">
        <v>9</v>
      </c>
    </row>
    <row r="38" spans="1:4" x14ac:dyDescent="0.25">
      <c r="A38" t="s">
        <v>40</v>
      </c>
      <c r="B38" t="s">
        <v>1622</v>
      </c>
      <c r="C38" t="s">
        <v>2935</v>
      </c>
      <c r="D38">
        <v>11</v>
      </c>
    </row>
    <row r="39" spans="1:4" x14ac:dyDescent="0.25">
      <c r="A39" t="s">
        <v>40</v>
      </c>
      <c r="B39" t="s">
        <v>927</v>
      </c>
      <c r="C39" t="s">
        <v>2910</v>
      </c>
      <c r="D39">
        <v>10</v>
      </c>
    </row>
    <row r="40" spans="1:4" x14ac:dyDescent="0.25">
      <c r="A40" t="s">
        <v>40</v>
      </c>
      <c r="B40" t="s">
        <v>927</v>
      </c>
      <c r="C40" t="s">
        <v>946</v>
      </c>
      <c r="D40">
        <v>9</v>
      </c>
    </row>
    <row r="41" spans="1:4" x14ac:dyDescent="0.25">
      <c r="A41" t="s">
        <v>40</v>
      </c>
      <c r="B41" t="s">
        <v>1135</v>
      </c>
      <c r="C41" t="s">
        <v>947</v>
      </c>
      <c r="D41">
        <v>10</v>
      </c>
    </row>
    <row r="42" spans="1:4" x14ac:dyDescent="0.25">
      <c r="A42" t="s">
        <v>40</v>
      </c>
      <c r="B42" t="s">
        <v>350</v>
      </c>
      <c r="C42" t="s">
        <v>4230</v>
      </c>
      <c r="D42">
        <v>12</v>
      </c>
    </row>
    <row r="43" spans="1:4" x14ac:dyDescent="0.25">
      <c r="A43" t="s">
        <v>40</v>
      </c>
      <c r="B43" t="s">
        <v>559</v>
      </c>
      <c r="C43" t="s">
        <v>2783</v>
      </c>
      <c r="D43">
        <v>10</v>
      </c>
    </row>
    <row r="44" spans="1:4" x14ac:dyDescent="0.25">
      <c r="A44" t="s">
        <v>80</v>
      </c>
      <c r="B44" t="s">
        <v>1346</v>
      </c>
      <c r="C44" t="s">
        <v>3341</v>
      </c>
      <c r="D44">
        <v>12</v>
      </c>
    </row>
    <row r="45" spans="1:4" x14ac:dyDescent="0.25">
      <c r="A45" t="s">
        <v>80</v>
      </c>
      <c r="B45" t="s">
        <v>45</v>
      </c>
      <c r="C45" t="s">
        <v>1944</v>
      </c>
      <c r="D45">
        <v>11</v>
      </c>
    </row>
    <row r="46" spans="1:4" x14ac:dyDescent="0.25">
      <c r="A46" t="s">
        <v>80</v>
      </c>
      <c r="B46" t="s">
        <v>45</v>
      </c>
      <c r="C46" t="s">
        <v>3342</v>
      </c>
      <c r="D46">
        <v>10</v>
      </c>
    </row>
    <row r="47" spans="1:4" x14ac:dyDescent="0.25">
      <c r="A47" t="s">
        <v>80</v>
      </c>
      <c r="B47" t="s">
        <v>719</v>
      </c>
      <c r="C47" t="s">
        <v>2785</v>
      </c>
      <c r="D47">
        <v>12</v>
      </c>
    </row>
    <row r="48" spans="1:4" x14ac:dyDescent="0.25">
      <c r="A48" t="s">
        <v>80</v>
      </c>
      <c r="B48" t="s">
        <v>398</v>
      </c>
      <c r="C48" t="s">
        <v>1596</v>
      </c>
      <c r="D48">
        <v>10</v>
      </c>
    </row>
    <row r="49" spans="1:4" x14ac:dyDescent="0.25">
      <c r="A49" t="s">
        <v>80</v>
      </c>
      <c r="B49" t="s">
        <v>211</v>
      </c>
      <c r="C49" t="s">
        <v>2364</v>
      </c>
      <c r="D49">
        <v>12</v>
      </c>
    </row>
    <row r="50" spans="1:4" x14ac:dyDescent="0.25">
      <c r="A50" t="s">
        <v>80</v>
      </c>
      <c r="B50" t="s">
        <v>590</v>
      </c>
      <c r="C50" t="s">
        <v>1457</v>
      </c>
      <c r="D50">
        <v>14</v>
      </c>
    </row>
    <row r="51" spans="1:4" x14ac:dyDescent="0.25">
      <c r="A51" t="s">
        <v>80</v>
      </c>
      <c r="B51" t="s">
        <v>1723</v>
      </c>
      <c r="C51" t="s">
        <v>1679</v>
      </c>
      <c r="D51">
        <v>12</v>
      </c>
    </row>
    <row r="52" spans="1:4" x14ac:dyDescent="0.25">
      <c r="A52" t="s">
        <v>80</v>
      </c>
      <c r="B52" t="s">
        <v>836</v>
      </c>
      <c r="C52" t="s">
        <v>1458</v>
      </c>
      <c r="D52">
        <v>11</v>
      </c>
    </row>
    <row r="53" spans="1:4" x14ac:dyDescent="0.25">
      <c r="A53" t="s">
        <v>80</v>
      </c>
      <c r="B53" t="s">
        <v>836</v>
      </c>
      <c r="C53" t="s">
        <v>2600</v>
      </c>
      <c r="D53">
        <v>10</v>
      </c>
    </row>
    <row r="54" spans="1:4" x14ac:dyDescent="0.25">
      <c r="A54" t="s">
        <v>80</v>
      </c>
      <c r="B54" t="s">
        <v>698</v>
      </c>
      <c r="C54" t="s">
        <v>1682</v>
      </c>
      <c r="D54">
        <v>12</v>
      </c>
    </row>
    <row r="55" spans="1:4" x14ac:dyDescent="0.25">
      <c r="A55" t="s">
        <v>80</v>
      </c>
      <c r="B55" t="s">
        <v>1533</v>
      </c>
      <c r="C55" t="s">
        <v>1460</v>
      </c>
      <c r="D55">
        <v>10</v>
      </c>
    </row>
    <row r="56" spans="1:4" x14ac:dyDescent="0.25">
      <c r="A56" t="s">
        <v>80</v>
      </c>
      <c r="B56" t="s">
        <v>740</v>
      </c>
      <c r="C56" t="s">
        <v>1952</v>
      </c>
      <c r="D56">
        <v>11</v>
      </c>
    </row>
    <row r="57" spans="1:4" x14ac:dyDescent="0.25">
      <c r="A57" t="s">
        <v>80</v>
      </c>
      <c r="B57" t="s">
        <v>874</v>
      </c>
      <c r="C57" t="s">
        <v>1461</v>
      </c>
      <c r="D57">
        <v>12</v>
      </c>
    </row>
    <row r="58" spans="1:4" x14ac:dyDescent="0.25">
      <c r="A58" t="s">
        <v>80</v>
      </c>
      <c r="B58" t="s">
        <v>1829</v>
      </c>
      <c r="C58" t="s">
        <v>4225</v>
      </c>
      <c r="D58">
        <v>9</v>
      </c>
    </row>
    <row r="59" spans="1:4" x14ac:dyDescent="0.25">
      <c r="A59" t="s">
        <v>80</v>
      </c>
      <c r="B59" t="s">
        <v>1198</v>
      </c>
      <c r="C59" t="s">
        <v>3722</v>
      </c>
      <c r="D59">
        <v>12</v>
      </c>
    </row>
    <row r="60" spans="1:4" x14ac:dyDescent="0.25">
      <c r="A60" t="s">
        <v>80</v>
      </c>
      <c r="B60" t="s">
        <v>317</v>
      </c>
      <c r="C60" t="s">
        <v>2668</v>
      </c>
      <c r="D60">
        <v>15</v>
      </c>
    </row>
    <row r="61" spans="1:4" x14ac:dyDescent="0.25">
      <c r="A61" t="s">
        <v>80</v>
      </c>
      <c r="B61" t="s">
        <v>1127</v>
      </c>
      <c r="C61" t="s">
        <v>4258</v>
      </c>
      <c r="D61">
        <v>17</v>
      </c>
    </row>
    <row r="62" spans="1:4" x14ac:dyDescent="0.25">
      <c r="A62" t="s">
        <v>80</v>
      </c>
      <c r="B62" t="s">
        <v>475</v>
      </c>
      <c r="C62" t="s">
        <v>4259</v>
      </c>
      <c r="D62">
        <v>19</v>
      </c>
    </row>
    <row r="63" spans="1:4" x14ac:dyDescent="0.25">
      <c r="A63" t="s">
        <v>80</v>
      </c>
      <c r="B63" t="s">
        <v>1484</v>
      </c>
      <c r="C63" t="s">
        <v>3870</v>
      </c>
      <c r="D63">
        <v>21</v>
      </c>
    </row>
    <row r="64" spans="1:4" x14ac:dyDescent="0.25">
      <c r="A64" t="s">
        <v>123</v>
      </c>
      <c r="B64" t="s">
        <v>1208</v>
      </c>
      <c r="C64" t="s">
        <v>2373</v>
      </c>
      <c r="D64">
        <v>23</v>
      </c>
    </row>
    <row r="65" spans="1:4" x14ac:dyDescent="0.25">
      <c r="A65" t="s">
        <v>123</v>
      </c>
      <c r="B65" t="s">
        <v>1208</v>
      </c>
      <c r="C65" t="s">
        <v>2084</v>
      </c>
      <c r="D65">
        <v>24</v>
      </c>
    </row>
    <row r="66" spans="1:4" x14ac:dyDescent="0.25">
      <c r="A66" t="s">
        <v>123</v>
      </c>
      <c r="B66" t="s">
        <v>7</v>
      </c>
      <c r="C66" t="s">
        <v>3849</v>
      </c>
      <c r="D66">
        <v>25</v>
      </c>
    </row>
    <row r="67" spans="1:4" x14ac:dyDescent="0.25">
      <c r="A67" t="s">
        <v>123</v>
      </c>
      <c r="B67" t="s">
        <v>7</v>
      </c>
      <c r="C67" t="s">
        <v>2085</v>
      </c>
      <c r="D67">
        <v>26</v>
      </c>
    </row>
    <row r="68" spans="1:4" x14ac:dyDescent="0.25">
      <c r="A68" t="s">
        <v>123</v>
      </c>
      <c r="B68" t="s">
        <v>797</v>
      </c>
      <c r="C68" t="s">
        <v>4260</v>
      </c>
      <c r="D68">
        <v>28</v>
      </c>
    </row>
    <row r="69" spans="1:4" x14ac:dyDescent="0.25">
      <c r="A69" t="s">
        <v>123</v>
      </c>
      <c r="B69" t="s">
        <v>1192</v>
      </c>
      <c r="C69" t="s">
        <v>4059</v>
      </c>
      <c r="D69">
        <v>27</v>
      </c>
    </row>
    <row r="70" spans="1:4" x14ac:dyDescent="0.25">
      <c r="A70" t="s">
        <v>123</v>
      </c>
      <c r="B70" t="s">
        <v>1192</v>
      </c>
      <c r="C70" t="s">
        <v>4261</v>
      </c>
      <c r="D70">
        <v>26</v>
      </c>
    </row>
    <row r="71" spans="1:4" x14ac:dyDescent="0.25">
      <c r="A71" t="s">
        <v>123</v>
      </c>
      <c r="B71" t="s">
        <v>724</v>
      </c>
      <c r="C71" t="s">
        <v>4262</v>
      </c>
      <c r="D71">
        <v>27</v>
      </c>
    </row>
    <row r="72" spans="1:4" x14ac:dyDescent="0.25">
      <c r="A72" t="s">
        <v>123</v>
      </c>
      <c r="B72" t="s">
        <v>623</v>
      </c>
      <c r="C72" t="s">
        <v>3141</v>
      </c>
      <c r="D72">
        <v>25</v>
      </c>
    </row>
    <row r="73" spans="1:4" x14ac:dyDescent="0.25">
      <c r="A73" t="s">
        <v>123</v>
      </c>
      <c r="B73" t="s">
        <v>698</v>
      </c>
      <c r="C73" t="s">
        <v>2839</v>
      </c>
      <c r="D73">
        <v>23</v>
      </c>
    </row>
    <row r="74" spans="1:4" x14ac:dyDescent="0.25">
      <c r="A74" t="s">
        <v>123</v>
      </c>
      <c r="B74" t="s">
        <v>60</v>
      </c>
      <c r="C74" t="s">
        <v>3143</v>
      </c>
      <c r="D74">
        <v>26</v>
      </c>
    </row>
    <row r="75" spans="1:4" x14ac:dyDescent="0.25">
      <c r="A75" t="s">
        <v>123</v>
      </c>
      <c r="B75" t="s">
        <v>598</v>
      </c>
      <c r="C75" t="s">
        <v>4156</v>
      </c>
      <c r="D75">
        <v>24</v>
      </c>
    </row>
    <row r="76" spans="1:4" x14ac:dyDescent="0.25">
      <c r="A76" t="s">
        <v>123</v>
      </c>
      <c r="B76" t="s">
        <v>598</v>
      </c>
      <c r="C76" t="s">
        <v>4263</v>
      </c>
      <c r="D76">
        <v>23</v>
      </c>
    </row>
    <row r="77" spans="1:4" x14ac:dyDescent="0.25">
      <c r="A77" t="s">
        <v>123</v>
      </c>
      <c r="B77" t="s">
        <v>746</v>
      </c>
      <c r="C77" t="s">
        <v>3354</v>
      </c>
      <c r="D77">
        <v>21</v>
      </c>
    </row>
    <row r="78" spans="1:4" x14ac:dyDescent="0.25">
      <c r="A78" t="s">
        <v>123</v>
      </c>
      <c r="B78" t="s">
        <v>746</v>
      </c>
      <c r="C78" t="s">
        <v>2095</v>
      </c>
      <c r="D78">
        <v>20</v>
      </c>
    </row>
    <row r="79" spans="1:4" x14ac:dyDescent="0.25">
      <c r="A79" t="s">
        <v>123</v>
      </c>
      <c r="B79" t="s">
        <v>1602</v>
      </c>
      <c r="C79" t="s">
        <v>2096</v>
      </c>
      <c r="D79">
        <v>22</v>
      </c>
    </row>
    <row r="80" spans="1:4" x14ac:dyDescent="0.25">
      <c r="A80" t="s">
        <v>123</v>
      </c>
      <c r="B80" t="s">
        <v>605</v>
      </c>
      <c r="C80" t="s">
        <v>985</v>
      </c>
      <c r="D80">
        <v>21</v>
      </c>
    </row>
    <row r="81" spans="1:4" x14ac:dyDescent="0.25">
      <c r="A81" t="s">
        <v>123</v>
      </c>
      <c r="B81" t="s">
        <v>924</v>
      </c>
      <c r="C81" t="s">
        <v>4231</v>
      </c>
      <c r="D81">
        <v>22</v>
      </c>
    </row>
    <row r="82" spans="1:4" x14ac:dyDescent="0.25">
      <c r="A82" t="s">
        <v>123</v>
      </c>
      <c r="B82" t="s">
        <v>196</v>
      </c>
      <c r="C82" t="s">
        <v>2385</v>
      </c>
      <c r="D82">
        <v>21</v>
      </c>
    </row>
    <row r="83" spans="1:4" x14ac:dyDescent="0.25">
      <c r="A83" t="s">
        <v>123</v>
      </c>
      <c r="B83" t="s">
        <v>146</v>
      </c>
      <c r="C83" t="s">
        <v>2031</v>
      </c>
      <c r="D83">
        <v>23</v>
      </c>
    </row>
    <row r="84" spans="1:4" x14ac:dyDescent="0.25">
      <c r="A84" t="s">
        <v>123</v>
      </c>
      <c r="B84" t="s">
        <v>877</v>
      </c>
      <c r="C84" t="s">
        <v>4264</v>
      </c>
      <c r="D84">
        <v>24</v>
      </c>
    </row>
    <row r="85" spans="1:4" x14ac:dyDescent="0.25">
      <c r="A85" t="s">
        <v>123</v>
      </c>
      <c r="B85" t="s">
        <v>877</v>
      </c>
      <c r="C85" t="s">
        <v>2033</v>
      </c>
      <c r="D85">
        <v>25</v>
      </c>
    </row>
    <row r="86" spans="1:4" x14ac:dyDescent="0.25">
      <c r="A86" t="s">
        <v>123</v>
      </c>
      <c r="B86" t="s">
        <v>31</v>
      </c>
      <c r="C86" t="s">
        <v>4265</v>
      </c>
      <c r="D86">
        <v>26</v>
      </c>
    </row>
    <row r="87" spans="1:4" x14ac:dyDescent="0.25">
      <c r="A87" t="s">
        <v>123</v>
      </c>
      <c r="B87" t="s">
        <v>1113</v>
      </c>
      <c r="C87" t="s">
        <v>4266</v>
      </c>
      <c r="D87">
        <v>23</v>
      </c>
    </row>
    <row r="89" spans="1:4" x14ac:dyDescent="0.25">
      <c r="A89" s="2" t="s">
        <v>157</v>
      </c>
    </row>
    <row r="90" spans="1:4" x14ac:dyDescent="0.25">
      <c r="A90" t="s">
        <v>158</v>
      </c>
      <c r="D90">
        <f>AVERAGE(D2:D87)</f>
        <v>11.476744186046512</v>
      </c>
    </row>
    <row r="91" spans="1:4" x14ac:dyDescent="0.25">
      <c r="A91" t="s">
        <v>159</v>
      </c>
      <c r="D91">
        <f>MAX(D2:D87)</f>
        <v>28</v>
      </c>
    </row>
    <row r="92" spans="1:4" x14ac:dyDescent="0.25">
      <c r="A92" t="s">
        <v>160</v>
      </c>
      <c r="D92">
        <f>MIN(D2:D87)</f>
        <v>-4</v>
      </c>
    </row>
    <row r="93" spans="1:4" x14ac:dyDescent="0.25">
      <c r="A93" t="s">
        <v>161</v>
      </c>
      <c r="D93">
        <f>COUNTIF(D2:D87,"&gt;0")</f>
        <v>77</v>
      </c>
    </row>
    <row r="94" spans="1:4" x14ac:dyDescent="0.25">
      <c r="A94" t="s">
        <v>162</v>
      </c>
      <c r="D94">
        <f>COUNTIF(D2:D87,"=0")</f>
        <v>1</v>
      </c>
    </row>
    <row r="95" spans="1:4" x14ac:dyDescent="0.25">
      <c r="A95" t="s">
        <v>2920</v>
      </c>
      <c r="D95">
        <f>COUNTIF(D2:D87,"&lt;0")</f>
        <v>8</v>
      </c>
    </row>
    <row r="97" spans="1:4" x14ac:dyDescent="0.25">
      <c r="A97" s="2" t="s">
        <v>164</v>
      </c>
    </row>
    <row r="98" spans="1:4" x14ac:dyDescent="0.25">
      <c r="A98" t="s">
        <v>165</v>
      </c>
      <c r="D98">
        <f>AVERAGE(D2,D3,D4,D5,D6,D7,D8,D9,D10,D11,D12,D13,D14,D15,D16,D17,D18,D19,D20,D21,D22,D23,D24)</f>
        <v>1.173913043478261</v>
      </c>
    </row>
    <row r="99" spans="1:4" x14ac:dyDescent="0.25">
      <c r="A99" t="s">
        <v>166</v>
      </c>
      <c r="D99">
        <f>AVERAGE(D25,D26,D27,D28,D29,D30,D31,D32,D33,D34,D35,D36,D37,D38,D39,D40,D41,D42,D43)</f>
        <v>7</v>
      </c>
    </row>
    <row r="100" spans="1:4" x14ac:dyDescent="0.25">
      <c r="A100" t="s">
        <v>167</v>
      </c>
      <c r="D100">
        <f>AVERAGE(D44,D45,D46,D47,D48,D49,D50,D51,D52,D53,D54,D55,D56,D57,D58,D59,D60,D61,D62,D63)</f>
        <v>12.6</v>
      </c>
    </row>
    <row r="101" spans="1:4" x14ac:dyDescent="0.25">
      <c r="A101" t="s">
        <v>168</v>
      </c>
      <c r="D101">
        <f>AVERAGE(D64,D65,D66,D67,D68,D69,D70,D71,D72,D73,D74,D75,D76,D77,D78,D79,D80,D81,D82,D83,D84,D85,D86,D87)</f>
        <v>23.958333333333332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D8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352</v>
      </c>
      <c r="C2" t="s">
        <v>6</v>
      </c>
      <c r="D2">
        <v>2</v>
      </c>
    </row>
    <row r="3" spans="1:4" x14ac:dyDescent="0.25">
      <c r="A3" t="s">
        <v>4</v>
      </c>
      <c r="B3" t="s">
        <v>857</v>
      </c>
      <c r="C3" t="s">
        <v>8</v>
      </c>
      <c r="D3">
        <v>0</v>
      </c>
    </row>
    <row r="4" spans="1:4" x14ac:dyDescent="0.25">
      <c r="A4" t="s">
        <v>4</v>
      </c>
      <c r="B4" t="s">
        <v>1665</v>
      </c>
      <c r="C4" t="s">
        <v>564</v>
      </c>
      <c r="D4">
        <v>2</v>
      </c>
    </row>
    <row r="5" spans="1:4" x14ac:dyDescent="0.25">
      <c r="A5" t="s">
        <v>4</v>
      </c>
      <c r="B5" t="s">
        <v>1190</v>
      </c>
      <c r="C5" t="s">
        <v>176</v>
      </c>
      <c r="D5">
        <v>4</v>
      </c>
    </row>
    <row r="6" spans="1:4" x14ac:dyDescent="0.25">
      <c r="A6" t="s">
        <v>4</v>
      </c>
      <c r="B6" t="s">
        <v>827</v>
      </c>
      <c r="C6" t="s">
        <v>1193</v>
      </c>
      <c r="D6">
        <v>1</v>
      </c>
    </row>
    <row r="7" spans="1:4" x14ac:dyDescent="0.25">
      <c r="A7" t="s">
        <v>4</v>
      </c>
      <c r="B7" t="s">
        <v>89</v>
      </c>
      <c r="C7" t="s">
        <v>1012</v>
      </c>
      <c r="D7">
        <v>4</v>
      </c>
    </row>
    <row r="8" spans="1:4" x14ac:dyDescent="0.25">
      <c r="A8" t="s">
        <v>4</v>
      </c>
      <c r="B8" t="s">
        <v>621</v>
      </c>
      <c r="C8" t="s">
        <v>569</v>
      </c>
      <c r="D8">
        <v>2</v>
      </c>
    </row>
    <row r="9" spans="1:4" x14ac:dyDescent="0.25">
      <c r="A9" t="s">
        <v>4</v>
      </c>
      <c r="B9" t="s">
        <v>1683</v>
      </c>
      <c r="C9" t="s">
        <v>3087</v>
      </c>
      <c r="D9">
        <v>1</v>
      </c>
    </row>
    <row r="10" spans="1:4" x14ac:dyDescent="0.25">
      <c r="A10" t="s">
        <v>4</v>
      </c>
      <c r="B10" t="s">
        <v>625</v>
      </c>
      <c r="C10" t="s">
        <v>438</v>
      </c>
      <c r="D10">
        <v>-1</v>
      </c>
    </row>
    <row r="11" spans="1:4" x14ac:dyDescent="0.25">
      <c r="A11" t="s">
        <v>4</v>
      </c>
      <c r="B11" t="s">
        <v>366</v>
      </c>
      <c r="C11" t="s">
        <v>1433</v>
      </c>
      <c r="D11">
        <v>-3</v>
      </c>
    </row>
    <row r="12" spans="1:4" x14ac:dyDescent="0.25">
      <c r="A12" t="s">
        <v>4</v>
      </c>
      <c r="B12" t="s">
        <v>698</v>
      </c>
      <c r="C12" t="s">
        <v>575</v>
      </c>
      <c r="D12">
        <v>-1</v>
      </c>
    </row>
    <row r="13" spans="1:4" x14ac:dyDescent="0.25">
      <c r="A13" t="s">
        <v>4</v>
      </c>
      <c r="B13" t="s">
        <v>698</v>
      </c>
      <c r="C13" t="s">
        <v>2155</v>
      </c>
      <c r="D13">
        <v>0</v>
      </c>
    </row>
    <row r="14" spans="1:4" x14ac:dyDescent="0.25">
      <c r="A14" t="s">
        <v>4</v>
      </c>
      <c r="B14" t="s">
        <v>2158</v>
      </c>
      <c r="C14" t="s">
        <v>1872</v>
      </c>
      <c r="D14">
        <v>2</v>
      </c>
    </row>
    <row r="15" spans="1:4" x14ac:dyDescent="0.25">
      <c r="A15" t="s">
        <v>4</v>
      </c>
      <c r="B15" t="s">
        <v>743</v>
      </c>
      <c r="C15" t="s">
        <v>1873</v>
      </c>
      <c r="D15">
        <v>4</v>
      </c>
    </row>
    <row r="16" spans="1:4" x14ac:dyDescent="0.25">
      <c r="A16" t="s">
        <v>4</v>
      </c>
      <c r="B16" t="s">
        <v>341</v>
      </c>
      <c r="C16" t="s">
        <v>1875</v>
      </c>
      <c r="D16">
        <v>2</v>
      </c>
    </row>
    <row r="17" spans="1:4" x14ac:dyDescent="0.25">
      <c r="A17" t="s">
        <v>4</v>
      </c>
      <c r="B17" t="s">
        <v>414</v>
      </c>
      <c r="C17" t="s">
        <v>447</v>
      </c>
      <c r="D17">
        <v>-1</v>
      </c>
    </row>
    <row r="18" spans="1:4" x14ac:dyDescent="0.25">
      <c r="A18" t="s">
        <v>4</v>
      </c>
      <c r="B18" t="s">
        <v>815</v>
      </c>
      <c r="C18" t="s">
        <v>1820</v>
      </c>
      <c r="D18">
        <v>0</v>
      </c>
    </row>
    <row r="19" spans="1:4" x14ac:dyDescent="0.25">
      <c r="A19" t="s">
        <v>4</v>
      </c>
      <c r="B19" t="s">
        <v>1237</v>
      </c>
      <c r="C19" t="s">
        <v>1821</v>
      </c>
      <c r="D19">
        <v>-2</v>
      </c>
    </row>
    <row r="20" spans="1:4" x14ac:dyDescent="0.25">
      <c r="A20" t="s">
        <v>4</v>
      </c>
      <c r="B20" t="s">
        <v>582</v>
      </c>
      <c r="C20" t="s">
        <v>2205</v>
      </c>
      <c r="D20">
        <v>-5</v>
      </c>
    </row>
    <row r="21" spans="1:4" x14ac:dyDescent="0.25">
      <c r="A21" t="s">
        <v>40</v>
      </c>
      <c r="B21" t="s">
        <v>1007</v>
      </c>
      <c r="C21" t="s">
        <v>454</v>
      </c>
      <c r="D21">
        <v>-2</v>
      </c>
    </row>
    <row r="22" spans="1:4" x14ac:dyDescent="0.25">
      <c r="A22" t="s">
        <v>40</v>
      </c>
      <c r="B22" t="s">
        <v>565</v>
      </c>
      <c r="C22" t="s">
        <v>455</v>
      </c>
      <c r="D22">
        <v>1</v>
      </c>
    </row>
    <row r="23" spans="1:4" x14ac:dyDescent="0.25">
      <c r="A23" t="s">
        <v>40</v>
      </c>
      <c r="B23" t="s">
        <v>2355</v>
      </c>
      <c r="C23" t="s">
        <v>3721</v>
      </c>
      <c r="D23">
        <v>0</v>
      </c>
    </row>
    <row r="24" spans="1:4" x14ac:dyDescent="0.25">
      <c r="A24" t="s">
        <v>40</v>
      </c>
      <c r="B24" t="s">
        <v>2355</v>
      </c>
      <c r="C24" t="s">
        <v>2702</v>
      </c>
      <c r="D24">
        <v>-1</v>
      </c>
    </row>
    <row r="25" spans="1:4" x14ac:dyDescent="0.25">
      <c r="A25" t="s">
        <v>40</v>
      </c>
      <c r="B25" t="s">
        <v>1573</v>
      </c>
      <c r="C25" t="s">
        <v>2703</v>
      </c>
      <c r="D25">
        <v>1</v>
      </c>
    </row>
    <row r="26" spans="1:4" x14ac:dyDescent="0.25">
      <c r="A26" t="s">
        <v>40</v>
      </c>
      <c r="B26" t="s">
        <v>215</v>
      </c>
      <c r="C26" t="s">
        <v>929</v>
      </c>
      <c r="D26">
        <v>3</v>
      </c>
    </row>
    <row r="27" spans="1:4" x14ac:dyDescent="0.25">
      <c r="A27" t="s">
        <v>40</v>
      </c>
      <c r="B27" t="s">
        <v>62</v>
      </c>
      <c r="C27" t="s">
        <v>931</v>
      </c>
      <c r="D27">
        <v>5</v>
      </c>
    </row>
    <row r="28" spans="1:4" x14ac:dyDescent="0.25">
      <c r="A28" t="s">
        <v>40</v>
      </c>
      <c r="B28" t="s">
        <v>21</v>
      </c>
      <c r="C28" t="s">
        <v>2358</v>
      </c>
      <c r="D28">
        <v>4</v>
      </c>
    </row>
    <row r="29" spans="1:4" x14ac:dyDescent="0.25">
      <c r="A29" t="s">
        <v>40</v>
      </c>
      <c r="B29" t="s">
        <v>284</v>
      </c>
      <c r="C29" t="s">
        <v>1125</v>
      </c>
      <c r="D29">
        <v>6</v>
      </c>
    </row>
    <row r="30" spans="1:4" x14ac:dyDescent="0.25">
      <c r="A30" t="s">
        <v>40</v>
      </c>
      <c r="B30" t="s">
        <v>190</v>
      </c>
      <c r="C30" t="s">
        <v>1585</v>
      </c>
      <c r="D30">
        <v>7</v>
      </c>
    </row>
    <row r="31" spans="1:4" x14ac:dyDescent="0.25">
      <c r="A31" t="s">
        <v>40</v>
      </c>
      <c r="B31" t="s">
        <v>190</v>
      </c>
      <c r="C31" t="s">
        <v>1935</v>
      </c>
      <c r="D31">
        <v>8</v>
      </c>
    </row>
    <row r="32" spans="1:4" x14ac:dyDescent="0.25">
      <c r="A32" t="s">
        <v>40</v>
      </c>
      <c r="B32" t="s">
        <v>112</v>
      </c>
      <c r="C32" t="s">
        <v>3339</v>
      </c>
      <c r="D32">
        <v>6</v>
      </c>
    </row>
    <row r="33" spans="1:4" x14ac:dyDescent="0.25">
      <c r="A33" t="s">
        <v>40</v>
      </c>
      <c r="B33" t="s">
        <v>386</v>
      </c>
      <c r="C33" t="s">
        <v>938</v>
      </c>
      <c r="D33">
        <v>4</v>
      </c>
    </row>
    <row r="34" spans="1:4" x14ac:dyDescent="0.25">
      <c r="A34" t="s">
        <v>40</v>
      </c>
      <c r="B34" t="s">
        <v>292</v>
      </c>
      <c r="C34" t="s">
        <v>2704</v>
      </c>
      <c r="D34">
        <v>6</v>
      </c>
    </row>
    <row r="35" spans="1:4" x14ac:dyDescent="0.25">
      <c r="A35" t="s">
        <v>40</v>
      </c>
      <c r="B35" t="s">
        <v>2147</v>
      </c>
      <c r="C35" t="s">
        <v>727</v>
      </c>
      <c r="D35">
        <v>4</v>
      </c>
    </row>
    <row r="36" spans="1:4" x14ac:dyDescent="0.25">
      <c r="A36" t="s">
        <v>40</v>
      </c>
      <c r="B36" t="s">
        <v>1019</v>
      </c>
      <c r="C36" t="s">
        <v>940</v>
      </c>
      <c r="D36">
        <v>6</v>
      </c>
    </row>
    <row r="37" spans="1:4" x14ac:dyDescent="0.25">
      <c r="A37" t="s">
        <v>40</v>
      </c>
      <c r="B37" t="s">
        <v>505</v>
      </c>
      <c r="C37" t="s">
        <v>1667</v>
      </c>
      <c r="D37">
        <v>3</v>
      </c>
    </row>
    <row r="38" spans="1:4" x14ac:dyDescent="0.25">
      <c r="A38" t="s">
        <v>40</v>
      </c>
      <c r="B38" t="s">
        <v>1135</v>
      </c>
      <c r="C38" t="s">
        <v>1668</v>
      </c>
      <c r="D38">
        <v>4</v>
      </c>
    </row>
    <row r="39" spans="1:4" x14ac:dyDescent="0.25">
      <c r="A39" t="s">
        <v>80</v>
      </c>
      <c r="B39" t="s">
        <v>5</v>
      </c>
      <c r="C39" t="s">
        <v>474</v>
      </c>
      <c r="D39">
        <v>2</v>
      </c>
    </row>
    <row r="40" spans="1:4" x14ac:dyDescent="0.25">
      <c r="A40" t="s">
        <v>80</v>
      </c>
      <c r="B40" t="s">
        <v>827</v>
      </c>
      <c r="C40" t="s">
        <v>2269</v>
      </c>
      <c r="D40">
        <v>4</v>
      </c>
    </row>
    <row r="41" spans="1:4" x14ac:dyDescent="0.25">
      <c r="A41" t="s">
        <v>80</v>
      </c>
      <c r="B41" t="s">
        <v>566</v>
      </c>
      <c r="C41" t="s">
        <v>1671</v>
      </c>
      <c r="D41">
        <v>6</v>
      </c>
    </row>
    <row r="42" spans="1:4" x14ac:dyDescent="0.25">
      <c r="A42" t="s">
        <v>80</v>
      </c>
      <c r="B42" t="s">
        <v>566</v>
      </c>
      <c r="C42" t="s">
        <v>1672</v>
      </c>
      <c r="D42">
        <v>7</v>
      </c>
    </row>
    <row r="43" spans="1:4" x14ac:dyDescent="0.25">
      <c r="A43" t="s">
        <v>80</v>
      </c>
      <c r="B43" t="s">
        <v>2431</v>
      </c>
      <c r="C43" t="s">
        <v>2305</v>
      </c>
      <c r="D43">
        <v>5</v>
      </c>
    </row>
    <row r="44" spans="1:4" x14ac:dyDescent="0.25">
      <c r="A44" t="s">
        <v>80</v>
      </c>
      <c r="B44" t="s">
        <v>596</v>
      </c>
      <c r="C44" t="s">
        <v>735</v>
      </c>
      <c r="D44">
        <v>3</v>
      </c>
    </row>
    <row r="45" spans="1:4" x14ac:dyDescent="0.25">
      <c r="A45" t="s">
        <v>80</v>
      </c>
      <c r="B45" t="s">
        <v>961</v>
      </c>
      <c r="C45" t="s">
        <v>2596</v>
      </c>
      <c r="D45">
        <v>5</v>
      </c>
    </row>
    <row r="46" spans="1:4" x14ac:dyDescent="0.25">
      <c r="A46" t="s">
        <v>80</v>
      </c>
      <c r="B46" t="s">
        <v>1151</v>
      </c>
      <c r="C46" t="s">
        <v>2597</v>
      </c>
      <c r="D46">
        <v>4</v>
      </c>
    </row>
    <row r="47" spans="1:4" x14ac:dyDescent="0.25">
      <c r="A47" t="s">
        <v>80</v>
      </c>
      <c r="B47" t="s">
        <v>1151</v>
      </c>
      <c r="C47" t="s">
        <v>484</v>
      </c>
      <c r="D47">
        <v>3</v>
      </c>
    </row>
    <row r="48" spans="1:4" x14ac:dyDescent="0.25">
      <c r="A48" t="s">
        <v>80</v>
      </c>
      <c r="B48" t="s">
        <v>1073</v>
      </c>
      <c r="C48" t="s">
        <v>3699</v>
      </c>
      <c r="D48">
        <v>5</v>
      </c>
    </row>
    <row r="49" spans="1:4" x14ac:dyDescent="0.25">
      <c r="A49" t="s">
        <v>80</v>
      </c>
      <c r="B49" t="s">
        <v>146</v>
      </c>
      <c r="C49" t="s">
        <v>3700</v>
      </c>
      <c r="D49">
        <v>7</v>
      </c>
    </row>
    <row r="50" spans="1:4" x14ac:dyDescent="0.25">
      <c r="A50" t="s">
        <v>80</v>
      </c>
      <c r="B50" t="s">
        <v>448</v>
      </c>
      <c r="C50" t="s">
        <v>3438</v>
      </c>
      <c r="D50">
        <v>8</v>
      </c>
    </row>
    <row r="51" spans="1:4" x14ac:dyDescent="0.25">
      <c r="A51" t="s">
        <v>80</v>
      </c>
      <c r="B51" t="s">
        <v>448</v>
      </c>
      <c r="C51" t="s">
        <v>2982</v>
      </c>
      <c r="D51">
        <v>9</v>
      </c>
    </row>
    <row r="52" spans="1:4" x14ac:dyDescent="0.25">
      <c r="A52" t="s">
        <v>80</v>
      </c>
      <c r="B52" t="s">
        <v>152</v>
      </c>
      <c r="C52" t="s">
        <v>1152</v>
      </c>
      <c r="D52">
        <v>12</v>
      </c>
    </row>
    <row r="53" spans="1:4" x14ac:dyDescent="0.25">
      <c r="A53" t="s">
        <v>80</v>
      </c>
      <c r="B53" t="s">
        <v>346</v>
      </c>
      <c r="C53" t="s">
        <v>1154</v>
      </c>
      <c r="D53">
        <v>9</v>
      </c>
    </row>
    <row r="54" spans="1:4" x14ac:dyDescent="0.25">
      <c r="A54" t="s">
        <v>80</v>
      </c>
      <c r="B54" t="s">
        <v>298</v>
      </c>
      <c r="C54" t="s">
        <v>1952</v>
      </c>
      <c r="D54">
        <v>11</v>
      </c>
    </row>
    <row r="55" spans="1:4" x14ac:dyDescent="0.25">
      <c r="A55" t="s">
        <v>80</v>
      </c>
      <c r="B55" t="s">
        <v>76</v>
      </c>
      <c r="C55" t="s">
        <v>2601</v>
      </c>
      <c r="D55">
        <v>9</v>
      </c>
    </row>
    <row r="56" spans="1:4" x14ac:dyDescent="0.25">
      <c r="A56" t="s">
        <v>123</v>
      </c>
      <c r="B56" t="s">
        <v>237</v>
      </c>
      <c r="C56" t="s">
        <v>3018</v>
      </c>
      <c r="D56">
        <v>11</v>
      </c>
    </row>
    <row r="57" spans="1:4" x14ac:dyDescent="0.25">
      <c r="A57" t="s">
        <v>123</v>
      </c>
      <c r="B57" t="s">
        <v>1208</v>
      </c>
      <c r="C57" t="s">
        <v>1464</v>
      </c>
      <c r="D57">
        <v>12</v>
      </c>
    </row>
    <row r="58" spans="1:4" x14ac:dyDescent="0.25">
      <c r="A58" t="s">
        <v>123</v>
      </c>
      <c r="B58" t="s">
        <v>777</v>
      </c>
      <c r="C58" t="s">
        <v>2791</v>
      </c>
      <c r="D58">
        <v>14</v>
      </c>
    </row>
    <row r="59" spans="1:4" x14ac:dyDescent="0.25">
      <c r="A59" t="s">
        <v>123</v>
      </c>
      <c r="B59" t="s">
        <v>359</v>
      </c>
      <c r="C59" t="s">
        <v>968</v>
      </c>
      <c r="D59">
        <v>17</v>
      </c>
    </row>
    <row r="60" spans="1:4" x14ac:dyDescent="0.25">
      <c r="A60" t="s">
        <v>123</v>
      </c>
      <c r="B60" t="s">
        <v>621</v>
      </c>
      <c r="C60" t="s">
        <v>2793</v>
      </c>
      <c r="D60">
        <v>14</v>
      </c>
    </row>
    <row r="61" spans="1:4" x14ac:dyDescent="0.25">
      <c r="A61" t="s">
        <v>123</v>
      </c>
      <c r="B61" t="s">
        <v>364</v>
      </c>
      <c r="C61" t="s">
        <v>2794</v>
      </c>
      <c r="D61">
        <v>12</v>
      </c>
    </row>
    <row r="62" spans="1:4" x14ac:dyDescent="0.25">
      <c r="A62" t="s">
        <v>123</v>
      </c>
      <c r="B62" t="s">
        <v>740</v>
      </c>
      <c r="C62" t="s">
        <v>2987</v>
      </c>
      <c r="D62">
        <v>13</v>
      </c>
    </row>
    <row r="63" spans="1:4" x14ac:dyDescent="0.25">
      <c r="A63" t="s">
        <v>123</v>
      </c>
      <c r="B63" t="s">
        <v>740</v>
      </c>
      <c r="C63" t="s">
        <v>2866</v>
      </c>
      <c r="D63">
        <v>14</v>
      </c>
    </row>
    <row r="64" spans="1:4" x14ac:dyDescent="0.25">
      <c r="A64" t="s">
        <v>123</v>
      </c>
      <c r="B64" t="s">
        <v>805</v>
      </c>
      <c r="C64" t="s">
        <v>4018</v>
      </c>
      <c r="D64">
        <v>16</v>
      </c>
    </row>
    <row r="65" spans="1:4" x14ac:dyDescent="0.25">
      <c r="A65" t="s">
        <v>123</v>
      </c>
      <c r="B65" t="s">
        <v>1108</v>
      </c>
      <c r="C65" t="s">
        <v>2867</v>
      </c>
      <c r="D65">
        <v>15</v>
      </c>
    </row>
    <row r="66" spans="1:4" x14ac:dyDescent="0.25">
      <c r="A66" t="s">
        <v>123</v>
      </c>
      <c r="B66" t="s">
        <v>1108</v>
      </c>
      <c r="C66" t="s">
        <v>3734</v>
      </c>
      <c r="D66">
        <v>14</v>
      </c>
    </row>
    <row r="67" spans="1:4" x14ac:dyDescent="0.25">
      <c r="A67" t="s">
        <v>123</v>
      </c>
      <c r="B67" t="s">
        <v>341</v>
      </c>
      <c r="C67" t="s">
        <v>1469</v>
      </c>
      <c r="D67">
        <v>11</v>
      </c>
    </row>
    <row r="68" spans="1:4" x14ac:dyDescent="0.25">
      <c r="A68" t="s">
        <v>123</v>
      </c>
      <c r="B68" t="s">
        <v>546</v>
      </c>
      <c r="C68" t="s">
        <v>1470</v>
      </c>
      <c r="D68">
        <v>14</v>
      </c>
    </row>
    <row r="69" spans="1:4" x14ac:dyDescent="0.25">
      <c r="A69" t="s">
        <v>123</v>
      </c>
      <c r="B69" t="s">
        <v>709</v>
      </c>
      <c r="C69" t="s">
        <v>4006</v>
      </c>
      <c r="D69">
        <v>17</v>
      </c>
    </row>
    <row r="70" spans="1:4" x14ac:dyDescent="0.25">
      <c r="A70" t="s">
        <v>123</v>
      </c>
      <c r="B70" t="s">
        <v>152</v>
      </c>
      <c r="C70" t="s">
        <v>2092</v>
      </c>
      <c r="D70">
        <v>19</v>
      </c>
    </row>
    <row r="72" spans="1:4" x14ac:dyDescent="0.25">
      <c r="A72" s="2" t="s">
        <v>157</v>
      </c>
    </row>
    <row r="73" spans="1:4" x14ac:dyDescent="0.25">
      <c r="A73" t="s">
        <v>158</v>
      </c>
      <c r="D73">
        <f>AVERAGE(D2:D70)</f>
        <v>5.7681159420289854</v>
      </c>
    </row>
    <row r="74" spans="1:4" x14ac:dyDescent="0.25">
      <c r="A74" t="s">
        <v>159</v>
      </c>
      <c r="D74">
        <f>MAX(D2:D70)</f>
        <v>19</v>
      </c>
    </row>
    <row r="75" spans="1:4" x14ac:dyDescent="0.25">
      <c r="A75" t="s">
        <v>160</v>
      </c>
      <c r="D75">
        <f>MIN(D2:D70)</f>
        <v>-5</v>
      </c>
    </row>
    <row r="76" spans="1:4" x14ac:dyDescent="0.25">
      <c r="A76" t="s">
        <v>161</v>
      </c>
      <c r="D76">
        <f>COUNTIF(D2:D70,"&gt;0")</f>
        <v>57</v>
      </c>
    </row>
    <row r="77" spans="1:4" x14ac:dyDescent="0.25">
      <c r="A77" t="s">
        <v>162</v>
      </c>
      <c r="D77">
        <f>COUNTIF(D2:D70,"=0")</f>
        <v>4</v>
      </c>
    </row>
    <row r="78" spans="1:4" x14ac:dyDescent="0.25">
      <c r="A78" t="s">
        <v>2920</v>
      </c>
      <c r="D78">
        <f>COUNTIF(D2:D70,"&lt;0")</f>
        <v>8</v>
      </c>
    </row>
    <row r="80" spans="1:4" x14ac:dyDescent="0.25">
      <c r="A80" s="2" t="s">
        <v>164</v>
      </c>
    </row>
    <row r="81" spans="1:4" x14ac:dyDescent="0.25">
      <c r="A81" t="s">
        <v>165</v>
      </c>
      <c r="D81">
        <f>AVERAGE(D2,D3,D4,D5,D6,D7,D8,D9,D10,D11,D12,D13,D14,D15,D16,D17,D18,D19,D20)</f>
        <v>0.57894736842105265</v>
      </c>
    </row>
    <row r="82" spans="1:4" x14ac:dyDescent="0.25">
      <c r="A82" t="s">
        <v>166</v>
      </c>
      <c r="D82">
        <f>AVERAGE(D21,D22,D23,D24,D25,D26,D27,D28,D29,D30,D31,D32,D33,D34,D35,D36,D37,D38)</f>
        <v>3.6111111111111112</v>
      </c>
    </row>
    <row r="83" spans="1:4" x14ac:dyDescent="0.25">
      <c r="A83" t="s">
        <v>167</v>
      </c>
      <c r="D83">
        <f>AVERAGE(D39,D40,D41,D42,D43,D44,D45,D46,D47,D48,D49,D50,D51,D52,D53,D54,D55)</f>
        <v>6.4117647058823533</v>
      </c>
    </row>
    <row r="84" spans="1:4" x14ac:dyDescent="0.25">
      <c r="A84" t="s">
        <v>168</v>
      </c>
      <c r="D84">
        <f>AVERAGE(D56,D57,D58,D59,D60,D61,D62,D63,D64,D65,D66,D67,D68,D69,D70)</f>
        <v>14.2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D10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242</v>
      </c>
      <c r="C2" t="s">
        <v>1923</v>
      </c>
      <c r="D2">
        <v>1</v>
      </c>
    </row>
    <row r="3" spans="1:4" x14ac:dyDescent="0.25">
      <c r="A3" t="s">
        <v>4</v>
      </c>
      <c r="B3" t="s">
        <v>242</v>
      </c>
      <c r="C3" t="s">
        <v>6</v>
      </c>
      <c r="D3">
        <v>2</v>
      </c>
    </row>
    <row r="4" spans="1:4" x14ac:dyDescent="0.25">
      <c r="A4" t="s">
        <v>4</v>
      </c>
      <c r="B4" t="s">
        <v>242</v>
      </c>
      <c r="C4" t="s">
        <v>171</v>
      </c>
      <c r="D4">
        <v>3</v>
      </c>
    </row>
    <row r="5" spans="1:4" x14ac:dyDescent="0.25">
      <c r="A5" t="s">
        <v>4</v>
      </c>
      <c r="B5" t="s">
        <v>2443</v>
      </c>
      <c r="C5" t="s">
        <v>174</v>
      </c>
      <c r="D5">
        <v>1</v>
      </c>
    </row>
    <row r="6" spans="1:4" x14ac:dyDescent="0.25">
      <c r="A6" t="s">
        <v>4</v>
      </c>
      <c r="B6" t="s">
        <v>47</v>
      </c>
      <c r="C6" t="s">
        <v>1191</v>
      </c>
      <c r="D6">
        <v>0</v>
      </c>
    </row>
    <row r="7" spans="1:4" x14ac:dyDescent="0.25">
      <c r="A7" t="s">
        <v>4</v>
      </c>
      <c r="B7" t="s">
        <v>49</v>
      </c>
      <c r="C7" t="s">
        <v>692</v>
      </c>
      <c r="D7">
        <v>3</v>
      </c>
    </row>
    <row r="8" spans="1:4" x14ac:dyDescent="0.25">
      <c r="A8" t="s">
        <v>4</v>
      </c>
      <c r="B8" t="s">
        <v>1246</v>
      </c>
      <c r="C8" t="s">
        <v>780</v>
      </c>
      <c r="D8">
        <v>6</v>
      </c>
    </row>
    <row r="9" spans="1:4" x14ac:dyDescent="0.25">
      <c r="A9" t="s">
        <v>4</v>
      </c>
      <c r="B9" t="s">
        <v>759</v>
      </c>
      <c r="C9" t="s">
        <v>2559</v>
      </c>
      <c r="D9">
        <v>3</v>
      </c>
    </row>
    <row r="10" spans="1:4" x14ac:dyDescent="0.25">
      <c r="A10" t="s">
        <v>4</v>
      </c>
      <c r="B10" t="s">
        <v>937</v>
      </c>
      <c r="C10" t="s">
        <v>2560</v>
      </c>
      <c r="D10">
        <v>5</v>
      </c>
    </row>
    <row r="11" spans="1:4" x14ac:dyDescent="0.25">
      <c r="A11" t="s">
        <v>4</v>
      </c>
      <c r="B11" t="s">
        <v>1602</v>
      </c>
      <c r="C11" t="s">
        <v>316</v>
      </c>
      <c r="D11">
        <v>8</v>
      </c>
    </row>
    <row r="12" spans="1:4" x14ac:dyDescent="0.25">
      <c r="A12" t="s">
        <v>4</v>
      </c>
      <c r="B12" t="s">
        <v>1040</v>
      </c>
      <c r="C12" t="s">
        <v>2512</v>
      </c>
      <c r="D12">
        <v>11</v>
      </c>
    </row>
    <row r="13" spans="1:4" x14ac:dyDescent="0.25">
      <c r="A13" t="s">
        <v>4</v>
      </c>
      <c r="B13" t="s">
        <v>629</v>
      </c>
      <c r="C13" t="s">
        <v>1015</v>
      </c>
      <c r="D13">
        <v>9</v>
      </c>
    </row>
    <row r="14" spans="1:4" x14ac:dyDescent="0.25">
      <c r="A14" t="s">
        <v>4</v>
      </c>
      <c r="B14" t="s">
        <v>1202</v>
      </c>
      <c r="C14" t="s">
        <v>1017</v>
      </c>
      <c r="D14">
        <v>12</v>
      </c>
    </row>
    <row r="15" spans="1:4" x14ac:dyDescent="0.25">
      <c r="A15" t="s">
        <v>4</v>
      </c>
      <c r="B15" t="s">
        <v>612</v>
      </c>
      <c r="C15" t="s">
        <v>3371</v>
      </c>
      <c r="D15">
        <v>14</v>
      </c>
    </row>
    <row r="16" spans="1:4" x14ac:dyDescent="0.25">
      <c r="A16" t="s">
        <v>4</v>
      </c>
      <c r="B16" t="s">
        <v>1115</v>
      </c>
      <c r="C16" t="s">
        <v>2922</v>
      </c>
      <c r="D16">
        <v>11</v>
      </c>
    </row>
    <row r="17" spans="1:4" x14ac:dyDescent="0.25">
      <c r="A17" t="s">
        <v>4</v>
      </c>
      <c r="B17" t="s">
        <v>1115</v>
      </c>
      <c r="C17" t="s">
        <v>1020</v>
      </c>
      <c r="D17">
        <v>10</v>
      </c>
    </row>
    <row r="18" spans="1:4" x14ac:dyDescent="0.25">
      <c r="A18" t="s">
        <v>4</v>
      </c>
      <c r="B18" t="s">
        <v>927</v>
      </c>
      <c r="C18" t="s">
        <v>3730</v>
      </c>
      <c r="D18">
        <v>13</v>
      </c>
    </row>
    <row r="19" spans="1:4" x14ac:dyDescent="0.25">
      <c r="A19" t="s">
        <v>4</v>
      </c>
      <c r="B19" t="s">
        <v>1206</v>
      </c>
      <c r="C19" t="s">
        <v>2520</v>
      </c>
      <c r="D19">
        <v>12</v>
      </c>
    </row>
    <row r="20" spans="1:4" x14ac:dyDescent="0.25">
      <c r="A20" t="s">
        <v>40</v>
      </c>
      <c r="B20" t="s">
        <v>1346</v>
      </c>
      <c r="C20" t="s">
        <v>1927</v>
      </c>
      <c r="D20">
        <v>10</v>
      </c>
    </row>
    <row r="21" spans="1:4" x14ac:dyDescent="0.25">
      <c r="A21" t="s">
        <v>40</v>
      </c>
      <c r="B21" t="s">
        <v>1431</v>
      </c>
      <c r="C21" t="s">
        <v>1581</v>
      </c>
      <c r="D21">
        <v>7</v>
      </c>
    </row>
    <row r="22" spans="1:4" x14ac:dyDescent="0.25">
      <c r="A22" t="s">
        <v>40</v>
      </c>
      <c r="B22" t="s">
        <v>1267</v>
      </c>
      <c r="C22" t="s">
        <v>1582</v>
      </c>
      <c r="D22">
        <v>9</v>
      </c>
    </row>
    <row r="23" spans="1:4" x14ac:dyDescent="0.25">
      <c r="A23" t="s">
        <v>40</v>
      </c>
      <c r="B23" t="s">
        <v>1877</v>
      </c>
      <c r="C23" t="s">
        <v>2482</v>
      </c>
      <c r="D23">
        <v>6</v>
      </c>
    </row>
    <row r="24" spans="1:4" x14ac:dyDescent="0.25">
      <c r="A24" t="s">
        <v>40</v>
      </c>
      <c r="B24" t="s">
        <v>588</v>
      </c>
      <c r="C24" t="s">
        <v>717</v>
      </c>
      <c r="D24">
        <v>4</v>
      </c>
    </row>
    <row r="25" spans="1:4" x14ac:dyDescent="0.25">
      <c r="A25" t="s">
        <v>40</v>
      </c>
      <c r="B25" t="s">
        <v>1169</v>
      </c>
      <c r="C25" t="s">
        <v>216</v>
      </c>
      <c r="D25">
        <v>6</v>
      </c>
    </row>
    <row r="26" spans="1:4" x14ac:dyDescent="0.25">
      <c r="A26" t="s">
        <v>40</v>
      </c>
      <c r="B26" t="s">
        <v>494</v>
      </c>
      <c r="C26" t="s">
        <v>2358</v>
      </c>
      <c r="D26">
        <v>4</v>
      </c>
    </row>
    <row r="27" spans="1:4" x14ac:dyDescent="0.25">
      <c r="A27" t="s">
        <v>40</v>
      </c>
      <c r="B27" t="s">
        <v>13</v>
      </c>
      <c r="C27" t="s">
        <v>1125</v>
      </c>
      <c r="D27">
        <v>6</v>
      </c>
    </row>
    <row r="28" spans="1:4" x14ac:dyDescent="0.25">
      <c r="A28" t="s">
        <v>40</v>
      </c>
      <c r="B28" t="s">
        <v>1417</v>
      </c>
      <c r="C28" t="s">
        <v>1126</v>
      </c>
      <c r="D28">
        <v>3</v>
      </c>
    </row>
    <row r="29" spans="1:4" x14ac:dyDescent="0.25">
      <c r="A29" t="s">
        <v>40</v>
      </c>
      <c r="B29" t="s">
        <v>1441</v>
      </c>
      <c r="C29" t="s">
        <v>345</v>
      </c>
      <c r="D29">
        <v>0</v>
      </c>
    </row>
    <row r="30" spans="1:4" x14ac:dyDescent="0.25">
      <c r="A30" t="s">
        <v>40</v>
      </c>
      <c r="B30" t="s">
        <v>805</v>
      </c>
      <c r="C30" t="s">
        <v>2127</v>
      </c>
      <c r="D30">
        <v>-1</v>
      </c>
    </row>
    <row r="31" spans="1:4" x14ac:dyDescent="0.25">
      <c r="A31" t="s">
        <v>40</v>
      </c>
      <c r="B31" t="s">
        <v>805</v>
      </c>
      <c r="C31" t="s">
        <v>3981</v>
      </c>
      <c r="D31">
        <v>-2</v>
      </c>
    </row>
    <row r="32" spans="1:4" x14ac:dyDescent="0.25">
      <c r="A32" t="s">
        <v>40</v>
      </c>
      <c r="B32" t="s">
        <v>319</v>
      </c>
      <c r="C32" t="s">
        <v>2333</v>
      </c>
      <c r="D32">
        <v>-4</v>
      </c>
    </row>
    <row r="33" spans="1:4" x14ac:dyDescent="0.25">
      <c r="A33" t="s">
        <v>40</v>
      </c>
      <c r="B33" t="s">
        <v>2112</v>
      </c>
      <c r="C33" t="s">
        <v>1718</v>
      </c>
      <c r="D33">
        <v>-2</v>
      </c>
    </row>
    <row r="34" spans="1:4" x14ac:dyDescent="0.25">
      <c r="A34" t="s">
        <v>40</v>
      </c>
      <c r="B34" t="s">
        <v>118</v>
      </c>
      <c r="C34" t="s">
        <v>1719</v>
      </c>
      <c r="D34">
        <v>-5</v>
      </c>
    </row>
    <row r="35" spans="1:4" x14ac:dyDescent="0.25">
      <c r="A35" t="s">
        <v>40</v>
      </c>
      <c r="B35" t="s">
        <v>1222</v>
      </c>
      <c r="C35" t="s">
        <v>2876</v>
      </c>
      <c r="D35">
        <v>-3</v>
      </c>
    </row>
    <row r="36" spans="1:4" x14ac:dyDescent="0.25">
      <c r="A36" t="s">
        <v>40</v>
      </c>
      <c r="B36" t="s">
        <v>2608</v>
      </c>
      <c r="C36" t="s">
        <v>1830</v>
      </c>
      <c r="D36">
        <v>-1</v>
      </c>
    </row>
    <row r="37" spans="1:4" x14ac:dyDescent="0.25">
      <c r="A37" t="s">
        <v>40</v>
      </c>
      <c r="B37" t="s">
        <v>322</v>
      </c>
      <c r="C37" t="s">
        <v>4064</v>
      </c>
      <c r="D37">
        <v>-2</v>
      </c>
    </row>
    <row r="38" spans="1:4" x14ac:dyDescent="0.25">
      <c r="A38" t="s">
        <v>40</v>
      </c>
      <c r="B38" t="s">
        <v>322</v>
      </c>
      <c r="C38" t="s">
        <v>2217</v>
      </c>
      <c r="D38">
        <v>-3</v>
      </c>
    </row>
    <row r="39" spans="1:4" x14ac:dyDescent="0.25">
      <c r="A39" t="s">
        <v>40</v>
      </c>
      <c r="B39" t="s">
        <v>154</v>
      </c>
      <c r="C39" t="s">
        <v>238</v>
      </c>
      <c r="D39">
        <v>-2</v>
      </c>
    </row>
    <row r="40" spans="1:4" x14ac:dyDescent="0.25">
      <c r="A40" t="s">
        <v>40</v>
      </c>
      <c r="B40" t="s">
        <v>154</v>
      </c>
      <c r="C40" t="s">
        <v>1722</v>
      </c>
      <c r="D40">
        <v>-1</v>
      </c>
    </row>
    <row r="41" spans="1:4" x14ac:dyDescent="0.25">
      <c r="A41" t="s">
        <v>80</v>
      </c>
      <c r="B41" t="s">
        <v>855</v>
      </c>
      <c r="C41" t="s">
        <v>362</v>
      </c>
      <c r="D41">
        <v>1</v>
      </c>
    </row>
    <row r="42" spans="1:4" x14ac:dyDescent="0.25">
      <c r="A42" t="s">
        <v>80</v>
      </c>
      <c r="B42" t="s">
        <v>932</v>
      </c>
      <c r="C42" t="s">
        <v>1762</v>
      </c>
      <c r="D42">
        <v>-2</v>
      </c>
    </row>
    <row r="43" spans="1:4" x14ac:dyDescent="0.25">
      <c r="A43" t="s">
        <v>80</v>
      </c>
      <c r="B43" t="s">
        <v>9</v>
      </c>
      <c r="C43" t="s">
        <v>1226</v>
      </c>
      <c r="D43">
        <v>1</v>
      </c>
    </row>
    <row r="44" spans="1:4" x14ac:dyDescent="0.25">
      <c r="A44" t="s">
        <v>80</v>
      </c>
      <c r="B44" t="s">
        <v>400</v>
      </c>
      <c r="C44" t="s">
        <v>367</v>
      </c>
      <c r="D44">
        <v>0</v>
      </c>
    </row>
    <row r="45" spans="1:4" x14ac:dyDescent="0.25">
      <c r="A45" t="s">
        <v>80</v>
      </c>
      <c r="B45" t="s">
        <v>400</v>
      </c>
      <c r="C45" t="s">
        <v>252</v>
      </c>
      <c r="D45">
        <v>-1</v>
      </c>
    </row>
    <row r="46" spans="1:4" x14ac:dyDescent="0.25">
      <c r="A46" t="s">
        <v>80</v>
      </c>
      <c r="B46" t="s">
        <v>643</v>
      </c>
      <c r="C46" t="s">
        <v>2489</v>
      </c>
      <c r="D46">
        <v>1</v>
      </c>
    </row>
    <row r="47" spans="1:4" x14ac:dyDescent="0.25">
      <c r="A47" t="s">
        <v>80</v>
      </c>
      <c r="B47" t="s">
        <v>54</v>
      </c>
      <c r="C47" t="s">
        <v>2878</v>
      </c>
      <c r="D47">
        <v>-1</v>
      </c>
    </row>
    <row r="48" spans="1:4" x14ac:dyDescent="0.25">
      <c r="A48" t="s">
        <v>80</v>
      </c>
      <c r="B48" t="s">
        <v>832</v>
      </c>
      <c r="C48" t="s">
        <v>2879</v>
      </c>
      <c r="D48">
        <v>1</v>
      </c>
    </row>
    <row r="49" spans="1:4" x14ac:dyDescent="0.25">
      <c r="A49" t="s">
        <v>80</v>
      </c>
      <c r="B49" t="s">
        <v>135</v>
      </c>
      <c r="C49" t="s">
        <v>744</v>
      </c>
      <c r="D49">
        <v>-1</v>
      </c>
    </row>
    <row r="50" spans="1:4" x14ac:dyDescent="0.25">
      <c r="A50" t="s">
        <v>80</v>
      </c>
      <c r="B50" t="s">
        <v>1695</v>
      </c>
      <c r="C50" t="s">
        <v>2880</v>
      </c>
      <c r="D50">
        <v>1</v>
      </c>
    </row>
    <row r="51" spans="1:4" x14ac:dyDescent="0.25">
      <c r="A51" t="s">
        <v>80</v>
      </c>
      <c r="B51" t="s">
        <v>104</v>
      </c>
      <c r="C51" t="s">
        <v>1729</v>
      </c>
      <c r="D51">
        <v>-2</v>
      </c>
    </row>
    <row r="52" spans="1:4" x14ac:dyDescent="0.25">
      <c r="A52" t="s">
        <v>80</v>
      </c>
      <c r="B52" t="s">
        <v>106</v>
      </c>
      <c r="C52" t="s">
        <v>748</v>
      </c>
      <c r="D52">
        <v>0</v>
      </c>
    </row>
    <row r="53" spans="1:4" x14ac:dyDescent="0.25">
      <c r="A53" t="s">
        <v>80</v>
      </c>
      <c r="B53" t="s">
        <v>984</v>
      </c>
      <c r="C53" t="s">
        <v>1530</v>
      </c>
      <c r="D53">
        <v>1</v>
      </c>
    </row>
    <row r="54" spans="1:4" x14ac:dyDescent="0.25">
      <c r="A54" t="s">
        <v>80</v>
      </c>
      <c r="B54" t="s">
        <v>1200</v>
      </c>
      <c r="C54" t="s">
        <v>1531</v>
      </c>
      <c r="D54">
        <v>4</v>
      </c>
    </row>
    <row r="55" spans="1:4" x14ac:dyDescent="0.25">
      <c r="A55" t="s">
        <v>80</v>
      </c>
      <c r="B55" t="s">
        <v>1739</v>
      </c>
      <c r="C55" t="s">
        <v>1532</v>
      </c>
      <c r="D55">
        <v>2</v>
      </c>
    </row>
    <row r="56" spans="1:4" x14ac:dyDescent="0.25">
      <c r="A56" t="s">
        <v>80</v>
      </c>
      <c r="B56" t="s">
        <v>267</v>
      </c>
      <c r="C56" t="s">
        <v>1605</v>
      </c>
      <c r="D56">
        <v>5</v>
      </c>
    </row>
    <row r="57" spans="1:4" x14ac:dyDescent="0.25">
      <c r="A57" t="s">
        <v>80</v>
      </c>
      <c r="B57" t="s">
        <v>2317</v>
      </c>
      <c r="C57" t="s">
        <v>2340</v>
      </c>
      <c r="D57">
        <v>4</v>
      </c>
    </row>
    <row r="58" spans="1:4" x14ac:dyDescent="0.25">
      <c r="A58" t="s">
        <v>80</v>
      </c>
      <c r="B58" t="s">
        <v>2317</v>
      </c>
      <c r="C58" t="s">
        <v>636</v>
      </c>
      <c r="D58">
        <v>3</v>
      </c>
    </row>
    <row r="59" spans="1:4" x14ac:dyDescent="0.25">
      <c r="A59" t="s">
        <v>80</v>
      </c>
      <c r="B59" t="s">
        <v>996</v>
      </c>
      <c r="C59" t="s">
        <v>391</v>
      </c>
      <c r="D59">
        <v>1</v>
      </c>
    </row>
    <row r="60" spans="1:4" x14ac:dyDescent="0.25">
      <c r="A60" t="s">
        <v>80</v>
      </c>
      <c r="B60" t="s">
        <v>999</v>
      </c>
      <c r="C60" t="s">
        <v>638</v>
      </c>
      <c r="D60">
        <v>4</v>
      </c>
    </row>
    <row r="61" spans="1:4" x14ac:dyDescent="0.25">
      <c r="A61" t="s">
        <v>80</v>
      </c>
      <c r="B61" t="s">
        <v>972</v>
      </c>
      <c r="C61" t="s">
        <v>395</v>
      </c>
      <c r="D61">
        <v>5</v>
      </c>
    </row>
    <row r="62" spans="1:4" x14ac:dyDescent="0.25">
      <c r="A62" t="s">
        <v>80</v>
      </c>
      <c r="B62" t="s">
        <v>972</v>
      </c>
      <c r="C62" t="s">
        <v>3019</v>
      </c>
      <c r="D62">
        <v>6</v>
      </c>
    </row>
    <row r="63" spans="1:4" x14ac:dyDescent="0.25">
      <c r="A63" t="s">
        <v>80</v>
      </c>
      <c r="B63" t="s">
        <v>1162</v>
      </c>
      <c r="C63" t="s">
        <v>640</v>
      </c>
      <c r="D63">
        <v>4</v>
      </c>
    </row>
    <row r="64" spans="1:4" x14ac:dyDescent="0.25">
      <c r="A64" t="s">
        <v>123</v>
      </c>
      <c r="B64" t="s">
        <v>205</v>
      </c>
      <c r="C64" t="s">
        <v>2916</v>
      </c>
      <c r="D64">
        <v>1</v>
      </c>
    </row>
    <row r="65" spans="1:4" x14ac:dyDescent="0.25">
      <c r="A65" t="s">
        <v>123</v>
      </c>
      <c r="B65" t="s">
        <v>2074</v>
      </c>
      <c r="C65" t="s">
        <v>1738</v>
      </c>
      <c r="D65">
        <v>4</v>
      </c>
    </row>
    <row r="66" spans="1:4" x14ac:dyDescent="0.25">
      <c r="A66" t="s">
        <v>123</v>
      </c>
      <c r="B66" t="s">
        <v>250</v>
      </c>
      <c r="C66" t="s">
        <v>1174</v>
      </c>
      <c r="D66">
        <v>3</v>
      </c>
    </row>
    <row r="67" spans="1:4" x14ac:dyDescent="0.25">
      <c r="A67" t="s">
        <v>123</v>
      </c>
      <c r="B67" t="s">
        <v>1086</v>
      </c>
      <c r="C67" t="s">
        <v>647</v>
      </c>
      <c r="D67">
        <v>4</v>
      </c>
    </row>
    <row r="68" spans="1:4" x14ac:dyDescent="0.25">
      <c r="A68" t="s">
        <v>123</v>
      </c>
      <c r="B68" t="s">
        <v>1086</v>
      </c>
      <c r="C68" t="s">
        <v>2554</v>
      </c>
      <c r="D68">
        <v>5</v>
      </c>
    </row>
    <row r="69" spans="1:4" x14ac:dyDescent="0.25">
      <c r="A69" t="s">
        <v>123</v>
      </c>
      <c r="B69" t="s">
        <v>254</v>
      </c>
      <c r="C69" t="s">
        <v>1176</v>
      </c>
      <c r="D69">
        <v>3</v>
      </c>
    </row>
    <row r="70" spans="1:4" x14ac:dyDescent="0.25">
      <c r="A70" t="s">
        <v>123</v>
      </c>
      <c r="B70" t="s">
        <v>259</v>
      </c>
      <c r="C70" t="s">
        <v>1178</v>
      </c>
      <c r="D70">
        <v>4</v>
      </c>
    </row>
    <row r="71" spans="1:4" x14ac:dyDescent="0.25">
      <c r="A71" t="s">
        <v>123</v>
      </c>
      <c r="B71" t="s">
        <v>97</v>
      </c>
      <c r="C71" t="s">
        <v>1960</v>
      </c>
      <c r="D71">
        <v>1</v>
      </c>
    </row>
    <row r="72" spans="1:4" x14ac:dyDescent="0.25">
      <c r="A72" t="s">
        <v>123</v>
      </c>
      <c r="B72" t="s">
        <v>2154</v>
      </c>
      <c r="C72" t="s">
        <v>1961</v>
      </c>
      <c r="D72">
        <v>4</v>
      </c>
    </row>
    <row r="73" spans="1:4" x14ac:dyDescent="0.25">
      <c r="A73" t="s">
        <v>123</v>
      </c>
      <c r="B73" t="s">
        <v>1795</v>
      </c>
      <c r="C73" t="s">
        <v>1962</v>
      </c>
      <c r="D73">
        <v>3</v>
      </c>
    </row>
    <row r="74" spans="1:4" x14ac:dyDescent="0.25">
      <c r="A74" t="s">
        <v>123</v>
      </c>
      <c r="B74" t="s">
        <v>1795</v>
      </c>
      <c r="C74" t="s">
        <v>1963</v>
      </c>
      <c r="D74">
        <v>2</v>
      </c>
    </row>
    <row r="75" spans="1:4" x14ac:dyDescent="0.25">
      <c r="A75" t="s">
        <v>123</v>
      </c>
      <c r="B75" t="s">
        <v>764</v>
      </c>
      <c r="C75" t="s">
        <v>2244</v>
      </c>
      <c r="D75">
        <v>-1</v>
      </c>
    </row>
    <row r="76" spans="1:4" x14ac:dyDescent="0.25">
      <c r="A76" t="s">
        <v>123</v>
      </c>
      <c r="B76" t="s">
        <v>1436</v>
      </c>
      <c r="C76" t="s">
        <v>4267</v>
      </c>
      <c r="D76">
        <v>1</v>
      </c>
    </row>
    <row r="77" spans="1:4" x14ac:dyDescent="0.25">
      <c r="A77" t="s">
        <v>123</v>
      </c>
      <c r="B77" t="s">
        <v>67</v>
      </c>
      <c r="C77" t="s">
        <v>3458</v>
      </c>
      <c r="D77">
        <v>-1</v>
      </c>
    </row>
    <row r="78" spans="1:4" x14ac:dyDescent="0.25">
      <c r="A78" t="s">
        <v>123</v>
      </c>
      <c r="B78" t="s">
        <v>286</v>
      </c>
      <c r="C78" t="s">
        <v>528</v>
      </c>
      <c r="D78">
        <v>0</v>
      </c>
    </row>
    <row r="79" spans="1:4" x14ac:dyDescent="0.25">
      <c r="A79" t="s">
        <v>123</v>
      </c>
      <c r="B79" t="s">
        <v>286</v>
      </c>
      <c r="C79" t="s">
        <v>2735</v>
      </c>
      <c r="D79">
        <v>1</v>
      </c>
    </row>
    <row r="80" spans="1:4" x14ac:dyDescent="0.25">
      <c r="A80" t="s">
        <v>123</v>
      </c>
      <c r="B80" t="s">
        <v>196</v>
      </c>
      <c r="C80" t="s">
        <v>672</v>
      </c>
      <c r="D80">
        <v>2</v>
      </c>
    </row>
    <row r="81" spans="1:4" x14ac:dyDescent="0.25">
      <c r="A81" t="s">
        <v>123</v>
      </c>
      <c r="B81" t="s">
        <v>196</v>
      </c>
      <c r="C81" t="s">
        <v>4223</v>
      </c>
      <c r="D81">
        <v>3</v>
      </c>
    </row>
    <row r="82" spans="1:4" x14ac:dyDescent="0.25">
      <c r="A82" t="s">
        <v>123</v>
      </c>
      <c r="B82" t="s">
        <v>146</v>
      </c>
      <c r="C82" t="s">
        <v>3580</v>
      </c>
      <c r="D82">
        <v>0</v>
      </c>
    </row>
    <row r="83" spans="1:4" x14ac:dyDescent="0.25">
      <c r="A83" t="s">
        <v>123</v>
      </c>
      <c r="B83" t="s">
        <v>671</v>
      </c>
      <c r="C83" t="s">
        <v>4268</v>
      </c>
      <c r="D83">
        <v>3</v>
      </c>
    </row>
    <row r="84" spans="1:4" x14ac:dyDescent="0.25">
      <c r="A84" t="s">
        <v>123</v>
      </c>
      <c r="B84" t="s">
        <v>1048</v>
      </c>
      <c r="C84" t="s">
        <v>3074</v>
      </c>
      <c r="D84">
        <v>0</v>
      </c>
    </row>
    <row r="85" spans="1:4" x14ac:dyDescent="0.25">
      <c r="A85" t="s">
        <v>123</v>
      </c>
      <c r="B85" t="s">
        <v>550</v>
      </c>
      <c r="C85" t="s">
        <v>2508</v>
      </c>
      <c r="D85">
        <v>2</v>
      </c>
    </row>
    <row r="86" spans="1:4" x14ac:dyDescent="0.25">
      <c r="A86" t="s">
        <v>123</v>
      </c>
      <c r="B86" t="s">
        <v>320</v>
      </c>
      <c r="C86" t="s">
        <v>2509</v>
      </c>
      <c r="D86">
        <v>3</v>
      </c>
    </row>
    <row r="87" spans="1:4" x14ac:dyDescent="0.25">
      <c r="A87" t="s">
        <v>123</v>
      </c>
      <c r="B87" t="s">
        <v>350</v>
      </c>
      <c r="C87" t="s">
        <v>4269</v>
      </c>
      <c r="D87">
        <v>5</v>
      </c>
    </row>
    <row r="88" spans="1:4" x14ac:dyDescent="0.25">
      <c r="A88" t="s">
        <v>123</v>
      </c>
      <c r="B88" t="s">
        <v>350</v>
      </c>
      <c r="C88" t="s">
        <v>4218</v>
      </c>
      <c r="D88">
        <v>4</v>
      </c>
    </row>
    <row r="89" spans="1:4" x14ac:dyDescent="0.25">
      <c r="A89" t="s">
        <v>123</v>
      </c>
      <c r="B89" t="s">
        <v>350</v>
      </c>
      <c r="C89" t="s">
        <v>1628</v>
      </c>
      <c r="D89">
        <v>3</v>
      </c>
    </row>
    <row r="90" spans="1:4" x14ac:dyDescent="0.25">
      <c r="A90" t="s">
        <v>123</v>
      </c>
      <c r="B90" t="s">
        <v>1276</v>
      </c>
      <c r="C90" t="s">
        <v>2324</v>
      </c>
      <c r="D90">
        <v>4</v>
      </c>
    </row>
    <row r="91" spans="1:4" x14ac:dyDescent="0.25">
      <c r="A91" t="s">
        <v>123</v>
      </c>
      <c r="B91" t="s">
        <v>1276</v>
      </c>
      <c r="C91" t="s">
        <v>4270</v>
      </c>
      <c r="D91">
        <v>5</v>
      </c>
    </row>
    <row r="92" spans="1:4" x14ac:dyDescent="0.25">
      <c r="A92" t="s">
        <v>123</v>
      </c>
      <c r="B92" t="s">
        <v>451</v>
      </c>
      <c r="C92" t="s">
        <v>4271</v>
      </c>
      <c r="D92">
        <v>4</v>
      </c>
    </row>
    <row r="93" spans="1:4" x14ac:dyDescent="0.25">
      <c r="A93" t="s">
        <v>123</v>
      </c>
      <c r="B93" t="s">
        <v>451</v>
      </c>
      <c r="C93" t="s">
        <v>4272</v>
      </c>
      <c r="D93">
        <v>3</v>
      </c>
    </row>
    <row r="94" spans="1:4" x14ac:dyDescent="0.25">
      <c r="A94" t="s">
        <v>123</v>
      </c>
      <c r="B94" t="s">
        <v>451</v>
      </c>
      <c r="C94" t="s">
        <v>4273</v>
      </c>
      <c r="D94">
        <v>4</v>
      </c>
    </row>
    <row r="96" spans="1:4" x14ac:dyDescent="0.25">
      <c r="A96" s="2" t="s">
        <v>157</v>
      </c>
    </row>
    <row r="97" spans="1:4" x14ac:dyDescent="0.25">
      <c r="A97" t="s">
        <v>158</v>
      </c>
      <c r="D97">
        <f>AVERAGE(D2:D94)</f>
        <v>2.89247311827957</v>
      </c>
    </row>
    <row r="98" spans="1:4" x14ac:dyDescent="0.25">
      <c r="A98" t="s">
        <v>159</v>
      </c>
      <c r="D98">
        <f>MAX(D2:D94)</f>
        <v>14</v>
      </c>
    </row>
    <row r="99" spans="1:4" x14ac:dyDescent="0.25">
      <c r="A99" t="s">
        <v>160</v>
      </c>
      <c r="D99">
        <f>MIN(D2:D94)</f>
        <v>-5</v>
      </c>
    </row>
    <row r="100" spans="1:4" x14ac:dyDescent="0.25">
      <c r="A100" t="s">
        <v>161</v>
      </c>
      <c r="D100">
        <f>COUNTIF(D2:D94,"&gt;0")</f>
        <v>68</v>
      </c>
    </row>
    <row r="101" spans="1:4" x14ac:dyDescent="0.25">
      <c r="A101" t="s">
        <v>162</v>
      </c>
      <c r="D101">
        <f>COUNTIF(D2:D94,"=0")</f>
        <v>7</v>
      </c>
    </row>
    <row r="102" spans="1:4" x14ac:dyDescent="0.25">
      <c r="A102" t="s">
        <v>2872</v>
      </c>
      <c r="D102">
        <f>COUNTIF(D2:D94,"&lt;0")</f>
        <v>18</v>
      </c>
    </row>
    <row r="104" spans="1:4" x14ac:dyDescent="0.25">
      <c r="A104" s="2" t="s">
        <v>164</v>
      </c>
    </row>
    <row r="105" spans="1:4" x14ac:dyDescent="0.25">
      <c r="A105" t="s">
        <v>165</v>
      </c>
      <c r="D105">
        <f>AVERAGE(D2,D3,D4,D5,D6,D7,D8,D9,D10,D11,D12,D13,D14,D15,D16,D17,D18,D19)</f>
        <v>6.8888888888888893</v>
      </c>
    </row>
    <row r="106" spans="1:4" x14ac:dyDescent="0.25">
      <c r="A106" t="s">
        <v>166</v>
      </c>
      <c r="D106">
        <f>AVERAGE(D20,D21,D22,D23,D24,D25,D26,D27,D28,D29,D30,D31,D32,D33,D34,D35,D36,D37,D38,D39,D40)</f>
        <v>1.3809523809523809</v>
      </c>
    </row>
    <row r="107" spans="1:4" x14ac:dyDescent="0.25">
      <c r="A107" t="s">
        <v>167</v>
      </c>
      <c r="D107">
        <f>AVERAGE(D41,D42,D43,D44,D45,D46,D47,D48,D49,D50,D51,D52,D53,D54,D55,D56,D57,D58,D59,D60,D61,D62,D63)</f>
        <v>1.6086956521739131</v>
      </c>
    </row>
    <row r="108" spans="1:4" x14ac:dyDescent="0.25">
      <c r="A108" t="s">
        <v>168</v>
      </c>
      <c r="D108">
        <f>AVERAGE(D64,D65,D66,D67,D68,D69,D70,D71,D72,D73,D74,D75,D76,D77,D78,D79,D80,D81,D82,D83,D84,D85,D86,D87,D88,D89,D90,D91,D92,D93,D94)</f>
        <v>2.5483870967741935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1136</v>
      </c>
      <c r="C2" t="s">
        <v>6</v>
      </c>
      <c r="D2">
        <v>2</v>
      </c>
    </row>
    <row r="3" spans="1:4" x14ac:dyDescent="0.25">
      <c r="A3" t="s">
        <v>4</v>
      </c>
      <c r="B3" t="s">
        <v>1924</v>
      </c>
      <c r="C3" t="s">
        <v>8</v>
      </c>
      <c r="D3">
        <v>0</v>
      </c>
    </row>
    <row r="4" spans="1:4" x14ac:dyDescent="0.25">
      <c r="A4" t="s">
        <v>4</v>
      </c>
      <c r="B4" t="s">
        <v>1573</v>
      </c>
      <c r="C4" t="s">
        <v>10</v>
      </c>
      <c r="D4">
        <v>-2</v>
      </c>
    </row>
    <row r="5" spans="1:4" x14ac:dyDescent="0.25">
      <c r="A5" t="s">
        <v>4</v>
      </c>
      <c r="B5" t="s">
        <v>359</v>
      </c>
      <c r="C5" t="s">
        <v>2297</v>
      </c>
      <c r="D5">
        <v>-4</v>
      </c>
    </row>
    <row r="6" spans="1:4" x14ac:dyDescent="0.25">
      <c r="A6" t="s">
        <v>4</v>
      </c>
      <c r="B6" t="s">
        <v>494</v>
      </c>
      <c r="C6" t="s">
        <v>310</v>
      </c>
      <c r="D6">
        <v>-2</v>
      </c>
    </row>
    <row r="7" spans="1:4" x14ac:dyDescent="0.25">
      <c r="A7" t="s">
        <v>4</v>
      </c>
      <c r="B7" t="s">
        <v>275</v>
      </c>
      <c r="C7" t="s">
        <v>4274</v>
      </c>
      <c r="D7">
        <v>-5</v>
      </c>
    </row>
    <row r="8" spans="1:4" x14ac:dyDescent="0.25">
      <c r="A8" t="s">
        <v>4</v>
      </c>
      <c r="B8" t="s">
        <v>1693</v>
      </c>
      <c r="C8" t="s">
        <v>1496</v>
      </c>
      <c r="D8">
        <v>-4</v>
      </c>
    </row>
    <row r="9" spans="1:4" x14ac:dyDescent="0.25">
      <c r="A9" t="s">
        <v>4</v>
      </c>
      <c r="B9" t="s">
        <v>60</v>
      </c>
      <c r="C9" t="s">
        <v>1497</v>
      </c>
      <c r="D9">
        <v>-2</v>
      </c>
    </row>
    <row r="10" spans="1:4" x14ac:dyDescent="0.25">
      <c r="A10" t="s">
        <v>4</v>
      </c>
      <c r="B10" t="s">
        <v>663</v>
      </c>
      <c r="C10" t="s">
        <v>571</v>
      </c>
      <c r="D10">
        <v>0</v>
      </c>
    </row>
    <row r="11" spans="1:4" x14ac:dyDescent="0.25">
      <c r="A11" t="s">
        <v>4</v>
      </c>
      <c r="B11" t="s">
        <v>112</v>
      </c>
      <c r="C11" t="s">
        <v>573</v>
      </c>
      <c r="D11">
        <v>2</v>
      </c>
    </row>
    <row r="12" spans="1:4" x14ac:dyDescent="0.25">
      <c r="A12" t="s">
        <v>4</v>
      </c>
      <c r="B12" t="s">
        <v>896</v>
      </c>
      <c r="C12" t="s">
        <v>26</v>
      </c>
      <c r="D12">
        <v>3</v>
      </c>
    </row>
    <row r="13" spans="1:4" x14ac:dyDescent="0.25">
      <c r="A13" t="s">
        <v>4</v>
      </c>
      <c r="B13" t="s">
        <v>896</v>
      </c>
      <c r="C13" t="s">
        <v>1354</v>
      </c>
      <c r="D13">
        <v>4</v>
      </c>
    </row>
    <row r="14" spans="1:4" x14ac:dyDescent="0.25">
      <c r="A14" t="s">
        <v>4</v>
      </c>
      <c r="B14" t="s">
        <v>1112</v>
      </c>
      <c r="C14" t="s">
        <v>3195</v>
      </c>
      <c r="D14">
        <v>7</v>
      </c>
    </row>
    <row r="15" spans="1:4" x14ac:dyDescent="0.25">
      <c r="A15" t="s">
        <v>4</v>
      </c>
      <c r="B15" t="s">
        <v>612</v>
      </c>
      <c r="C15" t="s">
        <v>3026</v>
      </c>
      <c r="D15">
        <v>5</v>
      </c>
    </row>
    <row r="16" spans="1:4" x14ac:dyDescent="0.25">
      <c r="A16" t="s">
        <v>4</v>
      </c>
      <c r="B16" t="s">
        <v>1568</v>
      </c>
      <c r="C16" t="s">
        <v>787</v>
      </c>
      <c r="D16">
        <v>7</v>
      </c>
    </row>
    <row r="17" spans="1:4" x14ac:dyDescent="0.25">
      <c r="A17" t="s">
        <v>40</v>
      </c>
      <c r="B17" t="s">
        <v>933</v>
      </c>
      <c r="C17" t="s">
        <v>1357</v>
      </c>
      <c r="D17">
        <v>9</v>
      </c>
    </row>
    <row r="18" spans="1:4" x14ac:dyDescent="0.25">
      <c r="A18" t="s">
        <v>40</v>
      </c>
      <c r="B18" t="s">
        <v>2405</v>
      </c>
      <c r="C18" t="s">
        <v>326</v>
      </c>
      <c r="D18">
        <v>8</v>
      </c>
    </row>
    <row r="19" spans="1:4" x14ac:dyDescent="0.25">
      <c r="A19" t="s">
        <v>40</v>
      </c>
      <c r="B19" t="s">
        <v>862</v>
      </c>
      <c r="C19" t="s">
        <v>2539</v>
      </c>
      <c r="D19">
        <v>6</v>
      </c>
    </row>
    <row r="20" spans="1:4" x14ac:dyDescent="0.25">
      <c r="A20" t="s">
        <v>40</v>
      </c>
      <c r="B20" t="s">
        <v>912</v>
      </c>
      <c r="C20" t="s">
        <v>1360</v>
      </c>
      <c r="D20">
        <v>9</v>
      </c>
    </row>
    <row r="21" spans="1:4" x14ac:dyDescent="0.25">
      <c r="A21" t="s">
        <v>40</v>
      </c>
      <c r="B21" t="s">
        <v>1755</v>
      </c>
      <c r="C21" t="s">
        <v>1361</v>
      </c>
      <c r="D21">
        <v>11</v>
      </c>
    </row>
    <row r="22" spans="1:4" x14ac:dyDescent="0.25">
      <c r="A22" t="s">
        <v>40</v>
      </c>
      <c r="B22" t="s">
        <v>623</v>
      </c>
      <c r="C22" t="s">
        <v>1363</v>
      </c>
      <c r="D22">
        <v>14</v>
      </c>
    </row>
    <row r="23" spans="1:4" x14ac:dyDescent="0.25">
      <c r="A23" t="s">
        <v>40</v>
      </c>
      <c r="B23" t="s">
        <v>1723</v>
      </c>
      <c r="C23" t="s">
        <v>2522</v>
      </c>
      <c r="D23">
        <v>12</v>
      </c>
    </row>
    <row r="24" spans="1:4" x14ac:dyDescent="0.25">
      <c r="A24" t="s">
        <v>40</v>
      </c>
      <c r="B24" t="s">
        <v>405</v>
      </c>
      <c r="C24" t="s">
        <v>4275</v>
      </c>
      <c r="D24">
        <v>14</v>
      </c>
    </row>
    <row r="25" spans="1:4" x14ac:dyDescent="0.25">
      <c r="A25" t="s">
        <v>40</v>
      </c>
      <c r="B25" t="s">
        <v>405</v>
      </c>
      <c r="C25" t="s">
        <v>4276</v>
      </c>
      <c r="D25">
        <v>15</v>
      </c>
    </row>
    <row r="26" spans="1:4" x14ac:dyDescent="0.25">
      <c r="A26" t="s">
        <v>40</v>
      </c>
      <c r="B26" t="s">
        <v>598</v>
      </c>
      <c r="C26" t="s">
        <v>1289</v>
      </c>
      <c r="D26">
        <v>17</v>
      </c>
    </row>
    <row r="27" spans="1:4" x14ac:dyDescent="0.25">
      <c r="A27" t="s">
        <v>40</v>
      </c>
      <c r="B27" t="s">
        <v>1698</v>
      </c>
      <c r="C27" t="s">
        <v>1030</v>
      </c>
      <c r="D27">
        <v>15</v>
      </c>
    </row>
    <row r="28" spans="1:4" x14ac:dyDescent="0.25">
      <c r="A28" t="s">
        <v>40</v>
      </c>
      <c r="B28" t="s">
        <v>607</v>
      </c>
      <c r="C28" t="s">
        <v>4277</v>
      </c>
      <c r="D28">
        <v>16</v>
      </c>
    </row>
    <row r="29" spans="1:4" x14ac:dyDescent="0.25">
      <c r="A29" t="s">
        <v>40</v>
      </c>
      <c r="B29" t="s">
        <v>1619</v>
      </c>
      <c r="C29" t="s">
        <v>3196</v>
      </c>
      <c r="D29">
        <v>13</v>
      </c>
    </row>
    <row r="30" spans="1:4" x14ac:dyDescent="0.25">
      <c r="A30" t="s">
        <v>40</v>
      </c>
      <c r="B30" t="s">
        <v>2453</v>
      </c>
      <c r="C30" t="s">
        <v>3865</v>
      </c>
      <c r="D30">
        <v>15</v>
      </c>
    </row>
    <row r="31" spans="1:4" x14ac:dyDescent="0.25">
      <c r="A31" t="s">
        <v>40</v>
      </c>
      <c r="B31" t="s">
        <v>1844</v>
      </c>
      <c r="C31" t="s">
        <v>2904</v>
      </c>
      <c r="D31">
        <v>13</v>
      </c>
    </row>
    <row r="32" spans="1:4" x14ac:dyDescent="0.25">
      <c r="A32" t="s">
        <v>40</v>
      </c>
      <c r="B32" t="s">
        <v>1050</v>
      </c>
      <c r="C32" t="s">
        <v>2814</v>
      </c>
      <c r="D32">
        <v>11</v>
      </c>
    </row>
    <row r="33" spans="1:4" x14ac:dyDescent="0.25">
      <c r="A33" t="s">
        <v>40</v>
      </c>
      <c r="B33" t="s">
        <v>33</v>
      </c>
      <c r="C33" t="s">
        <v>3123</v>
      </c>
      <c r="D33">
        <v>9</v>
      </c>
    </row>
    <row r="34" spans="1:4" x14ac:dyDescent="0.25">
      <c r="A34" t="s">
        <v>40</v>
      </c>
      <c r="B34" t="s">
        <v>1261</v>
      </c>
      <c r="C34" t="s">
        <v>2977</v>
      </c>
      <c r="D34">
        <v>11</v>
      </c>
    </row>
    <row r="35" spans="1:4" x14ac:dyDescent="0.25">
      <c r="A35" t="s">
        <v>80</v>
      </c>
      <c r="B35" t="s">
        <v>563</v>
      </c>
      <c r="C35" t="s">
        <v>4023</v>
      </c>
      <c r="D35">
        <v>14</v>
      </c>
    </row>
    <row r="36" spans="1:4" x14ac:dyDescent="0.25">
      <c r="A36" t="s">
        <v>80</v>
      </c>
      <c r="B36" t="s">
        <v>1346</v>
      </c>
      <c r="C36" t="s">
        <v>3394</v>
      </c>
      <c r="D36">
        <v>17</v>
      </c>
    </row>
    <row r="37" spans="1:4" x14ac:dyDescent="0.25">
      <c r="A37" t="s">
        <v>80</v>
      </c>
      <c r="B37" t="s">
        <v>1765</v>
      </c>
      <c r="C37" t="s">
        <v>3866</v>
      </c>
      <c r="D37">
        <v>16</v>
      </c>
    </row>
    <row r="38" spans="1:4" x14ac:dyDescent="0.25">
      <c r="A38" t="s">
        <v>80</v>
      </c>
      <c r="B38" t="s">
        <v>1765</v>
      </c>
      <c r="C38" t="s">
        <v>4024</v>
      </c>
      <c r="D38">
        <v>15</v>
      </c>
    </row>
    <row r="39" spans="1:4" x14ac:dyDescent="0.25">
      <c r="A39" t="s">
        <v>80</v>
      </c>
      <c r="B39" t="s">
        <v>912</v>
      </c>
      <c r="C39" t="s">
        <v>1448</v>
      </c>
      <c r="D39">
        <v>14</v>
      </c>
    </row>
    <row r="40" spans="1:4" x14ac:dyDescent="0.25">
      <c r="A40" t="s">
        <v>80</v>
      </c>
      <c r="B40" t="s">
        <v>912</v>
      </c>
      <c r="C40" t="s">
        <v>3435</v>
      </c>
      <c r="D40">
        <v>13</v>
      </c>
    </row>
    <row r="41" spans="1:4" x14ac:dyDescent="0.25">
      <c r="A41" t="s">
        <v>80</v>
      </c>
      <c r="B41" t="s">
        <v>566</v>
      </c>
      <c r="C41" t="s">
        <v>4003</v>
      </c>
      <c r="D41">
        <v>11</v>
      </c>
    </row>
    <row r="42" spans="1:4" x14ac:dyDescent="0.25">
      <c r="A42" t="s">
        <v>80</v>
      </c>
      <c r="B42" t="s">
        <v>1086</v>
      </c>
      <c r="C42" t="s">
        <v>948</v>
      </c>
      <c r="D42">
        <v>13</v>
      </c>
    </row>
    <row r="43" spans="1:4" x14ac:dyDescent="0.25">
      <c r="A43" t="s">
        <v>80</v>
      </c>
      <c r="B43" t="s">
        <v>1105</v>
      </c>
      <c r="C43" t="s">
        <v>949</v>
      </c>
      <c r="D43">
        <v>11</v>
      </c>
    </row>
    <row r="44" spans="1:4" x14ac:dyDescent="0.25">
      <c r="A44" t="s">
        <v>80</v>
      </c>
      <c r="B44" t="s">
        <v>1724</v>
      </c>
      <c r="C44" t="s">
        <v>2167</v>
      </c>
      <c r="D44">
        <v>9</v>
      </c>
    </row>
    <row r="45" spans="1:4" x14ac:dyDescent="0.25">
      <c r="A45" t="s">
        <v>80</v>
      </c>
      <c r="B45" t="s">
        <v>1434</v>
      </c>
      <c r="C45" t="s">
        <v>1674</v>
      </c>
      <c r="D45">
        <v>8</v>
      </c>
    </row>
    <row r="46" spans="1:4" x14ac:dyDescent="0.25">
      <c r="A46" t="s">
        <v>80</v>
      </c>
      <c r="B46" t="s">
        <v>1434</v>
      </c>
      <c r="C46" t="s">
        <v>2168</v>
      </c>
      <c r="D46">
        <v>7</v>
      </c>
    </row>
    <row r="47" spans="1:4" x14ac:dyDescent="0.25">
      <c r="A47" t="s">
        <v>80</v>
      </c>
      <c r="B47" t="s">
        <v>628</v>
      </c>
      <c r="C47" t="s">
        <v>2169</v>
      </c>
      <c r="D47">
        <v>6</v>
      </c>
    </row>
    <row r="48" spans="1:4" x14ac:dyDescent="0.25">
      <c r="A48" t="s">
        <v>80</v>
      </c>
      <c r="B48" t="s">
        <v>1350</v>
      </c>
      <c r="C48" t="s">
        <v>2705</v>
      </c>
      <c r="D48">
        <v>8</v>
      </c>
    </row>
    <row r="49" spans="1:4" x14ac:dyDescent="0.25">
      <c r="A49" t="s">
        <v>80</v>
      </c>
      <c r="B49" t="s">
        <v>1350</v>
      </c>
      <c r="C49" t="s">
        <v>1148</v>
      </c>
      <c r="D49">
        <v>9</v>
      </c>
    </row>
    <row r="50" spans="1:4" x14ac:dyDescent="0.25">
      <c r="A50" t="s">
        <v>80</v>
      </c>
      <c r="B50" t="s">
        <v>1795</v>
      </c>
      <c r="C50" t="s">
        <v>2171</v>
      </c>
      <c r="D50">
        <v>6</v>
      </c>
    </row>
    <row r="51" spans="1:4" x14ac:dyDescent="0.25">
      <c r="A51" t="s">
        <v>80</v>
      </c>
      <c r="B51" t="s">
        <v>1698</v>
      </c>
      <c r="C51" t="s">
        <v>373</v>
      </c>
      <c r="D51">
        <v>3</v>
      </c>
    </row>
    <row r="52" spans="1:4" x14ac:dyDescent="0.25">
      <c r="A52" t="s">
        <v>80</v>
      </c>
      <c r="B52" t="s">
        <v>317</v>
      </c>
      <c r="C52" t="s">
        <v>2172</v>
      </c>
      <c r="D52">
        <v>5</v>
      </c>
    </row>
    <row r="53" spans="1:4" x14ac:dyDescent="0.25">
      <c r="A53" t="s">
        <v>80</v>
      </c>
      <c r="B53" t="s">
        <v>1739</v>
      </c>
      <c r="C53" t="s">
        <v>2339</v>
      </c>
      <c r="D53">
        <v>6</v>
      </c>
    </row>
    <row r="54" spans="1:4" x14ac:dyDescent="0.25">
      <c r="A54" t="s">
        <v>80</v>
      </c>
      <c r="B54" t="s">
        <v>472</v>
      </c>
      <c r="C54" t="s">
        <v>2174</v>
      </c>
      <c r="D54">
        <v>3</v>
      </c>
    </row>
    <row r="55" spans="1:4" x14ac:dyDescent="0.25">
      <c r="A55" t="s">
        <v>80</v>
      </c>
      <c r="B55" t="s">
        <v>788</v>
      </c>
      <c r="C55" t="s">
        <v>1834</v>
      </c>
      <c r="D55">
        <v>2</v>
      </c>
    </row>
    <row r="56" spans="1:4" x14ac:dyDescent="0.25">
      <c r="A56" t="s">
        <v>80</v>
      </c>
      <c r="B56" t="s">
        <v>788</v>
      </c>
      <c r="C56" t="s">
        <v>379</v>
      </c>
      <c r="D56">
        <v>1</v>
      </c>
    </row>
    <row r="57" spans="1:4" x14ac:dyDescent="0.25">
      <c r="A57" t="s">
        <v>80</v>
      </c>
      <c r="B57" t="s">
        <v>118</v>
      </c>
      <c r="C57" t="s">
        <v>2447</v>
      </c>
      <c r="D57">
        <v>2</v>
      </c>
    </row>
    <row r="58" spans="1:4" x14ac:dyDescent="0.25">
      <c r="A58" t="s">
        <v>80</v>
      </c>
      <c r="B58" t="s">
        <v>152</v>
      </c>
      <c r="C58" t="s">
        <v>3030</v>
      </c>
      <c r="D58">
        <v>3</v>
      </c>
    </row>
    <row r="59" spans="1:4" x14ac:dyDescent="0.25">
      <c r="A59" t="s">
        <v>80</v>
      </c>
      <c r="B59" t="s">
        <v>152</v>
      </c>
      <c r="C59" t="s">
        <v>496</v>
      </c>
      <c r="D59">
        <v>4</v>
      </c>
    </row>
    <row r="60" spans="1:4" x14ac:dyDescent="0.25">
      <c r="A60" t="s">
        <v>80</v>
      </c>
      <c r="B60" t="s">
        <v>1113</v>
      </c>
      <c r="C60" t="s">
        <v>2493</v>
      </c>
      <c r="D60">
        <v>1</v>
      </c>
    </row>
    <row r="61" spans="1:4" x14ac:dyDescent="0.25">
      <c r="A61" t="s">
        <v>80</v>
      </c>
      <c r="B61" t="s">
        <v>202</v>
      </c>
      <c r="C61" t="s">
        <v>2178</v>
      </c>
      <c r="D61">
        <v>3</v>
      </c>
    </row>
    <row r="62" spans="1:4" x14ac:dyDescent="0.25">
      <c r="A62" t="s">
        <v>80</v>
      </c>
      <c r="B62" t="s">
        <v>537</v>
      </c>
      <c r="C62" t="s">
        <v>2495</v>
      </c>
      <c r="D62">
        <v>0</v>
      </c>
    </row>
    <row r="63" spans="1:4" x14ac:dyDescent="0.25">
      <c r="A63" t="s">
        <v>80</v>
      </c>
      <c r="B63" t="s">
        <v>38</v>
      </c>
      <c r="C63" t="s">
        <v>1534</v>
      </c>
      <c r="D63">
        <v>1</v>
      </c>
    </row>
    <row r="64" spans="1:4" x14ac:dyDescent="0.25">
      <c r="A64" t="s">
        <v>123</v>
      </c>
      <c r="B64" t="s">
        <v>563</v>
      </c>
      <c r="C64" t="s">
        <v>2180</v>
      </c>
      <c r="D64">
        <v>3</v>
      </c>
    </row>
    <row r="65" spans="1:4" x14ac:dyDescent="0.25">
      <c r="A65" t="s">
        <v>123</v>
      </c>
      <c r="B65" t="s">
        <v>1664</v>
      </c>
      <c r="C65" t="s">
        <v>2182</v>
      </c>
      <c r="D65">
        <v>0</v>
      </c>
    </row>
    <row r="66" spans="1:4" x14ac:dyDescent="0.25">
      <c r="A66" t="s">
        <v>123</v>
      </c>
      <c r="B66" t="s">
        <v>487</v>
      </c>
      <c r="C66" t="s">
        <v>639</v>
      </c>
      <c r="D66">
        <v>2</v>
      </c>
    </row>
    <row r="67" spans="1:4" x14ac:dyDescent="0.25">
      <c r="A67" t="s">
        <v>123</v>
      </c>
      <c r="B67" t="s">
        <v>511</v>
      </c>
      <c r="C67" t="s">
        <v>2498</v>
      </c>
      <c r="D67">
        <v>0</v>
      </c>
    </row>
    <row r="68" spans="1:4" x14ac:dyDescent="0.25">
      <c r="A68" t="s">
        <v>123</v>
      </c>
      <c r="B68" t="s">
        <v>514</v>
      </c>
      <c r="C68" t="s">
        <v>642</v>
      </c>
      <c r="D68">
        <v>2</v>
      </c>
    </row>
    <row r="69" spans="1:4" x14ac:dyDescent="0.25">
      <c r="A69" t="s">
        <v>123</v>
      </c>
      <c r="B69" t="s">
        <v>1958</v>
      </c>
      <c r="C69" t="s">
        <v>2916</v>
      </c>
      <c r="D69">
        <v>1</v>
      </c>
    </row>
    <row r="70" spans="1:4" x14ac:dyDescent="0.25">
      <c r="A70" t="s">
        <v>123</v>
      </c>
      <c r="B70" t="s">
        <v>179</v>
      </c>
      <c r="C70" t="s">
        <v>509</v>
      </c>
      <c r="D70">
        <v>2</v>
      </c>
    </row>
    <row r="71" spans="1:4" x14ac:dyDescent="0.25">
      <c r="A71" t="s">
        <v>123</v>
      </c>
      <c r="B71" t="s">
        <v>179</v>
      </c>
      <c r="C71" t="s">
        <v>760</v>
      </c>
      <c r="D71">
        <v>3</v>
      </c>
    </row>
    <row r="72" spans="1:4" x14ac:dyDescent="0.25">
      <c r="A72" t="s">
        <v>123</v>
      </c>
      <c r="B72" t="s">
        <v>1288</v>
      </c>
      <c r="C72" t="s">
        <v>761</v>
      </c>
      <c r="D72">
        <v>5</v>
      </c>
    </row>
    <row r="73" spans="1:4" x14ac:dyDescent="0.25">
      <c r="A73" t="s">
        <v>123</v>
      </c>
      <c r="B73" t="s">
        <v>1695</v>
      </c>
      <c r="C73" t="s">
        <v>406</v>
      </c>
      <c r="D73">
        <v>8</v>
      </c>
    </row>
    <row r="74" spans="1:4" x14ac:dyDescent="0.25">
      <c r="A74" t="s">
        <v>123</v>
      </c>
      <c r="B74" t="s">
        <v>663</v>
      </c>
      <c r="C74" t="s">
        <v>1615</v>
      </c>
      <c r="D74">
        <v>6</v>
      </c>
    </row>
    <row r="75" spans="1:4" x14ac:dyDescent="0.25">
      <c r="A75" t="s">
        <v>123</v>
      </c>
      <c r="B75" t="s">
        <v>890</v>
      </c>
      <c r="C75" t="s">
        <v>763</v>
      </c>
      <c r="D75">
        <v>5</v>
      </c>
    </row>
    <row r="76" spans="1:4" x14ac:dyDescent="0.25">
      <c r="A76" t="s">
        <v>123</v>
      </c>
      <c r="B76" t="s">
        <v>1040</v>
      </c>
      <c r="C76" t="s">
        <v>3702</v>
      </c>
      <c r="D76">
        <v>8</v>
      </c>
    </row>
    <row r="77" spans="1:4" x14ac:dyDescent="0.25">
      <c r="A77" t="s">
        <v>123</v>
      </c>
      <c r="B77" t="s">
        <v>1200</v>
      </c>
      <c r="C77" t="s">
        <v>412</v>
      </c>
      <c r="D77">
        <v>7</v>
      </c>
    </row>
    <row r="78" spans="1:4" x14ac:dyDescent="0.25">
      <c r="A78" t="s">
        <v>123</v>
      </c>
      <c r="B78" t="s">
        <v>1200</v>
      </c>
      <c r="C78" t="s">
        <v>3707</v>
      </c>
      <c r="D78">
        <v>6</v>
      </c>
    </row>
    <row r="79" spans="1:4" x14ac:dyDescent="0.25">
      <c r="A79" t="s">
        <v>123</v>
      </c>
      <c r="B79" t="s">
        <v>631</v>
      </c>
      <c r="C79" t="s">
        <v>1181</v>
      </c>
      <c r="D79">
        <v>7</v>
      </c>
    </row>
    <row r="80" spans="1:4" x14ac:dyDescent="0.25">
      <c r="A80" t="s">
        <v>123</v>
      </c>
      <c r="B80" t="s">
        <v>631</v>
      </c>
      <c r="C80" t="s">
        <v>1848</v>
      </c>
      <c r="D80">
        <v>8</v>
      </c>
    </row>
    <row r="81" spans="1:4" x14ac:dyDescent="0.25">
      <c r="A81" t="s">
        <v>123</v>
      </c>
      <c r="B81" t="s">
        <v>1129</v>
      </c>
      <c r="C81" t="s">
        <v>1618</v>
      </c>
      <c r="D81">
        <v>6</v>
      </c>
    </row>
    <row r="82" spans="1:4" x14ac:dyDescent="0.25">
      <c r="A82" t="s">
        <v>123</v>
      </c>
      <c r="B82" t="s">
        <v>267</v>
      </c>
      <c r="C82" t="s">
        <v>2919</v>
      </c>
      <c r="D82">
        <v>7</v>
      </c>
    </row>
    <row r="83" spans="1:4" x14ac:dyDescent="0.25">
      <c r="A83" t="s">
        <v>123</v>
      </c>
      <c r="B83" t="s">
        <v>1048</v>
      </c>
      <c r="C83" t="s">
        <v>1183</v>
      </c>
      <c r="D83">
        <v>6</v>
      </c>
    </row>
    <row r="84" spans="1:4" x14ac:dyDescent="0.25">
      <c r="A84" t="s">
        <v>123</v>
      </c>
      <c r="B84" t="s">
        <v>1048</v>
      </c>
      <c r="C84" t="s">
        <v>419</v>
      </c>
      <c r="D84">
        <v>5</v>
      </c>
    </row>
    <row r="85" spans="1:4" x14ac:dyDescent="0.25">
      <c r="A85" t="s">
        <v>123</v>
      </c>
      <c r="B85" t="s">
        <v>550</v>
      </c>
      <c r="C85" t="s">
        <v>1621</v>
      </c>
      <c r="D85">
        <v>6</v>
      </c>
    </row>
    <row r="86" spans="1:4" x14ac:dyDescent="0.25">
      <c r="A86" t="s">
        <v>123</v>
      </c>
      <c r="B86" t="s">
        <v>880</v>
      </c>
      <c r="C86" t="s">
        <v>423</v>
      </c>
      <c r="D86">
        <v>9</v>
      </c>
    </row>
    <row r="87" spans="1:4" x14ac:dyDescent="0.25">
      <c r="A87" t="s">
        <v>123</v>
      </c>
      <c r="B87" t="s">
        <v>298</v>
      </c>
      <c r="C87" t="s">
        <v>424</v>
      </c>
      <c r="D87">
        <v>10</v>
      </c>
    </row>
    <row r="88" spans="1:4" x14ac:dyDescent="0.25">
      <c r="A88" t="s">
        <v>123</v>
      </c>
      <c r="B88" t="s">
        <v>298</v>
      </c>
      <c r="C88" t="s">
        <v>4278</v>
      </c>
      <c r="D88">
        <v>11</v>
      </c>
    </row>
    <row r="89" spans="1:4" x14ac:dyDescent="0.25">
      <c r="A89" t="s">
        <v>123</v>
      </c>
      <c r="B89" t="s">
        <v>2042</v>
      </c>
      <c r="C89" t="s">
        <v>2680</v>
      </c>
      <c r="D89">
        <v>9</v>
      </c>
    </row>
    <row r="90" spans="1:4" x14ac:dyDescent="0.25">
      <c r="A90" t="s">
        <v>123</v>
      </c>
      <c r="B90" t="s">
        <v>681</v>
      </c>
      <c r="C90" t="s">
        <v>678</v>
      </c>
      <c r="D90">
        <v>7</v>
      </c>
    </row>
    <row r="91" spans="1:4" x14ac:dyDescent="0.25">
      <c r="A91" t="s">
        <v>123</v>
      </c>
      <c r="B91" t="s">
        <v>1489</v>
      </c>
      <c r="C91" t="s">
        <v>4279</v>
      </c>
      <c r="D91">
        <v>9</v>
      </c>
    </row>
    <row r="92" spans="1:4" x14ac:dyDescent="0.25">
      <c r="A92" t="s">
        <v>123</v>
      </c>
      <c r="B92" t="s">
        <v>1489</v>
      </c>
      <c r="C92" t="s">
        <v>2197</v>
      </c>
      <c r="D92">
        <v>10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6.6813186813186816</v>
      </c>
    </row>
    <row r="96" spans="1:4" x14ac:dyDescent="0.25">
      <c r="A96" t="s">
        <v>159</v>
      </c>
      <c r="D96">
        <f>MAX(D2:D92)</f>
        <v>17</v>
      </c>
    </row>
    <row r="97" spans="1:4" x14ac:dyDescent="0.25">
      <c r="A97" t="s">
        <v>160</v>
      </c>
      <c r="D97">
        <f>MIN(D2:D92)</f>
        <v>-5</v>
      </c>
    </row>
    <row r="98" spans="1:4" x14ac:dyDescent="0.25">
      <c r="A98" t="s">
        <v>161</v>
      </c>
      <c r="D98">
        <f>COUNTIF(D2:D92,"&gt;0")</f>
        <v>80</v>
      </c>
    </row>
    <row r="99" spans="1:4" x14ac:dyDescent="0.25">
      <c r="A99" t="s">
        <v>162</v>
      </c>
      <c r="D99">
        <f>COUNTIF(D2:D92,"=0")</f>
        <v>5</v>
      </c>
    </row>
    <row r="100" spans="1:4" x14ac:dyDescent="0.25">
      <c r="A100" t="s">
        <v>2872</v>
      </c>
      <c r="D100">
        <f>COUNTIF(D2:D92,"&lt;0")</f>
        <v>6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AVERAGE(D2,D3,D4,D5,D6,D7,D8,D9,D10,D11,D12,D13,D14,D15,D16)</f>
        <v>0.73333333333333328</v>
      </c>
    </row>
    <row r="104" spans="1:4" x14ac:dyDescent="0.25">
      <c r="A104" t="s">
        <v>166</v>
      </c>
      <c r="D104">
        <f>AVERAGE(D17,D18,D19,D20,D21,D22,D23,D24,D25,D26,D27,D28,D29,D30,D31,D32,D33,D34)</f>
        <v>12.111111111111111</v>
      </c>
    </row>
    <row r="105" spans="1:4" x14ac:dyDescent="0.25">
      <c r="A105" t="s">
        <v>167</v>
      </c>
      <c r="D105">
        <f>AVERAGE(D35,D36,D37,D38,D39,D40,D41,D42,D43,D44,D45,D46,D47,D48,D49,D50,D51,D52,D53,D54,D55,D56,D57,D58,D59,D60,D61,D62,D63)</f>
        <v>7.2758620689655169</v>
      </c>
    </row>
    <row r="106" spans="1:4" x14ac:dyDescent="0.25">
      <c r="A106" t="s">
        <v>168</v>
      </c>
      <c r="D106">
        <f>AVERAGE(D64,D65,D66,D67,D68,D69,D70,D71,D72,D73,D74,D75,D76,D77,D78,D79,D80,D81,D82,D83,D84,D85,D86,D87,D88,D89,D90,D91,D92)</f>
        <v>5.7931034482758621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2858</v>
      </c>
    </row>
    <row r="2" spans="1:4" x14ac:dyDescent="0.25">
      <c r="A2" t="s">
        <v>4</v>
      </c>
      <c r="B2" t="s">
        <v>1022</v>
      </c>
      <c r="C2" t="s">
        <v>908</v>
      </c>
      <c r="D2">
        <v>-2</v>
      </c>
    </row>
    <row r="3" spans="1:4" x14ac:dyDescent="0.25">
      <c r="A3" t="s">
        <v>4</v>
      </c>
      <c r="B3" t="s">
        <v>932</v>
      </c>
      <c r="C3" t="s">
        <v>1692</v>
      </c>
      <c r="D3">
        <v>-4</v>
      </c>
    </row>
    <row r="4" spans="1:4" x14ac:dyDescent="0.25">
      <c r="A4" t="s">
        <v>4</v>
      </c>
      <c r="B4" t="s">
        <v>271</v>
      </c>
      <c r="C4" t="s">
        <v>2045</v>
      </c>
      <c r="D4">
        <v>-1</v>
      </c>
    </row>
    <row r="5" spans="1:4" x14ac:dyDescent="0.25">
      <c r="A5" t="s">
        <v>4</v>
      </c>
      <c r="B5" t="s">
        <v>1267</v>
      </c>
      <c r="C5" t="s">
        <v>1494</v>
      </c>
      <c r="D5">
        <v>-3</v>
      </c>
    </row>
    <row r="6" spans="1:4" x14ac:dyDescent="0.25">
      <c r="A6" t="s">
        <v>4</v>
      </c>
      <c r="B6" t="s">
        <v>398</v>
      </c>
      <c r="C6" t="s">
        <v>1107</v>
      </c>
      <c r="D6">
        <v>-1</v>
      </c>
    </row>
    <row r="7" spans="1:4" x14ac:dyDescent="0.25">
      <c r="A7" t="s">
        <v>4</v>
      </c>
      <c r="B7" t="s">
        <v>2152</v>
      </c>
      <c r="C7" t="s">
        <v>1496</v>
      </c>
      <c r="D7">
        <v>-4</v>
      </c>
    </row>
    <row r="8" spans="1:4" x14ac:dyDescent="0.25">
      <c r="A8" t="s">
        <v>4</v>
      </c>
      <c r="B8" t="s">
        <v>1824</v>
      </c>
      <c r="C8" t="s">
        <v>1497</v>
      </c>
      <c r="D8">
        <v>-2</v>
      </c>
    </row>
    <row r="9" spans="1:4" x14ac:dyDescent="0.25">
      <c r="A9" t="s">
        <v>4</v>
      </c>
      <c r="B9" t="s">
        <v>54</v>
      </c>
      <c r="C9" t="s">
        <v>571</v>
      </c>
      <c r="D9">
        <v>0</v>
      </c>
    </row>
    <row r="10" spans="1:4" x14ac:dyDescent="0.25">
      <c r="A10" t="s">
        <v>4</v>
      </c>
      <c r="B10" t="s">
        <v>280</v>
      </c>
      <c r="C10" t="s">
        <v>699</v>
      </c>
      <c r="D10">
        <v>1</v>
      </c>
    </row>
    <row r="11" spans="1:4" x14ac:dyDescent="0.25">
      <c r="A11" t="s">
        <v>4</v>
      </c>
      <c r="B11" t="s">
        <v>280</v>
      </c>
      <c r="C11" t="s">
        <v>573</v>
      </c>
      <c r="D11">
        <v>2</v>
      </c>
    </row>
    <row r="12" spans="1:4" x14ac:dyDescent="0.25">
      <c r="A12" t="s">
        <v>4</v>
      </c>
      <c r="B12" t="s">
        <v>280</v>
      </c>
      <c r="C12" t="s">
        <v>574</v>
      </c>
      <c r="D12">
        <v>0</v>
      </c>
    </row>
    <row r="13" spans="1:4" x14ac:dyDescent="0.25">
      <c r="A13" t="s">
        <v>4</v>
      </c>
      <c r="B13" t="s">
        <v>2170</v>
      </c>
      <c r="C13" t="s">
        <v>2326</v>
      </c>
      <c r="D13">
        <v>-3</v>
      </c>
    </row>
    <row r="14" spans="1:4" x14ac:dyDescent="0.25">
      <c r="A14" t="s">
        <v>4</v>
      </c>
      <c r="B14" t="s">
        <v>2170</v>
      </c>
      <c r="C14" t="s">
        <v>576</v>
      </c>
      <c r="D14">
        <v>-4</v>
      </c>
    </row>
    <row r="15" spans="1:4" x14ac:dyDescent="0.25">
      <c r="A15" t="s">
        <v>4</v>
      </c>
      <c r="B15" t="s">
        <v>726</v>
      </c>
      <c r="C15" t="s">
        <v>1746</v>
      </c>
      <c r="D15">
        <v>-3</v>
      </c>
    </row>
    <row r="16" spans="1:4" x14ac:dyDescent="0.25">
      <c r="A16" t="s">
        <v>4</v>
      </c>
      <c r="B16" t="s">
        <v>726</v>
      </c>
      <c r="C16" t="s">
        <v>445</v>
      </c>
      <c r="D16">
        <v>-2</v>
      </c>
    </row>
    <row r="17" spans="1:4" x14ac:dyDescent="0.25">
      <c r="A17" t="s">
        <v>4</v>
      </c>
      <c r="B17" t="s">
        <v>221</v>
      </c>
      <c r="C17" t="s">
        <v>2121</v>
      </c>
      <c r="D17">
        <v>0</v>
      </c>
    </row>
    <row r="18" spans="1:4" x14ac:dyDescent="0.25">
      <c r="A18" t="s">
        <v>4</v>
      </c>
      <c r="B18" t="s">
        <v>101</v>
      </c>
      <c r="C18" t="s">
        <v>4224</v>
      </c>
      <c r="D18">
        <v>2</v>
      </c>
    </row>
    <row r="19" spans="1:4" x14ac:dyDescent="0.25">
      <c r="A19" t="s">
        <v>4</v>
      </c>
      <c r="B19" t="s">
        <v>339</v>
      </c>
      <c r="C19" t="s">
        <v>1820</v>
      </c>
      <c r="D19">
        <v>0</v>
      </c>
    </row>
    <row r="20" spans="1:4" x14ac:dyDescent="0.25">
      <c r="A20" t="s">
        <v>4</v>
      </c>
      <c r="B20" t="s">
        <v>23</v>
      </c>
      <c r="C20" t="s">
        <v>449</v>
      </c>
      <c r="D20">
        <v>2</v>
      </c>
    </row>
    <row r="21" spans="1:4" x14ac:dyDescent="0.25">
      <c r="A21" t="s">
        <v>4</v>
      </c>
      <c r="B21" t="s">
        <v>1050</v>
      </c>
      <c r="C21" t="s">
        <v>2480</v>
      </c>
      <c r="D21">
        <v>4</v>
      </c>
    </row>
    <row r="22" spans="1:4" x14ac:dyDescent="0.25">
      <c r="A22" t="s">
        <v>4</v>
      </c>
      <c r="B22" t="s">
        <v>78</v>
      </c>
      <c r="C22" t="s">
        <v>2595</v>
      </c>
      <c r="D22">
        <v>6</v>
      </c>
    </row>
    <row r="23" spans="1:4" x14ac:dyDescent="0.25">
      <c r="A23" t="s">
        <v>40</v>
      </c>
      <c r="B23" t="s">
        <v>1116</v>
      </c>
      <c r="C23" t="s">
        <v>204</v>
      </c>
      <c r="D23">
        <v>7</v>
      </c>
    </row>
    <row r="24" spans="1:4" x14ac:dyDescent="0.25">
      <c r="A24" t="s">
        <v>40</v>
      </c>
      <c r="B24" t="s">
        <v>719</v>
      </c>
      <c r="C24" t="s">
        <v>3389</v>
      </c>
      <c r="D24">
        <v>10</v>
      </c>
    </row>
    <row r="25" spans="1:4" x14ac:dyDescent="0.25">
      <c r="A25" t="s">
        <v>40</v>
      </c>
      <c r="B25" t="s">
        <v>1244</v>
      </c>
      <c r="C25" t="s">
        <v>2481</v>
      </c>
      <c r="D25">
        <v>8</v>
      </c>
    </row>
    <row r="26" spans="1:4" x14ac:dyDescent="0.25">
      <c r="A26" t="s">
        <v>40</v>
      </c>
      <c r="B26" t="s">
        <v>1192</v>
      </c>
      <c r="C26" t="s">
        <v>2927</v>
      </c>
      <c r="D26">
        <v>10</v>
      </c>
    </row>
    <row r="27" spans="1:4" x14ac:dyDescent="0.25">
      <c r="A27" t="s">
        <v>40</v>
      </c>
      <c r="B27" t="s">
        <v>1877</v>
      </c>
      <c r="C27" t="s">
        <v>1931</v>
      </c>
      <c r="D27">
        <v>11</v>
      </c>
    </row>
    <row r="28" spans="1:4" x14ac:dyDescent="0.25">
      <c r="A28" t="s">
        <v>40</v>
      </c>
      <c r="B28" t="s">
        <v>514</v>
      </c>
      <c r="C28" t="s">
        <v>2561</v>
      </c>
      <c r="D28">
        <v>8</v>
      </c>
    </row>
    <row r="29" spans="1:4" x14ac:dyDescent="0.25">
      <c r="A29" t="s">
        <v>40</v>
      </c>
      <c r="B29" t="s">
        <v>1773</v>
      </c>
      <c r="C29" t="s">
        <v>1584</v>
      </c>
      <c r="D29">
        <v>5</v>
      </c>
    </row>
    <row r="30" spans="1:4" x14ac:dyDescent="0.25">
      <c r="A30" t="s">
        <v>40</v>
      </c>
      <c r="B30" t="s">
        <v>832</v>
      </c>
      <c r="C30" t="s">
        <v>1585</v>
      </c>
      <c r="D30">
        <v>7</v>
      </c>
    </row>
    <row r="31" spans="1:4" x14ac:dyDescent="0.25">
      <c r="A31" t="s">
        <v>40</v>
      </c>
      <c r="B31" t="s">
        <v>834</v>
      </c>
      <c r="C31" t="s">
        <v>1936</v>
      </c>
      <c r="D31">
        <v>10</v>
      </c>
    </row>
    <row r="32" spans="1:4" x14ac:dyDescent="0.25">
      <c r="A32" t="s">
        <v>40</v>
      </c>
      <c r="B32" t="s">
        <v>138</v>
      </c>
      <c r="C32" t="s">
        <v>2529</v>
      </c>
      <c r="D32">
        <v>8</v>
      </c>
    </row>
    <row r="33" spans="1:4" x14ac:dyDescent="0.25">
      <c r="A33" t="s">
        <v>40</v>
      </c>
      <c r="B33" t="s">
        <v>594</v>
      </c>
      <c r="C33" t="s">
        <v>3123</v>
      </c>
      <c r="D33">
        <v>9</v>
      </c>
    </row>
    <row r="34" spans="1:4" x14ac:dyDescent="0.25">
      <c r="A34" t="s">
        <v>40</v>
      </c>
      <c r="B34" t="s">
        <v>740</v>
      </c>
      <c r="C34" t="s">
        <v>2161</v>
      </c>
      <c r="D34">
        <v>7</v>
      </c>
    </row>
    <row r="35" spans="1:4" x14ac:dyDescent="0.25">
      <c r="A35" t="s">
        <v>40</v>
      </c>
      <c r="B35" t="s">
        <v>437</v>
      </c>
      <c r="C35" t="s">
        <v>229</v>
      </c>
      <c r="D35">
        <v>4</v>
      </c>
    </row>
    <row r="36" spans="1:4" x14ac:dyDescent="0.25">
      <c r="A36" t="s">
        <v>40</v>
      </c>
      <c r="B36" t="s">
        <v>1092</v>
      </c>
      <c r="C36" t="s">
        <v>354</v>
      </c>
      <c r="D36">
        <v>1</v>
      </c>
    </row>
    <row r="37" spans="1:4" x14ac:dyDescent="0.25">
      <c r="A37" t="s">
        <v>40</v>
      </c>
      <c r="B37" t="s">
        <v>1016</v>
      </c>
      <c r="C37" t="s">
        <v>1218</v>
      </c>
      <c r="D37">
        <v>2</v>
      </c>
    </row>
    <row r="38" spans="1:4" x14ac:dyDescent="0.25">
      <c r="A38" t="s">
        <v>40</v>
      </c>
      <c r="B38" t="s">
        <v>1016</v>
      </c>
      <c r="C38" t="s">
        <v>1757</v>
      </c>
      <c r="D38">
        <v>3</v>
      </c>
    </row>
    <row r="39" spans="1:4" x14ac:dyDescent="0.25">
      <c r="A39" t="s">
        <v>40</v>
      </c>
      <c r="B39" t="s">
        <v>114</v>
      </c>
      <c r="C39" t="s">
        <v>474</v>
      </c>
      <c r="D39">
        <v>2</v>
      </c>
    </row>
    <row r="40" spans="1:4" x14ac:dyDescent="0.25">
      <c r="A40" t="s">
        <v>40</v>
      </c>
      <c r="B40" t="s">
        <v>1422</v>
      </c>
      <c r="C40" t="s">
        <v>476</v>
      </c>
      <c r="D40">
        <v>1</v>
      </c>
    </row>
    <row r="41" spans="1:4" x14ac:dyDescent="0.25">
      <c r="A41" t="s">
        <v>40</v>
      </c>
      <c r="B41" t="s">
        <v>1339</v>
      </c>
      <c r="C41" t="s">
        <v>3574</v>
      </c>
      <c r="D41">
        <v>0</v>
      </c>
    </row>
    <row r="42" spans="1:4" x14ac:dyDescent="0.25">
      <c r="A42" t="s">
        <v>40</v>
      </c>
      <c r="B42" t="s">
        <v>880</v>
      </c>
      <c r="C42" t="s">
        <v>1519</v>
      </c>
      <c r="D42">
        <v>-1</v>
      </c>
    </row>
    <row r="43" spans="1:4" x14ac:dyDescent="0.25">
      <c r="A43" t="s">
        <v>40</v>
      </c>
      <c r="B43" t="s">
        <v>681</v>
      </c>
      <c r="C43" t="s">
        <v>1760</v>
      </c>
      <c r="D43">
        <v>1</v>
      </c>
    </row>
    <row r="44" spans="1:4" x14ac:dyDescent="0.25">
      <c r="A44" t="s">
        <v>40</v>
      </c>
      <c r="B44" t="s">
        <v>422</v>
      </c>
      <c r="C44" t="s">
        <v>2134</v>
      </c>
      <c r="D44">
        <v>-2</v>
      </c>
    </row>
    <row r="45" spans="1:4" x14ac:dyDescent="0.25">
      <c r="A45" t="s">
        <v>40</v>
      </c>
      <c r="B45" t="s">
        <v>235</v>
      </c>
      <c r="C45" t="s">
        <v>482</v>
      </c>
      <c r="D45">
        <v>1</v>
      </c>
    </row>
    <row r="46" spans="1:4" x14ac:dyDescent="0.25">
      <c r="A46" t="s">
        <v>80</v>
      </c>
      <c r="B46" t="s">
        <v>1704</v>
      </c>
      <c r="C46" t="s">
        <v>2308</v>
      </c>
      <c r="D46">
        <v>-1</v>
      </c>
    </row>
    <row r="47" spans="1:4" x14ac:dyDescent="0.25">
      <c r="A47" t="s">
        <v>80</v>
      </c>
      <c r="B47" t="s">
        <v>1680</v>
      </c>
      <c r="C47" t="s">
        <v>736</v>
      </c>
      <c r="D47">
        <v>1</v>
      </c>
    </row>
    <row r="48" spans="1:4" x14ac:dyDescent="0.25">
      <c r="A48" t="s">
        <v>80</v>
      </c>
      <c r="B48" t="s">
        <v>691</v>
      </c>
      <c r="C48" t="s">
        <v>486</v>
      </c>
      <c r="D48">
        <v>4</v>
      </c>
    </row>
    <row r="49" spans="1:4" x14ac:dyDescent="0.25">
      <c r="A49" t="s">
        <v>80</v>
      </c>
      <c r="B49" t="s">
        <v>778</v>
      </c>
      <c r="C49" t="s">
        <v>2611</v>
      </c>
      <c r="D49">
        <v>2</v>
      </c>
    </row>
    <row r="50" spans="1:4" x14ac:dyDescent="0.25">
      <c r="A50" t="s">
        <v>80</v>
      </c>
      <c r="B50" t="s">
        <v>514</v>
      </c>
      <c r="C50" t="s">
        <v>373</v>
      </c>
      <c r="D50">
        <v>3</v>
      </c>
    </row>
    <row r="51" spans="1:4" x14ac:dyDescent="0.25">
      <c r="A51" t="s">
        <v>80</v>
      </c>
      <c r="B51" t="s">
        <v>643</v>
      </c>
      <c r="C51" t="s">
        <v>375</v>
      </c>
      <c r="D51">
        <v>1</v>
      </c>
    </row>
    <row r="52" spans="1:4" x14ac:dyDescent="0.25">
      <c r="A52" t="s">
        <v>80</v>
      </c>
      <c r="B52" t="s">
        <v>1194</v>
      </c>
      <c r="C52" t="s">
        <v>1525</v>
      </c>
      <c r="D52">
        <v>3</v>
      </c>
    </row>
    <row r="53" spans="1:4" x14ac:dyDescent="0.25">
      <c r="A53" t="s">
        <v>80</v>
      </c>
      <c r="B53" t="s">
        <v>1598</v>
      </c>
      <c r="C53" t="s">
        <v>3029</v>
      </c>
      <c r="D53">
        <v>1</v>
      </c>
    </row>
    <row r="54" spans="1:4" x14ac:dyDescent="0.25">
      <c r="A54" t="s">
        <v>80</v>
      </c>
      <c r="B54" t="s">
        <v>1475</v>
      </c>
      <c r="C54" t="s">
        <v>1528</v>
      </c>
      <c r="D54">
        <v>3</v>
      </c>
    </row>
    <row r="55" spans="1:4" x14ac:dyDescent="0.25">
      <c r="A55" t="s">
        <v>80</v>
      </c>
      <c r="B55" t="s">
        <v>1475</v>
      </c>
      <c r="C55" t="s">
        <v>1835</v>
      </c>
      <c r="D55">
        <v>4</v>
      </c>
    </row>
    <row r="56" spans="1:4" x14ac:dyDescent="0.25">
      <c r="A56" t="s">
        <v>80</v>
      </c>
      <c r="B56" t="s">
        <v>874</v>
      </c>
      <c r="C56" t="s">
        <v>1837</v>
      </c>
      <c r="D56">
        <v>6</v>
      </c>
    </row>
    <row r="57" spans="1:4" x14ac:dyDescent="0.25">
      <c r="A57" t="s">
        <v>80</v>
      </c>
      <c r="B57" t="s">
        <v>337</v>
      </c>
      <c r="C57" t="s">
        <v>1531</v>
      </c>
      <c r="D57">
        <v>4</v>
      </c>
    </row>
    <row r="58" spans="1:4" x14ac:dyDescent="0.25">
      <c r="A58" t="s">
        <v>80</v>
      </c>
      <c r="B58" t="s">
        <v>1402</v>
      </c>
      <c r="C58" t="s">
        <v>2176</v>
      </c>
      <c r="D58">
        <v>5</v>
      </c>
    </row>
    <row r="59" spans="1:4" x14ac:dyDescent="0.25">
      <c r="A59" t="s">
        <v>80</v>
      </c>
      <c r="B59" t="s">
        <v>1402</v>
      </c>
      <c r="C59" t="s">
        <v>1838</v>
      </c>
      <c r="D59">
        <v>6</v>
      </c>
    </row>
    <row r="60" spans="1:4" x14ac:dyDescent="0.25">
      <c r="A60" t="s">
        <v>80</v>
      </c>
      <c r="B60" t="s">
        <v>483</v>
      </c>
      <c r="C60" t="s">
        <v>1604</v>
      </c>
      <c r="D60">
        <v>7</v>
      </c>
    </row>
    <row r="61" spans="1:4" x14ac:dyDescent="0.25">
      <c r="A61" t="s">
        <v>80</v>
      </c>
      <c r="B61" t="s">
        <v>483</v>
      </c>
      <c r="C61" t="s">
        <v>1163</v>
      </c>
      <c r="D61">
        <v>8</v>
      </c>
    </row>
    <row r="62" spans="1:4" x14ac:dyDescent="0.25">
      <c r="A62" t="s">
        <v>123</v>
      </c>
      <c r="B62" t="s">
        <v>907</v>
      </c>
      <c r="C62" t="s">
        <v>2882</v>
      </c>
      <c r="D62">
        <v>10</v>
      </c>
    </row>
    <row r="63" spans="1:4" x14ac:dyDescent="0.25">
      <c r="A63" t="s">
        <v>123</v>
      </c>
      <c r="B63" t="s">
        <v>1768</v>
      </c>
      <c r="C63" t="s">
        <v>2883</v>
      </c>
      <c r="D63">
        <v>9</v>
      </c>
    </row>
    <row r="64" spans="1:4" x14ac:dyDescent="0.25">
      <c r="A64" t="s">
        <v>123</v>
      </c>
      <c r="B64" t="s">
        <v>1768</v>
      </c>
      <c r="C64" t="s">
        <v>1165</v>
      </c>
      <c r="D64">
        <v>8</v>
      </c>
    </row>
    <row r="65" spans="1:4" x14ac:dyDescent="0.25">
      <c r="A65" t="s">
        <v>123</v>
      </c>
      <c r="B65" t="s">
        <v>172</v>
      </c>
      <c r="C65" t="s">
        <v>2989</v>
      </c>
      <c r="D65">
        <v>11</v>
      </c>
    </row>
    <row r="66" spans="1:4" x14ac:dyDescent="0.25">
      <c r="A66" t="s">
        <v>123</v>
      </c>
      <c r="B66" t="s">
        <v>914</v>
      </c>
      <c r="C66" t="s">
        <v>2796</v>
      </c>
      <c r="D66">
        <v>13</v>
      </c>
    </row>
    <row r="67" spans="1:4" x14ac:dyDescent="0.25">
      <c r="A67" t="s">
        <v>123</v>
      </c>
      <c r="B67" t="s">
        <v>280</v>
      </c>
      <c r="C67" t="s">
        <v>3734</v>
      </c>
      <c r="D67">
        <v>14</v>
      </c>
    </row>
    <row r="68" spans="1:4" x14ac:dyDescent="0.25">
      <c r="A68" t="s">
        <v>123</v>
      </c>
      <c r="B68" t="s">
        <v>280</v>
      </c>
      <c r="C68" t="s">
        <v>4005</v>
      </c>
      <c r="D68">
        <v>15</v>
      </c>
    </row>
    <row r="69" spans="1:4" x14ac:dyDescent="0.25">
      <c r="A69" t="s">
        <v>123</v>
      </c>
      <c r="B69" t="s">
        <v>1227</v>
      </c>
      <c r="C69" t="s">
        <v>2674</v>
      </c>
      <c r="D69">
        <v>13</v>
      </c>
    </row>
    <row r="70" spans="1:4" x14ac:dyDescent="0.25">
      <c r="A70" t="s">
        <v>123</v>
      </c>
      <c r="B70" t="s">
        <v>1775</v>
      </c>
      <c r="C70" t="s">
        <v>3350</v>
      </c>
      <c r="D70">
        <v>14</v>
      </c>
    </row>
    <row r="71" spans="1:4" x14ac:dyDescent="0.25">
      <c r="A71" t="s">
        <v>123</v>
      </c>
      <c r="B71" t="s">
        <v>1817</v>
      </c>
      <c r="C71" t="s">
        <v>2885</v>
      </c>
      <c r="D71">
        <v>13</v>
      </c>
    </row>
    <row r="72" spans="1:4" x14ac:dyDescent="0.25">
      <c r="A72" t="s">
        <v>123</v>
      </c>
      <c r="B72" t="s">
        <v>284</v>
      </c>
      <c r="C72" t="s">
        <v>2378</v>
      </c>
      <c r="D72">
        <v>15</v>
      </c>
    </row>
    <row r="73" spans="1:4" x14ac:dyDescent="0.25">
      <c r="A73" t="s">
        <v>123</v>
      </c>
      <c r="B73" t="s">
        <v>339</v>
      </c>
      <c r="C73" t="s">
        <v>3853</v>
      </c>
      <c r="D73">
        <v>18</v>
      </c>
    </row>
    <row r="74" spans="1:4" x14ac:dyDescent="0.25">
      <c r="A74" t="s">
        <v>123</v>
      </c>
      <c r="B74" t="s">
        <v>106</v>
      </c>
      <c r="C74" t="s">
        <v>3186</v>
      </c>
      <c r="D74">
        <v>17</v>
      </c>
    </row>
    <row r="75" spans="1:4" x14ac:dyDescent="0.25">
      <c r="A75" t="s">
        <v>123</v>
      </c>
      <c r="B75" t="s">
        <v>106</v>
      </c>
      <c r="C75" t="s">
        <v>3353</v>
      </c>
      <c r="D75">
        <v>16</v>
      </c>
    </row>
    <row r="76" spans="1:4" x14ac:dyDescent="0.25">
      <c r="A76" t="s">
        <v>123</v>
      </c>
      <c r="B76" t="s">
        <v>467</v>
      </c>
      <c r="C76" t="s">
        <v>4007</v>
      </c>
      <c r="D76">
        <v>17</v>
      </c>
    </row>
    <row r="77" spans="1:4" x14ac:dyDescent="0.25">
      <c r="A77" t="s">
        <v>123</v>
      </c>
      <c r="B77" t="s">
        <v>467</v>
      </c>
      <c r="C77" t="s">
        <v>2800</v>
      </c>
      <c r="D77">
        <v>18</v>
      </c>
    </row>
    <row r="78" spans="1:4" x14ac:dyDescent="0.25">
      <c r="A78" t="s">
        <v>123</v>
      </c>
      <c r="B78" t="s">
        <v>1200</v>
      </c>
      <c r="C78" t="s">
        <v>4008</v>
      </c>
      <c r="D78">
        <v>20</v>
      </c>
    </row>
    <row r="79" spans="1:4" x14ac:dyDescent="0.25">
      <c r="A79" t="s">
        <v>123</v>
      </c>
      <c r="B79" t="s">
        <v>579</v>
      </c>
      <c r="C79" t="s">
        <v>3754</v>
      </c>
      <c r="D79">
        <v>23</v>
      </c>
    </row>
    <row r="80" spans="1:4" x14ac:dyDescent="0.25">
      <c r="A80" t="s">
        <v>123</v>
      </c>
      <c r="B80" t="s">
        <v>1843</v>
      </c>
      <c r="C80" t="s">
        <v>985</v>
      </c>
      <c r="D80">
        <v>21</v>
      </c>
    </row>
    <row r="81" spans="1:4" x14ac:dyDescent="0.25">
      <c r="A81" t="s">
        <v>123</v>
      </c>
      <c r="B81" t="s">
        <v>1646</v>
      </c>
      <c r="C81" t="s">
        <v>986</v>
      </c>
      <c r="D81">
        <v>19</v>
      </c>
    </row>
    <row r="82" spans="1:4" x14ac:dyDescent="0.25">
      <c r="A82" t="s">
        <v>123</v>
      </c>
      <c r="B82" t="s">
        <v>1261</v>
      </c>
      <c r="C82" t="s">
        <v>2948</v>
      </c>
      <c r="D82">
        <v>20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5.9382716049382713</v>
      </c>
    </row>
    <row r="86" spans="1:4" x14ac:dyDescent="0.25">
      <c r="A86" t="s">
        <v>159</v>
      </c>
      <c r="D86">
        <f>MAX(D2:D82)</f>
        <v>23</v>
      </c>
    </row>
    <row r="87" spans="1:4" x14ac:dyDescent="0.25">
      <c r="A87" t="s">
        <v>160</v>
      </c>
      <c r="D87">
        <f>MIN(D2:D82)</f>
        <v>-4</v>
      </c>
    </row>
    <row r="88" spans="1:4" x14ac:dyDescent="0.25">
      <c r="A88" t="s">
        <v>161</v>
      </c>
      <c r="D88">
        <f>COUNTIF(D2:D82,"&gt;0")</f>
        <v>62</v>
      </c>
    </row>
    <row r="89" spans="1:4" x14ac:dyDescent="0.25">
      <c r="A89" t="s">
        <v>162</v>
      </c>
      <c r="D89">
        <f>COUNTIF(D2:D82,"=0")</f>
        <v>5</v>
      </c>
    </row>
    <row r="90" spans="1:4" x14ac:dyDescent="0.25">
      <c r="A90" t="s">
        <v>2872</v>
      </c>
      <c r="D90">
        <f>COUNTIF(D2:D82,"&lt;0")</f>
        <v>14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AVERAGE(D2,D3,D4,D5,D6,D7,D8,D9,D10,D11,D12,D13,D14,D15,D16,D17,D18,D19,D20,D21,D22)</f>
        <v>-0.5714285714285714</v>
      </c>
    </row>
    <row r="94" spans="1:4" x14ac:dyDescent="0.25">
      <c r="A94" t="s">
        <v>166</v>
      </c>
      <c r="D94">
        <f>AVERAGE(D23,D24,D25,D26,D27,D28,D29,D30,D31,D32,D33,D34,D35,D36,D37,D38,D39,D40,D41,D42,D43,D44,D45)</f>
        <v>4.8695652173913047</v>
      </c>
    </row>
    <row r="95" spans="1:4" x14ac:dyDescent="0.25">
      <c r="A95" t="s">
        <v>167</v>
      </c>
      <c r="D95">
        <f>AVERAGE(D46,D47,D48,D49,D50,D51,D52,D53,D54,D55,D56,D57,D58,D59,D60,D61)</f>
        <v>3.5625</v>
      </c>
    </row>
    <row r="96" spans="1:4" x14ac:dyDescent="0.25">
      <c r="A96" t="s">
        <v>168</v>
      </c>
      <c r="D96">
        <f>AVERAGE(D62,D63,D64,D65,D66,D67,D68,D69,D70,D71,D72,D73,D74,D75,D76,D77,D78,D79,D80,D81,D82)</f>
        <v>15.428571428571429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D8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271</v>
      </c>
      <c r="C2" t="s">
        <v>1008</v>
      </c>
      <c r="D2">
        <v>-3</v>
      </c>
    </row>
    <row r="3" spans="1:4" x14ac:dyDescent="0.25">
      <c r="A3" t="s">
        <v>4</v>
      </c>
      <c r="B3" t="s">
        <v>11</v>
      </c>
      <c r="C3" t="s">
        <v>306</v>
      </c>
      <c r="D3">
        <v>-1</v>
      </c>
    </row>
    <row r="4" spans="1:4" x14ac:dyDescent="0.25">
      <c r="A4" t="s">
        <v>4</v>
      </c>
      <c r="B4" t="s">
        <v>259</v>
      </c>
      <c r="C4" t="s">
        <v>2297</v>
      </c>
      <c r="D4">
        <v>-4</v>
      </c>
    </row>
    <row r="5" spans="1:4" x14ac:dyDescent="0.25">
      <c r="A5" t="s">
        <v>4</v>
      </c>
      <c r="B5" t="s">
        <v>1598</v>
      </c>
      <c r="C5" t="s">
        <v>310</v>
      </c>
      <c r="D5">
        <v>-2</v>
      </c>
    </row>
    <row r="6" spans="1:4" x14ac:dyDescent="0.25">
      <c r="A6" t="s">
        <v>4</v>
      </c>
      <c r="B6" t="s">
        <v>1725</v>
      </c>
      <c r="C6" t="s">
        <v>1694</v>
      </c>
      <c r="D6">
        <v>-4</v>
      </c>
    </row>
    <row r="7" spans="1:4" x14ac:dyDescent="0.25">
      <c r="A7" t="s">
        <v>4</v>
      </c>
      <c r="B7" t="s">
        <v>961</v>
      </c>
      <c r="C7" t="s">
        <v>4280</v>
      </c>
      <c r="D7">
        <v>-7</v>
      </c>
    </row>
    <row r="8" spans="1:4" x14ac:dyDescent="0.25">
      <c r="A8" t="s">
        <v>4</v>
      </c>
      <c r="B8" t="s">
        <v>337</v>
      </c>
      <c r="C8" t="s">
        <v>3611</v>
      </c>
      <c r="D8">
        <v>-4</v>
      </c>
    </row>
    <row r="9" spans="1:4" x14ac:dyDescent="0.25">
      <c r="A9" t="s">
        <v>4</v>
      </c>
      <c r="B9" t="s">
        <v>1016</v>
      </c>
      <c r="C9" t="s">
        <v>1637</v>
      </c>
      <c r="D9">
        <v>-6</v>
      </c>
    </row>
    <row r="10" spans="1:4" x14ac:dyDescent="0.25">
      <c r="A10" t="s">
        <v>4</v>
      </c>
      <c r="B10" t="s">
        <v>192</v>
      </c>
      <c r="C10" t="s">
        <v>1745</v>
      </c>
      <c r="D10">
        <v>-4</v>
      </c>
    </row>
    <row r="11" spans="1:4" x14ac:dyDescent="0.25">
      <c r="A11" t="s">
        <v>4</v>
      </c>
      <c r="B11" t="s">
        <v>629</v>
      </c>
      <c r="C11" t="s">
        <v>30</v>
      </c>
      <c r="D11">
        <v>-1</v>
      </c>
    </row>
    <row r="12" spans="1:4" x14ac:dyDescent="0.25">
      <c r="A12" t="s">
        <v>4</v>
      </c>
      <c r="B12" t="s">
        <v>473</v>
      </c>
      <c r="C12" t="s">
        <v>1114</v>
      </c>
      <c r="D12">
        <v>2</v>
      </c>
    </row>
    <row r="13" spans="1:4" x14ac:dyDescent="0.25">
      <c r="A13" t="s">
        <v>4</v>
      </c>
      <c r="B13" t="s">
        <v>896</v>
      </c>
      <c r="C13" t="s">
        <v>921</v>
      </c>
      <c r="D13">
        <v>1</v>
      </c>
    </row>
    <row r="14" spans="1:4" x14ac:dyDescent="0.25">
      <c r="A14" t="s">
        <v>4</v>
      </c>
      <c r="B14" t="s">
        <v>896</v>
      </c>
      <c r="C14" t="s">
        <v>2121</v>
      </c>
      <c r="D14">
        <v>0</v>
      </c>
    </row>
    <row r="15" spans="1:4" x14ac:dyDescent="0.25">
      <c r="A15" t="s">
        <v>4</v>
      </c>
      <c r="B15" t="s">
        <v>1988</v>
      </c>
      <c r="C15" t="s">
        <v>4224</v>
      </c>
      <c r="D15">
        <v>2</v>
      </c>
    </row>
    <row r="16" spans="1:4" x14ac:dyDescent="0.25">
      <c r="A16" t="s">
        <v>4</v>
      </c>
      <c r="B16" t="s">
        <v>1261</v>
      </c>
      <c r="C16" t="s">
        <v>1820</v>
      </c>
      <c r="D16">
        <v>0</v>
      </c>
    </row>
    <row r="17" spans="1:4" x14ac:dyDescent="0.25">
      <c r="A17" t="s">
        <v>4</v>
      </c>
      <c r="B17" t="s">
        <v>817</v>
      </c>
      <c r="C17" t="s">
        <v>2122</v>
      </c>
      <c r="D17">
        <v>1</v>
      </c>
    </row>
    <row r="18" spans="1:4" x14ac:dyDescent="0.25">
      <c r="A18" t="s">
        <v>40</v>
      </c>
      <c r="B18" t="s">
        <v>855</v>
      </c>
      <c r="C18" t="s">
        <v>449</v>
      </c>
      <c r="D18">
        <v>2</v>
      </c>
    </row>
    <row r="19" spans="1:4" x14ac:dyDescent="0.25">
      <c r="A19" t="s">
        <v>40</v>
      </c>
      <c r="B19" t="s">
        <v>855</v>
      </c>
      <c r="C19" t="s">
        <v>450</v>
      </c>
      <c r="D19">
        <v>3</v>
      </c>
    </row>
    <row r="20" spans="1:4" x14ac:dyDescent="0.25">
      <c r="A20" t="s">
        <v>40</v>
      </c>
      <c r="B20" t="s">
        <v>269</v>
      </c>
      <c r="C20" t="s">
        <v>2480</v>
      </c>
      <c r="D20">
        <v>4</v>
      </c>
    </row>
    <row r="21" spans="1:4" x14ac:dyDescent="0.25">
      <c r="A21" t="s">
        <v>40</v>
      </c>
      <c r="B21" t="s">
        <v>269</v>
      </c>
      <c r="C21" t="s">
        <v>1749</v>
      </c>
      <c r="D21">
        <v>5</v>
      </c>
    </row>
    <row r="22" spans="1:4" x14ac:dyDescent="0.25">
      <c r="A22" t="s">
        <v>40</v>
      </c>
      <c r="B22" t="s">
        <v>719</v>
      </c>
      <c r="C22" t="s">
        <v>1121</v>
      </c>
      <c r="D22">
        <v>2</v>
      </c>
    </row>
    <row r="23" spans="1:4" x14ac:dyDescent="0.25">
      <c r="A23" t="s">
        <v>40</v>
      </c>
      <c r="B23" t="s">
        <v>954</v>
      </c>
      <c r="C23" t="s">
        <v>589</v>
      </c>
      <c r="D23">
        <v>-1</v>
      </c>
    </row>
    <row r="24" spans="1:4" x14ac:dyDescent="0.25">
      <c r="A24" t="s">
        <v>40</v>
      </c>
      <c r="B24" t="s">
        <v>359</v>
      </c>
      <c r="C24" t="s">
        <v>1510</v>
      </c>
      <c r="D24">
        <v>-2</v>
      </c>
    </row>
    <row r="25" spans="1:4" x14ac:dyDescent="0.25">
      <c r="A25" t="s">
        <v>40</v>
      </c>
      <c r="B25" t="s">
        <v>359</v>
      </c>
      <c r="C25" t="s">
        <v>1511</v>
      </c>
      <c r="D25">
        <v>-3</v>
      </c>
    </row>
    <row r="26" spans="1:4" x14ac:dyDescent="0.25">
      <c r="A26" t="s">
        <v>40</v>
      </c>
      <c r="B26" t="s">
        <v>274</v>
      </c>
      <c r="C26" t="s">
        <v>2330</v>
      </c>
      <c r="D26">
        <v>-1</v>
      </c>
    </row>
    <row r="27" spans="1:4" x14ac:dyDescent="0.25">
      <c r="A27" t="s">
        <v>40</v>
      </c>
      <c r="B27" t="s">
        <v>1065</v>
      </c>
      <c r="C27" t="s">
        <v>4074</v>
      </c>
      <c r="D27">
        <v>-3</v>
      </c>
    </row>
    <row r="28" spans="1:4" x14ac:dyDescent="0.25">
      <c r="A28" t="s">
        <v>40</v>
      </c>
      <c r="B28" t="s">
        <v>1475</v>
      </c>
      <c r="C28" t="s">
        <v>1714</v>
      </c>
      <c r="D28">
        <v>-1</v>
      </c>
    </row>
    <row r="29" spans="1:4" x14ac:dyDescent="0.25">
      <c r="A29" t="s">
        <v>40</v>
      </c>
      <c r="B29" t="s">
        <v>700</v>
      </c>
      <c r="C29" t="s">
        <v>2125</v>
      </c>
      <c r="D29">
        <v>1</v>
      </c>
    </row>
    <row r="30" spans="1:4" x14ac:dyDescent="0.25">
      <c r="A30" t="s">
        <v>40</v>
      </c>
      <c r="B30" t="s">
        <v>605</v>
      </c>
      <c r="C30" t="s">
        <v>722</v>
      </c>
      <c r="D30">
        <v>3</v>
      </c>
    </row>
    <row r="31" spans="1:4" x14ac:dyDescent="0.25">
      <c r="A31" t="s">
        <v>40</v>
      </c>
      <c r="B31" t="s">
        <v>924</v>
      </c>
      <c r="C31" t="s">
        <v>2781</v>
      </c>
      <c r="D31">
        <v>5</v>
      </c>
    </row>
    <row r="32" spans="1:4" x14ac:dyDescent="0.25">
      <c r="A32" t="s">
        <v>40</v>
      </c>
      <c r="B32" t="s">
        <v>1398</v>
      </c>
      <c r="C32" t="s">
        <v>2782</v>
      </c>
      <c r="D32">
        <v>7</v>
      </c>
    </row>
    <row r="33" spans="1:4" x14ac:dyDescent="0.25">
      <c r="A33" t="s">
        <v>40</v>
      </c>
      <c r="B33" t="s">
        <v>1646</v>
      </c>
      <c r="C33" t="s">
        <v>3123</v>
      </c>
      <c r="D33">
        <v>9</v>
      </c>
    </row>
    <row r="34" spans="1:4" x14ac:dyDescent="0.25">
      <c r="A34" t="s">
        <v>40</v>
      </c>
      <c r="B34" t="s">
        <v>1002</v>
      </c>
      <c r="C34" t="s">
        <v>227</v>
      </c>
      <c r="D34">
        <v>6</v>
      </c>
    </row>
    <row r="35" spans="1:4" x14ac:dyDescent="0.25">
      <c r="A35" t="s">
        <v>80</v>
      </c>
      <c r="B35" t="s">
        <v>1266</v>
      </c>
      <c r="C35" t="s">
        <v>1937</v>
      </c>
      <c r="D35">
        <v>8</v>
      </c>
    </row>
    <row r="36" spans="1:4" x14ac:dyDescent="0.25">
      <c r="A36" t="s">
        <v>80</v>
      </c>
      <c r="B36" t="s">
        <v>616</v>
      </c>
      <c r="C36" t="s">
        <v>1446</v>
      </c>
      <c r="D36">
        <v>10</v>
      </c>
    </row>
    <row r="37" spans="1:4" x14ac:dyDescent="0.25">
      <c r="A37" t="s">
        <v>80</v>
      </c>
      <c r="B37" t="s">
        <v>49</v>
      </c>
      <c r="C37" t="s">
        <v>1590</v>
      </c>
      <c r="D37">
        <v>7</v>
      </c>
    </row>
    <row r="38" spans="1:4" x14ac:dyDescent="0.25">
      <c r="A38" t="s">
        <v>80</v>
      </c>
      <c r="B38" t="s">
        <v>211</v>
      </c>
      <c r="C38" t="s">
        <v>2269</v>
      </c>
      <c r="D38">
        <v>4</v>
      </c>
    </row>
    <row r="39" spans="1:4" x14ac:dyDescent="0.25">
      <c r="A39" t="s">
        <v>80</v>
      </c>
      <c r="B39" t="s">
        <v>1771</v>
      </c>
      <c r="C39" t="s">
        <v>1759</v>
      </c>
      <c r="D39">
        <v>2</v>
      </c>
    </row>
    <row r="40" spans="1:4" x14ac:dyDescent="0.25">
      <c r="A40" t="s">
        <v>80</v>
      </c>
      <c r="B40" t="s">
        <v>1325</v>
      </c>
      <c r="C40" t="s">
        <v>1760</v>
      </c>
      <c r="D40">
        <v>1</v>
      </c>
    </row>
    <row r="41" spans="1:4" x14ac:dyDescent="0.25">
      <c r="A41" t="s">
        <v>80</v>
      </c>
      <c r="B41" t="s">
        <v>497</v>
      </c>
      <c r="C41" t="s">
        <v>1223</v>
      </c>
      <c r="D41">
        <v>3</v>
      </c>
    </row>
    <row r="42" spans="1:4" x14ac:dyDescent="0.25">
      <c r="A42" t="s">
        <v>80</v>
      </c>
      <c r="B42" t="s">
        <v>1033</v>
      </c>
      <c r="C42" t="s">
        <v>245</v>
      </c>
      <c r="D42">
        <v>0</v>
      </c>
    </row>
    <row r="43" spans="1:4" x14ac:dyDescent="0.25">
      <c r="A43" t="s">
        <v>80</v>
      </c>
      <c r="B43" t="s">
        <v>433</v>
      </c>
      <c r="C43" t="s">
        <v>482</v>
      </c>
      <c r="D43">
        <v>1</v>
      </c>
    </row>
    <row r="44" spans="1:4" x14ac:dyDescent="0.25">
      <c r="A44" t="s">
        <v>80</v>
      </c>
      <c r="B44" t="s">
        <v>2431</v>
      </c>
      <c r="C44" t="s">
        <v>365</v>
      </c>
      <c r="D44">
        <v>2</v>
      </c>
    </row>
    <row r="45" spans="1:4" x14ac:dyDescent="0.25">
      <c r="A45" t="s">
        <v>80</v>
      </c>
      <c r="B45" t="s">
        <v>2431</v>
      </c>
      <c r="C45" t="s">
        <v>484</v>
      </c>
      <c r="D45">
        <v>3</v>
      </c>
    </row>
    <row r="46" spans="1:4" x14ac:dyDescent="0.25">
      <c r="A46" t="s">
        <v>80</v>
      </c>
      <c r="B46" t="s">
        <v>99</v>
      </c>
      <c r="C46" t="s">
        <v>3699</v>
      </c>
      <c r="D46">
        <v>5</v>
      </c>
    </row>
    <row r="47" spans="1:4" x14ac:dyDescent="0.25">
      <c r="A47" t="s">
        <v>80</v>
      </c>
      <c r="B47" t="s">
        <v>1855</v>
      </c>
      <c r="C47" t="s">
        <v>369</v>
      </c>
      <c r="D47">
        <v>3</v>
      </c>
    </row>
    <row r="48" spans="1:4" x14ac:dyDescent="0.25">
      <c r="A48" t="s">
        <v>80</v>
      </c>
      <c r="B48" t="s">
        <v>743</v>
      </c>
      <c r="C48" t="s">
        <v>2549</v>
      </c>
      <c r="D48">
        <v>5</v>
      </c>
    </row>
    <row r="49" spans="1:4" x14ac:dyDescent="0.25">
      <c r="A49" t="s">
        <v>80</v>
      </c>
      <c r="B49" t="s">
        <v>1073</v>
      </c>
      <c r="C49" t="s">
        <v>488</v>
      </c>
      <c r="D49">
        <v>6</v>
      </c>
    </row>
    <row r="50" spans="1:4" x14ac:dyDescent="0.25">
      <c r="A50" t="s">
        <v>80</v>
      </c>
      <c r="B50" t="s">
        <v>1073</v>
      </c>
      <c r="C50" t="s">
        <v>2272</v>
      </c>
      <c r="D50">
        <v>7</v>
      </c>
    </row>
    <row r="51" spans="1:4" x14ac:dyDescent="0.25">
      <c r="A51" t="s">
        <v>80</v>
      </c>
      <c r="B51" t="s">
        <v>114</v>
      </c>
      <c r="C51" t="s">
        <v>2172</v>
      </c>
      <c r="D51">
        <v>5</v>
      </c>
    </row>
    <row r="52" spans="1:4" x14ac:dyDescent="0.25">
      <c r="A52" t="s">
        <v>80</v>
      </c>
      <c r="B52" t="s">
        <v>788</v>
      </c>
      <c r="C52" t="s">
        <v>491</v>
      </c>
      <c r="D52">
        <v>7</v>
      </c>
    </row>
    <row r="53" spans="1:4" x14ac:dyDescent="0.25">
      <c r="A53" t="s">
        <v>80</v>
      </c>
      <c r="B53" t="s">
        <v>1019</v>
      </c>
      <c r="C53" t="s">
        <v>1156</v>
      </c>
      <c r="D53">
        <v>10</v>
      </c>
    </row>
    <row r="54" spans="1:4" x14ac:dyDescent="0.25">
      <c r="A54" t="s">
        <v>80</v>
      </c>
      <c r="B54" t="s">
        <v>2042</v>
      </c>
      <c r="C54" t="s">
        <v>1684</v>
      </c>
      <c r="D54">
        <v>13</v>
      </c>
    </row>
    <row r="55" spans="1:4" x14ac:dyDescent="0.25">
      <c r="A55" t="s">
        <v>80</v>
      </c>
      <c r="B55" t="s">
        <v>36</v>
      </c>
      <c r="C55" t="s">
        <v>1954</v>
      </c>
      <c r="D55">
        <v>11</v>
      </c>
    </row>
    <row r="56" spans="1:4" x14ac:dyDescent="0.25">
      <c r="A56" t="s">
        <v>123</v>
      </c>
      <c r="B56" t="s">
        <v>205</v>
      </c>
      <c r="C56" t="s">
        <v>3997</v>
      </c>
      <c r="D56">
        <v>8</v>
      </c>
    </row>
    <row r="57" spans="1:4" x14ac:dyDescent="0.25">
      <c r="A57" t="s">
        <v>123</v>
      </c>
      <c r="B57" t="s">
        <v>2355</v>
      </c>
      <c r="C57" t="s">
        <v>1687</v>
      </c>
      <c r="D57">
        <v>10</v>
      </c>
    </row>
    <row r="58" spans="1:4" x14ac:dyDescent="0.25">
      <c r="A58" t="s">
        <v>123</v>
      </c>
      <c r="B58" t="s">
        <v>398</v>
      </c>
      <c r="C58" t="s">
        <v>2937</v>
      </c>
      <c r="D58">
        <v>12</v>
      </c>
    </row>
    <row r="59" spans="1:4" x14ac:dyDescent="0.25">
      <c r="A59" t="s">
        <v>123</v>
      </c>
      <c r="B59" t="s">
        <v>307</v>
      </c>
      <c r="C59" t="s">
        <v>3724</v>
      </c>
      <c r="D59">
        <v>10</v>
      </c>
    </row>
    <row r="60" spans="1:4" x14ac:dyDescent="0.25">
      <c r="A60" t="s">
        <v>123</v>
      </c>
      <c r="B60" t="s">
        <v>1693</v>
      </c>
      <c r="C60" t="s">
        <v>2988</v>
      </c>
      <c r="D60">
        <v>12</v>
      </c>
    </row>
    <row r="61" spans="1:4" x14ac:dyDescent="0.25">
      <c r="A61" t="s">
        <v>123</v>
      </c>
      <c r="B61" t="s">
        <v>2158</v>
      </c>
      <c r="C61" t="s">
        <v>3939</v>
      </c>
      <c r="D61">
        <v>10</v>
      </c>
    </row>
    <row r="62" spans="1:4" x14ac:dyDescent="0.25">
      <c r="A62" t="s">
        <v>123</v>
      </c>
      <c r="B62" t="s">
        <v>598</v>
      </c>
      <c r="C62" t="s">
        <v>4281</v>
      </c>
      <c r="D62">
        <v>12</v>
      </c>
    </row>
    <row r="63" spans="1:4" x14ac:dyDescent="0.25">
      <c r="A63" t="s">
        <v>123</v>
      </c>
      <c r="B63" t="s">
        <v>263</v>
      </c>
      <c r="C63" t="s">
        <v>3941</v>
      </c>
      <c r="D63">
        <v>14</v>
      </c>
    </row>
    <row r="64" spans="1:4" x14ac:dyDescent="0.25">
      <c r="A64" t="s">
        <v>123</v>
      </c>
      <c r="B64" t="s">
        <v>339</v>
      </c>
      <c r="C64" t="s">
        <v>4282</v>
      </c>
      <c r="D64">
        <v>12</v>
      </c>
    </row>
    <row r="65" spans="1:4" x14ac:dyDescent="0.25">
      <c r="A65" t="s">
        <v>123</v>
      </c>
      <c r="B65" t="s">
        <v>1536</v>
      </c>
      <c r="C65" t="s">
        <v>2885</v>
      </c>
      <c r="D65">
        <v>13</v>
      </c>
    </row>
    <row r="66" spans="1:4" x14ac:dyDescent="0.25">
      <c r="A66" t="s">
        <v>123</v>
      </c>
      <c r="B66" t="s">
        <v>1536</v>
      </c>
      <c r="C66" t="s">
        <v>1470</v>
      </c>
      <c r="D66">
        <v>14</v>
      </c>
    </row>
    <row r="68" spans="1:4" x14ac:dyDescent="0.25">
      <c r="A68" s="2" t="s">
        <v>157</v>
      </c>
    </row>
    <row r="69" spans="1:4" x14ac:dyDescent="0.25">
      <c r="A69" t="s">
        <v>158</v>
      </c>
      <c r="D69">
        <f>AVERAGE(D2:D66)</f>
        <v>3.7846153846153845</v>
      </c>
    </row>
    <row r="70" spans="1:4" x14ac:dyDescent="0.25">
      <c r="A70" t="s">
        <v>159</v>
      </c>
      <c r="D70">
        <f>MAX(D2:D66)</f>
        <v>14</v>
      </c>
    </row>
    <row r="71" spans="1:4" x14ac:dyDescent="0.25">
      <c r="A71" t="s">
        <v>160</v>
      </c>
      <c r="D71">
        <f>MIN(D2:D66)</f>
        <v>-7</v>
      </c>
    </row>
    <row r="72" spans="1:4" x14ac:dyDescent="0.25">
      <c r="A72" t="s">
        <v>161</v>
      </c>
      <c r="D72">
        <f>COUNTIF(D2:D66,"&gt;0")</f>
        <v>46</v>
      </c>
    </row>
    <row r="73" spans="1:4" x14ac:dyDescent="0.25">
      <c r="A73" t="s">
        <v>162</v>
      </c>
      <c r="D73">
        <f>COUNTIF(D2:D66,"=0")</f>
        <v>3</v>
      </c>
    </row>
    <row r="74" spans="1:4" x14ac:dyDescent="0.25">
      <c r="A74" t="s">
        <v>1689</v>
      </c>
      <c r="D74">
        <f>COUNTIF(D2:D66,"&lt;0")</f>
        <v>16</v>
      </c>
    </row>
    <row r="76" spans="1:4" x14ac:dyDescent="0.25">
      <c r="A76" s="2" t="s">
        <v>164</v>
      </c>
    </row>
    <row r="77" spans="1:4" x14ac:dyDescent="0.25">
      <c r="A77" t="s">
        <v>165</v>
      </c>
      <c r="D77">
        <f>AVERAGE(D2,D3,D4,D5,D6,D7,D8,D9,D10,D11,D12,D13,D14,D15,D16,D17)</f>
        <v>-1.875</v>
      </c>
    </row>
    <row r="78" spans="1:4" x14ac:dyDescent="0.25">
      <c r="A78" t="s">
        <v>166</v>
      </c>
      <c r="D78">
        <f>AVERAGE(D18,D19,D20,D21,D22,D23,D24,D25,D26,D27,D28,D29,D30,D31,D32,D33,D34)</f>
        <v>2.1176470588235294</v>
      </c>
    </row>
    <row r="79" spans="1:4" x14ac:dyDescent="0.25">
      <c r="A79" t="s">
        <v>167</v>
      </c>
      <c r="D79">
        <f>AVERAGE(D35,D36,D37,D38,D39,D40,D41,D42,D43,D44,D45,D46,D47,D48,D49,D50,D51,D52,D53,D54,D55)</f>
        <v>5.3809523809523814</v>
      </c>
    </row>
    <row r="80" spans="1:4" x14ac:dyDescent="0.25">
      <c r="A80" t="s">
        <v>168</v>
      </c>
      <c r="D80">
        <f>AVERAGE(D56,D57,D58,D59,D60,D61,D62,D63,D64,D65,D66)</f>
        <v>11.545454545454545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9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1143</v>
      </c>
      <c r="C2" t="s">
        <v>171</v>
      </c>
      <c r="D2">
        <v>3</v>
      </c>
    </row>
    <row r="3" spans="1:4" x14ac:dyDescent="0.25">
      <c r="A3" t="s">
        <v>4</v>
      </c>
      <c r="B3" t="s">
        <v>623</v>
      </c>
      <c r="C3" t="s">
        <v>174</v>
      </c>
      <c r="D3">
        <v>1</v>
      </c>
    </row>
    <row r="4" spans="1:4" x14ac:dyDescent="0.25">
      <c r="A4" t="s">
        <v>4</v>
      </c>
      <c r="B4" t="s">
        <v>1498</v>
      </c>
      <c r="C4" t="s">
        <v>564</v>
      </c>
      <c r="D4">
        <v>2</v>
      </c>
    </row>
    <row r="5" spans="1:4" x14ac:dyDescent="0.25">
      <c r="A5" t="s">
        <v>4</v>
      </c>
      <c r="B5" t="s">
        <v>517</v>
      </c>
      <c r="C5" t="s">
        <v>176</v>
      </c>
      <c r="D5">
        <v>4</v>
      </c>
    </row>
    <row r="6" spans="1:4" x14ac:dyDescent="0.25">
      <c r="A6" t="s">
        <v>4</v>
      </c>
      <c r="B6" t="s">
        <v>181</v>
      </c>
      <c r="C6" t="s">
        <v>2593</v>
      </c>
      <c r="D6">
        <v>7</v>
      </c>
    </row>
    <row r="7" spans="1:4" x14ac:dyDescent="0.25">
      <c r="A7" t="s">
        <v>4</v>
      </c>
      <c r="B7" t="s">
        <v>2962</v>
      </c>
      <c r="C7" t="s">
        <v>3466</v>
      </c>
      <c r="D7">
        <v>8</v>
      </c>
    </row>
    <row r="8" spans="1:4" x14ac:dyDescent="0.25">
      <c r="A8" t="s">
        <v>4</v>
      </c>
      <c r="B8" t="s">
        <v>1536</v>
      </c>
      <c r="C8" t="s">
        <v>781</v>
      </c>
      <c r="D8">
        <v>7</v>
      </c>
    </row>
    <row r="9" spans="1:4" x14ac:dyDescent="0.25">
      <c r="A9" t="s">
        <v>4</v>
      </c>
      <c r="B9" t="s">
        <v>704</v>
      </c>
      <c r="C9" t="s">
        <v>183</v>
      </c>
      <c r="D9">
        <v>6</v>
      </c>
    </row>
    <row r="10" spans="1:4" x14ac:dyDescent="0.25">
      <c r="A10" t="s">
        <v>4</v>
      </c>
      <c r="B10" t="s">
        <v>704</v>
      </c>
      <c r="C10" t="s">
        <v>1974</v>
      </c>
      <c r="D10">
        <v>5</v>
      </c>
    </row>
    <row r="11" spans="1:4" x14ac:dyDescent="0.25">
      <c r="A11" t="s">
        <v>4</v>
      </c>
      <c r="B11" t="s">
        <v>629</v>
      </c>
      <c r="C11" t="s">
        <v>783</v>
      </c>
      <c r="D11">
        <v>7</v>
      </c>
    </row>
    <row r="12" spans="1:4" x14ac:dyDescent="0.25">
      <c r="A12" t="s">
        <v>4</v>
      </c>
      <c r="B12" t="s">
        <v>1739</v>
      </c>
      <c r="C12" t="s">
        <v>24</v>
      </c>
      <c r="D12">
        <v>4</v>
      </c>
    </row>
    <row r="13" spans="1:4" x14ac:dyDescent="0.25">
      <c r="A13" t="s">
        <v>4</v>
      </c>
      <c r="B13" t="s">
        <v>631</v>
      </c>
      <c r="C13" t="s">
        <v>318</v>
      </c>
      <c r="D13">
        <v>6</v>
      </c>
    </row>
    <row r="14" spans="1:4" x14ac:dyDescent="0.25">
      <c r="A14" t="s">
        <v>4</v>
      </c>
      <c r="B14" t="s">
        <v>267</v>
      </c>
      <c r="C14" t="s">
        <v>1575</v>
      </c>
      <c r="D14">
        <v>4</v>
      </c>
    </row>
    <row r="15" spans="1:4" x14ac:dyDescent="0.25">
      <c r="A15" t="s">
        <v>4</v>
      </c>
      <c r="B15" t="s">
        <v>2147</v>
      </c>
      <c r="C15" t="s">
        <v>1111</v>
      </c>
      <c r="D15">
        <v>5</v>
      </c>
    </row>
    <row r="16" spans="1:4" x14ac:dyDescent="0.25">
      <c r="A16" t="s">
        <v>4</v>
      </c>
      <c r="B16" t="s">
        <v>2147</v>
      </c>
      <c r="C16" t="s">
        <v>321</v>
      </c>
      <c r="D16">
        <v>6</v>
      </c>
    </row>
    <row r="17" spans="1:4" x14ac:dyDescent="0.25">
      <c r="A17" t="s">
        <v>4</v>
      </c>
      <c r="B17" t="s">
        <v>1675</v>
      </c>
      <c r="C17" t="s">
        <v>1576</v>
      </c>
      <c r="D17">
        <v>7</v>
      </c>
    </row>
    <row r="18" spans="1:4" x14ac:dyDescent="0.25">
      <c r="A18" t="s">
        <v>4</v>
      </c>
      <c r="B18" t="s">
        <v>296</v>
      </c>
      <c r="C18" t="s">
        <v>1578</v>
      </c>
      <c r="D18">
        <v>4</v>
      </c>
    </row>
    <row r="19" spans="1:4" x14ac:dyDescent="0.25">
      <c r="A19" t="s">
        <v>4</v>
      </c>
      <c r="B19" t="s">
        <v>78</v>
      </c>
      <c r="C19" t="s">
        <v>1579</v>
      </c>
      <c r="D19">
        <v>6</v>
      </c>
    </row>
    <row r="20" spans="1:4" x14ac:dyDescent="0.25">
      <c r="A20" t="s">
        <v>40</v>
      </c>
      <c r="B20" t="s">
        <v>795</v>
      </c>
      <c r="C20" t="s">
        <v>199</v>
      </c>
      <c r="D20">
        <v>7</v>
      </c>
    </row>
    <row r="21" spans="1:4" x14ac:dyDescent="0.25">
      <c r="A21" t="s">
        <v>40</v>
      </c>
      <c r="B21" t="s">
        <v>795</v>
      </c>
      <c r="C21" t="s">
        <v>2047</v>
      </c>
      <c r="D21">
        <v>8</v>
      </c>
    </row>
    <row r="22" spans="1:4" x14ac:dyDescent="0.25">
      <c r="A22" t="s">
        <v>40</v>
      </c>
      <c r="B22" t="s">
        <v>1664</v>
      </c>
      <c r="C22" t="s">
        <v>2518</v>
      </c>
      <c r="D22">
        <v>10</v>
      </c>
    </row>
    <row r="23" spans="1:4" x14ac:dyDescent="0.25">
      <c r="A23" t="s">
        <v>40</v>
      </c>
      <c r="B23" t="s">
        <v>45</v>
      </c>
      <c r="C23" t="s">
        <v>1205</v>
      </c>
      <c r="D23">
        <v>8</v>
      </c>
    </row>
    <row r="24" spans="1:4" x14ac:dyDescent="0.25">
      <c r="A24" t="s">
        <v>40</v>
      </c>
      <c r="B24" t="s">
        <v>1244</v>
      </c>
      <c r="C24" t="s">
        <v>2595</v>
      </c>
      <c r="D24">
        <v>6</v>
      </c>
    </row>
    <row r="25" spans="1:4" x14ac:dyDescent="0.25">
      <c r="A25" t="s">
        <v>40</v>
      </c>
      <c r="B25" t="s">
        <v>800</v>
      </c>
      <c r="C25" t="s">
        <v>925</v>
      </c>
      <c r="D25">
        <v>4</v>
      </c>
    </row>
    <row r="26" spans="1:4" x14ac:dyDescent="0.25">
      <c r="A26" t="s">
        <v>40</v>
      </c>
      <c r="B26" t="s">
        <v>514</v>
      </c>
      <c r="C26" t="s">
        <v>207</v>
      </c>
      <c r="D26">
        <v>5</v>
      </c>
    </row>
    <row r="27" spans="1:4" x14ac:dyDescent="0.25">
      <c r="A27" t="s">
        <v>40</v>
      </c>
      <c r="B27" t="s">
        <v>514</v>
      </c>
      <c r="C27" t="s">
        <v>209</v>
      </c>
      <c r="D27">
        <v>6</v>
      </c>
    </row>
    <row r="28" spans="1:4" x14ac:dyDescent="0.25">
      <c r="A28" t="s">
        <v>40</v>
      </c>
      <c r="B28" t="s">
        <v>937</v>
      </c>
      <c r="C28" t="s">
        <v>1439</v>
      </c>
      <c r="D28">
        <v>4</v>
      </c>
    </row>
    <row r="29" spans="1:4" x14ac:dyDescent="0.25">
      <c r="A29" t="s">
        <v>40</v>
      </c>
      <c r="B29" t="s">
        <v>834</v>
      </c>
      <c r="C29" t="s">
        <v>2482</v>
      </c>
      <c r="D29">
        <v>6</v>
      </c>
    </row>
    <row r="30" spans="1:4" x14ac:dyDescent="0.25">
      <c r="A30" t="s">
        <v>40</v>
      </c>
      <c r="B30" t="s">
        <v>698</v>
      </c>
      <c r="C30" t="s">
        <v>2483</v>
      </c>
      <c r="D30">
        <v>8</v>
      </c>
    </row>
    <row r="31" spans="1:4" x14ac:dyDescent="0.25">
      <c r="A31" t="s">
        <v>40</v>
      </c>
      <c r="B31" t="s">
        <v>1503</v>
      </c>
      <c r="C31" t="s">
        <v>3535</v>
      </c>
      <c r="D31">
        <v>7</v>
      </c>
    </row>
    <row r="32" spans="1:4" x14ac:dyDescent="0.25">
      <c r="A32" t="s">
        <v>40</v>
      </c>
      <c r="B32" t="s">
        <v>1503</v>
      </c>
      <c r="C32" t="s">
        <v>216</v>
      </c>
      <c r="D32">
        <v>6</v>
      </c>
    </row>
    <row r="33" spans="1:4" x14ac:dyDescent="0.25">
      <c r="A33" t="s">
        <v>40</v>
      </c>
      <c r="B33" t="s">
        <v>704</v>
      </c>
      <c r="C33" t="s">
        <v>2358</v>
      </c>
      <c r="D33">
        <v>4</v>
      </c>
    </row>
    <row r="34" spans="1:4" x14ac:dyDescent="0.25">
      <c r="A34" t="s">
        <v>40</v>
      </c>
      <c r="B34" t="s">
        <v>414</v>
      </c>
      <c r="C34" t="s">
        <v>2359</v>
      </c>
      <c r="D34">
        <v>2</v>
      </c>
    </row>
    <row r="35" spans="1:4" x14ac:dyDescent="0.25">
      <c r="A35" t="s">
        <v>40</v>
      </c>
      <c r="B35" t="s">
        <v>414</v>
      </c>
      <c r="C35" t="s">
        <v>2484</v>
      </c>
      <c r="D35">
        <v>1</v>
      </c>
    </row>
    <row r="36" spans="1:4" x14ac:dyDescent="0.25">
      <c r="A36" t="s">
        <v>40</v>
      </c>
      <c r="B36" t="s">
        <v>2317</v>
      </c>
      <c r="C36" t="s">
        <v>2332</v>
      </c>
      <c r="D36">
        <v>-1</v>
      </c>
    </row>
    <row r="37" spans="1:4" x14ac:dyDescent="0.25">
      <c r="A37" t="s">
        <v>40</v>
      </c>
      <c r="B37" t="s">
        <v>1622</v>
      </c>
      <c r="C37" t="s">
        <v>1128</v>
      </c>
      <c r="D37">
        <v>1</v>
      </c>
    </row>
    <row r="38" spans="1:4" x14ac:dyDescent="0.25">
      <c r="A38" t="s">
        <v>40</v>
      </c>
      <c r="B38" t="s">
        <v>673</v>
      </c>
      <c r="C38" t="s">
        <v>1131</v>
      </c>
      <c r="D38">
        <v>3</v>
      </c>
    </row>
    <row r="39" spans="1:4" x14ac:dyDescent="0.25">
      <c r="A39" t="s">
        <v>40</v>
      </c>
      <c r="B39" t="s">
        <v>298</v>
      </c>
      <c r="C39" t="s">
        <v>2361</v>
      </c>
      <c r="D39">
        <v>4</v>
      </c>
    </row>
    <row r="40" spans="1:4" x14ac:dyDescent="0.25">
      <c r="A40" t="s">
        <v>40</v>
      </c>
      <c r="B40" t="s">
        <v>298</v>
      </c>
      <c r="C40" t="s">
        <v>1444</v>
      </c>
      <c r="D40">
        <v>5</v>
      </c>
    </row>
    <row r="41" spans="1:4" x14ac:dyDescent="0.25">
      <c r="A41" t="s">
        <v>40</v>
      </c>
      <c r="B41" t="s">
        <v>508</v>
      </c>
      <c r="C41" t="s">
        <v>2267</v>
      </c>
      <c r="D41">
        <v>3</v>
      </c>
    </row>
    <row r="42" spans="1:4" x14ac:dyDescent="0.25">
      <c r="A42" t="s">
        <v>80</v>
      </c>
      <c r="B42" t="s">
        <v>242</v>
      </c>
      <c r="C42" t="s">
        <v>1516</v>
      </c>
      <c r="D42">
        <v>1</v>
      </c>
    </row>
    <row r="43" spans="1:4" x14ac:dyDescent="0.25">
      <c r="A43" t="s">
        <v>80</v>
      </c>
      <c r="B43" t="s">
        <v>2405</v>
      </c>
      <c r="C43" t="s">
        <v>730</v>
      </c>
      <c r="D43">
        <v>0</v>
      </c>
    </row>
    <row r="44" spans="1:4" x14ac:dyDescent="0.25">
      <c r="A44" t="s">
        <v>80</v>
      </c>
      <c r="B44" t="s">
        <v>643</v>
      </c>
      <c r="C44" t="s">
        <v>2876</v>
      </c>
      <c r="D44">
        <v>-3</v>
      </c>
    </row>
    <row r="45" spans="1:4" x14ac:dyDescent="0.25">
      <c r="A45" t="s">
        <v>80</v>
      </c>
      <c r="B45" t="s">
        <v>1742</v>
      </c>
      <c r="C45" t="s">
        <v>2131</v>
      </c>
      <c r="D45">
        <v>-4</v>
      </c>
    </row>
    <row r="46" spans="1:4" x14ac:dyDescent="0.25">
      <c r="A46" t="s">
        <v>80</v>
      </c>
      <c r="B46" t="s">
        <v>802</v>
      </c>
      <c r="C46" t="s">
        <v>2726</v>
      </c>
      <c r="D46">
        <v>-6</v>
      </c>
    </row>
    <row r="47" spans="1:4" x14ac:dyDescent="0.25">
      <c r="A47" t="s">
        <v>80</v>
      </c>
      <c r="B47" t="s">
        <v>961</v>
      </c>
      <c r="C47" t="s">
        <v>1831</v>
      </c>
      <c r="D47">
        <v>-4</v>
      </c>
    </row>
    <row r="48" spans="1:4" x14ac:dyDescent="0.25">
      <c r="A48" t="s">
        <v>80</v>
      </c>
      <c r="B48" t="s">
        <v>1231</v>
      </c>
      <c r="C48" t="s">
        <v>1761</v>
      </c>
      <c r="D48">
        <v>-1</v>
      </c>
    </row>
    <row r="49" spans="1:4" x14ac:dyDescent="0.25">
      <c r="A49" t="s">
        <v>80</v>
      </c>
      <c r="B49" t="s">
        <v>225</v>
      </c>
      <c r="C49" t="s">
        <v>3575</v>
      </c>
      <c r="D49">
        <v>-4</v>
      </c>
    </row>
    <row r="50" spans="1:4" x14ac:dyDescent="0.25">
      <c r="A50" t="s">
        <v>80</v>
      </c>
      <c r="B50" t="s">
        <v>1638</v>
      </c>
      <c r="C50" t="s">
        <v>248</v>
      </c>
      <c r="D50">
        <v>-2</v>
      </c>
    </row>
    <row r="51" spans="1:4" x14ac:dyDescent="0.25">
      <c r="A51" t="s">
        <v>80</v>
      </c>
      <c r="B51" t="s">
        <v>414</v>
      </c>
      <c r="C51" t="s">
        <v>96</v>
      </c>
      <c r="D51">
        <v>-5</v>
      </c>
    </row>
    <row r="52" spans="1:4" x14ac:dyDescent="0.25">
      <c r="A52" t="s">
        <v>80</v>
      </c>
      <c r="B52" t="s">
        <v>228</v>
      </c>
      <c r="C52" t="s">
        <v>2877</v>
      </c>
      <c r="D52">
        <v>-2</v>
      </c>
    </row>
    <row r="53" spans="1:4" x14ac:dyDescent="0.25">
      <c r="A53" t="s">
        <v>80</v>
      </c>
      <c r="B53" t="s">
        <v>389</v>
      </c>
      <c r="C53" t="s">
        <v>739</v>
      </c>
      <c r="D53">
        <v>-4</v>
      </c>
    </row>
    <row r="54" spans="1:4" x14ac:dyDescent="0.25">
      <c r="A54" t="s">
        <v>80</v>
      </c>
      <c r="B54" t="s">
        <v>996</v>
      </c>
      <c r="C54" t="s">
        <v>2764</v>
      </c>
      <c r="D54">
        <v>-6</v>
      </c>
    </row>
    <row r="55" spans="1:4" x14ac:dyDescent="0.25">
      <c r="A55" t="s">
        <v>80</v>
      </c>
      <c r="B55" t="s">
        <v>346</v>
      </c>
      <c r="C55" t="s">
        <v>3576</v>
      </c>
      <c r="D55">
        <v>-4</v>
      </c>
    </row>
    <row r="56" spans="1:4" x14ac:dyDescent="0.25">
      <c r="A56" t="s">
        <v>80</v>
      </c>
      <c r="B56" t="s">
        <v>1489</v>
      </c>
      <c r="C56" t="s">
        <v>2491</v>
      </c>
      <c r="D56">
        <v>-1</v>
      </c>
    </row>
    <row r="57" spans="1:4" x14ac:dyDescent="0.25">
      <c r="A57" t="s">
        <v>80</v>
      </c>
      <c r="B57" t="s">
        <v>38</v>
      </c>
      <c r="C57" t="s">
        <v>1729</v>
      </c>
      <c r="D57">
        <v>-2</v>
      </c>
    </row>
    <row r="58" spans="1:4" x14ac:dyDescent="0.25">
      <c r="A58" t="s">
        <v>80</v>
      </c>
      <c r="B58" t="s">
        <v>38</v>
      </c>
      <c r="C58" t="s">
        <v>2765</v>
      </c>
      <c r="D58">
        <v>-3</v>
      </c>
    </row>
    <row r="59" spans="1:4" x14ac:dyDescent="0.25">
      <c r="A59" t="s">
        <v>80</v>
      </c>
      <c r="B59" t="s">
        <v>38</v>
      </c>
      <c r="C59" t="s">
        <v>3984</v>
      </c>
      <c r="D59">
        <v>-4</v>
      </c>
    </row>
    <row r="60" spans="1:4" x14ac:dyDescent="0.25">
      <c r="A60" t="s">
        <v>80</v>
      </c>
      <c r="B60" t="s">
        <v>817</v>
      </c>
      <c r="C60" t="s">
        <v>4283</v>
      </c>
      <c r="D60">
        <v>-6</v>
      </c>
    </row>
    <row r="61" spans="1:4" x14ac:dyDescent="0.25">
      <c r="A61" t="s">
        <v>123</v>
      </c>
      <c r="B61" t="s">
        <v>1007</v>
      </c>
      <c r="C61" t="s">
        <v>835</v>
      </c>
      <c r="D61">
        <v>-8</v>
      </c>
    </row>
    <row r="62" spans="1:4" x14ac:dyDescent="0.25">
      <c r="A62" t="s">
        <v>123</v>
      </c>
      <c r="B62" t="s">
        <v>823</v>
      </c>
      <c r="C62" t="s">
        <v>2229</v>
      </c>
      <c r="D62">
        <v>-5</v>
      </c>
    </row>
    <row r="63" spans="1:4" x14ac:dyDescent="0.25">
      <c r="A63" t="s">
        <v>123</v>
      </c>
      <c r="B63" t="s">
        <v>85</v>
      </c>
      <c r="C63" t="s">
        <v>117</v>
      </c>
      <c r="D63">
        <v>-6</v>
      </c>
    </row>
    <row r="64" spans="1:4" x14ac:dyDescent="0.25">
      <c r="A64" t="s">
        <v>123</v>
      </c>
      <c r="B64" t="s">
        <v>1029</v>
      </c>
      <c r="C64" t="s">
        <v>1234</v>
      </c>
      <c r="D64">
        <v>-5</v>
      </c>
    </row>
    <row r="65" spans="1:4" x14ac:dyDescent="0.25">
      <c r="A65" t="s">
        <v>123</v>
      </c>
      <c r="B65" t="s">
        <v>175</v>
      </c>
      <c r="C65" t="s">
        <v>2139</v>
      </c>
      <c r="D65">
        <v>-8</v>
      </c>
    </row>
    <row r="66" spans="1:4" x14ac:dyDescent="0.25">
      <c r="A66" t="s">
        <v>123</v>
      </c>
      <c r="B66" t="s">
        <v>759</v>
      </c>
      <c r="C66" t="s">
        <v>2140</v>
      </c>
      <c r="D66">
        <v>-5</v>
      </c>
    </row>
    <row r="67" spans="1:4" x14ac:dyDescent="0.25">
      <c r="A67" t="s">
        <v>123</v>
      </c>
      <c r="B67" t="s">
        <v>333</v>
      </c>
      <c r="C67" t="s">
        <v>2231</v>
      </c>
      <c r="D67">
        <v>-2</v>
      </c>
    </row>
    <row r="68" spans="1:4" x14ac:dyDescent="0.25">
      <c r="A68" t="s">
        <v>123</v>
      </c>
      <c r="B68" t="s">
        <v>625</v>
      </c>
      <c r="C68" t="s">
        <v>2498</v>
      </c>
      <c r="D68">
        <v>0</v>
      </c>
    </row>
    <row r="69" spans="1:4" x14ac:dyDescent="0.25">
      <c r="A69" t="s">
        <v>123</v>
      </c>
      <c r="B69" t="s">
        <v>408</v>
      </c>
      <c r="C69" t="s">
        <v>2235</v>
      </c>
      <c r="D69">
        <v>-3</v>
      </c>
    </row>
    <row r="70" spans="1:4" x14ac:dyDescent="0.25">
      <c r="A70" t="s">
        <v>123</v>
      </c>
      <c r="B70" t="s">
        <v>263</v>
      </c>
      <c r="C70" t="s">
        <v>2499</v>
      </c>
      <c r="D70">
        <v>-1</v>
      </c>
    </row>
    <row r="71" spans="1:4" x14ac:dyDescent="0.25">
      <c r="A71" t="s">
        <v>123</v>
      </c>
      <c r="B71" t="s">
        <v>701</v>
      </c>
      <c r="C71" t="s">
        <v>2422</v>
      </c>
      <c r="D71">
        <v>-3</v>
      </c>
    </row>
    <row r="72" spans="1:4" x14ac:dyDescent="0.25">
      <c r="A72" t="s">
        <v>123</v>
      </c>
      <c r="B72" t="s">
        <v>380</v>
      </c>
      <c r="C72" t="s">
        <v>847</v>
      </c>
      <c r="D72">
        <v>-1</v>
      </c>
    </row>
    <row r="73" spans="1:4" x14ac:dyDescent="0.25">
      <c r="A73" t="s">
        <v>123</v>
      </c>
      <c r="B73" t="s">
        <v>667</v>
      </c>
      <c r="C73" t="s">
        <v>3031</v>
      </c>
      <c r="D73">
        <v>0</v>
      </c>
    </row>
    <row r="74" spans="1:4" x14ac:dyDescent="0.25">
      <c r="A74" t="s">
        <v>123</v>
      </c>
      <c r="B74" t="s">
        <v>1048</v>
      </c>
      <c r="C74" t="s">
        <v>2605</v>
      </c>
      <c r="D74">
        <v>3</v>
      </c>
    </row>
    <row r="75" spans="1:4" x14ac:dyDescent="0.25">
      <c r="A75" t="s">
        <v>123</v>
      </c>
      <c r="B75" t="s">
        <v>36</v>
      </c>
      <c r="C75" t="s">
        <v>1960</v>
      </c>
      <c r="D75">
        <v>1</v>
      </c>
    </row>
    <row r="76" spans="1:4" x14ac:dyDescent="0.25">
      <c r="A76" t="s">
        <v>123</v>
      </c>
      <c r="B76" t="s">
        <v>350</v>
      </c>
      <c r="C76" t="s">
        <v>2458</v>
      </c>
      <c r="D76">
        <v>2</v>
      </c>
    </row>
    <row r="77" spans="1:4" x14ac:dyDescent="0.25">
      <c r="A77" t="s">
        <v>123</v>
      </c>
      <c r="B77" t="s">
        <v>559</v>
      </c>
      <c r="C77" t="s">
        <v>2732</v>
      </c>
      <c r="D77">
        <v>3</v>
      </c>
    </row>
    <row r="78" spans="1:4" x14ac:dyDescent="0.25">
      <c r="A78" t="s">
        <v>123</v>
      </c>
      <c r="B78" t="s">
        <v>559</v>
      </c>
      <c r="C78" t="s">
        <v>1961</v>
      </c>
      <c r="D78">
        <v>4</v>
      </c>
    </row>
    <row r="80" spans="1:4" x14ac:dyDescent="0.25">
      <c r="A80" s="2" t="s">
        <v>157</v>
      </c>
    </row>
    <row r="81" spans="1:4" x14ac:dyDescent="0.25">
      <c r="A81" t="s">
        <v>158</v>
      </c>
      <c r="D81">
        <f>AVERAGE(D2:D78)</f>
        <v>1.3636363636363635</v>
      </c>
    </row>
    <row r="82" spans="1:4" x14ac:dyDescent="0.25">
      <c r="A82" t="s">
        <v>159</v>
      </c>
      <c r="D82">
        <f>MAX(D2:D78)</f>
        <v>10</v>
      </c>
    </row>
    <row r="83" spans="1:4" x14ac:dyDescent="0.25">
      <c r="A83" t="s">
        <v>160</v>
      </c>
      <c r="D83">
        <f>MIN(D2:D78)</f>
        <v>-8</v>
      </c>
    </row>
    <row r="84" spans="1:4" x14ac:dyDescent="0.25">
      <c r="A84" t="s">
        <v>161</v>
      </c>
      <c r="D84">
        <f>COUNTIF(D2:D78,"&gt;0")</f>
        <v>45</v>
      </c>
    </row>
    <row r="85" spans="1:4" x14ac:dyDescent="0.25">
      <c r="A85" t="s">
        <v>162</v>
      </c>
      <c r="D85">
        <f>COUNTIF(D2:D78,"=0")</f>
        <v>3</v>
      </c>
    </row>
    <row r="86" spans="1:4" x14ac:dyDescent="0.25">
      <c r="A86" t="s">
        <v>1689</v>
      </c>
      <c r="D86">
        <f>COUNTIF(D2:D78,"&lt;0")</f>
        <v>29</v>
      </c>
    </row>
    <row r="88" spans="1:4" x14ac:dyDescent="0.25">
      <c r="A88" s="2" t="s">
        <v>164</v>
      </c>
    </row>
    <row r="89" spans="1:4" x14ac:dyDescent="0.25">
      <c r="A89" t="s">
        <v>165</v>
      </c>
      <c r="D89">
        <f>AVERAGE(D2,D3,D4,D5,D6,D7,D8,D9,D10,D11,D12,D13,D14,D15,D16,D17,D18,D19)</f>
        <v>5.1111111111111107</v>
      </c>
    </row>
    <row r="90" spans="1:4" x14ac:dyDescent="0.25">
      <c r="A90" t="s">
        <v>166</v>
      </c>
      <c r="D90">
        <f>AVERAGE(D20,D21,D22,D23,D24,D25,D26,D27,D28,D29,D30,D31,D32,D33,D34,D35,D36,D37,D38,D39,D40,D41)</f>
        <v>4.8636363636363633</v>
      </c>
    </row>
    <row r="91" spans="1:4" x14ac:dyDescent="0.25">
      <c r="A91" t="s">
        <v>167</v>
      </c>
      <c r="D91">
        <f>AVERAGE(D42,D43,D44,D45,D46,D47,D48,D49,D50,D51,D52,D53,D54,D55,D56,D57,D58,D59,D60)</f>
        <v>-3.1578947368421053</v>
      </c>
    </row>
    <row r="92" spans="1:4" x14ac:dyDescent="0.25">
      <c r="A92" t="s">
        <v>168</v>
      </c>
      <c r="D92">
        <f>AVERAGE(D61,D62,D63,D64,D65,D66,D67,D68,D69,D70,D71,D72,D73,D74,D75,D76,D77,D78)</f>
        <v>-1.8888888888888888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D8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128</v>
      </c>
      <c r="C2" t="s">
        <v>908</v>
      </c>
      <c r="D2">
        <v>-2</v>
      </c>
    </row>
    <row r="3" spans="1:4" x14ac:dyDescent="0.25">
      <c r="A3" t="s">
        <v>4</v>
      </c>
      <c r="B3" t="s">
        <v>1666</v>
      </c>
      <c r="C3" t="s">
        <v>1692</v>
      </c>
      <c r="D3">
        <v>-4</v>
      </c>
    </row>
    <row r="4" spans="1:4" x14ac:dyDescent="0.25">
      <c r="A4" t="s">
        <v>4</v>
      </c>
      <c r="B4" t="s">
        <v>11</v>
      </c>
      <c r="C4" t="s">
        <v>2045</v>
      </c>
      <c r="D4">
        <v>-1</v>
      </c>
    </row>
    <row r="5" spans="1:4" x14ac:dyDescent="0.25">
      <c r="A5" t="s">
        <v>4</v>
      </c>
      <c r="B5" t="s">
        <v>458</v>
      </c>
      <c r="C5" t="s">
        <v>911</v>
      </c>
      <c r="D5">
        <v>-4</v>
      </c>
    </row>
    <row r="6" spans="1:4" x14ac:dyDescent="0.25">
      <c r="A6" t="s">
        <v>4</v>
      </c>
      <c r="B6" t="s">
        <v>643</v>
      </c>
      <c r="C6" t="s">
        <v>2201</v>
      </c>
      <c r="D6">
        <v>-6</v>
      </c>
    </row>
    <row r="7" spans="1:4" x14ac:dyDescent="0.25">
      <c r="A7" t="s">
        <v>4</v>
      </c>
      <c r="B7" t="s">
        <v>1011</v>
      </c>
      <c r="C7" t="s">
        <v>1496</v>
      </c>
      <c r="D7">
        <v>-4</v>
      </c>
    </row>
    <row r="8" spans="1:4" x14ac:dyDescent="0.25">
      <c r="A8" t="s">
        <v>4</v>
      </c>
      <c r="B8" t="s">
        <v>1011</v>
      </c>
      <c r="C8" t="s">
        <v>2153</v>
      </c>
      <c r="D8">
        <v>-3</v>
      </c>
    </row>
    <row r="9" spans="1:4" x14ac:dyDescent="0.25">
      <c r="A9" t="s">
        <v>4</v>
      </c>
      <c r="B9" t="s">
        <v>1441</v>
      </c>
      <c r="C9" t="s">
        <v>697</v>
      </c>
      <c r="D9">
        <v>-1</v>
      </c>
    </row>
    <row r="10" spans="1:4" x14ac:dyDescent="0.25">
      <c r="A10" t="s">
        <v>4</v>
      </c>
      <c r="B10" t="s">
        <v>140</v>
      </c>
      <c r="C10" t="s">
        <v>573</v>
      </c>
      <c r="D10">
        <v>2</v>
      </c>
    </row>
    <row r="11" spans="1:4" x14ac:dyDescent="0.25">
      <c r="A11" t="s">
        <v>4</v>
      </c>
      <c r="B11" t="s">
        <v>1882</v>
      </c>
      <c r="C11" t="s">
        <v>1354</v>
      </c>
      <c r="D11">
        <v>4</v>
      </c>
    </row>
    <row r="12" spans="1:4" x14ac:dyDescent="0.25">
      <c r="A12" t="s">
        <v>4</v>
      </c>
      <c r="B12" t="s">
        <v>2390</v>
      </c>
      <c r="C12" t="s">
        <v>1871</v>
      </c>
      <c r="D12">
        <v>5</v>
      </c>
    </row>
    <row r="13" spans="1:4" x14ac:dyDescent="0.25">
      <c r="A13" t="s">
        <v>4</v>
      </c>
      <c r="B13" t="s">
        <v>2390</v>
      </c>
      <c r="C13" t="s">
        <v>1355</v>
      </c>
      <c r="D13">
        <v>6</v>
      </c>
    </row>
    <row r="14" spans="1:4" x14ac:dyDescent="0.25">
      <c r="A14" t="s">
        <v>4</v>
      </c>
      <c r="B14" t="s">
        <v>346</v>
      </c>
      <c r="C14" t="s">
        <v>194</v>
      </c>
      <c r="D14">
        <v>9</v>
      </c>
    </row>
    <row r="15" spans="1:4" x14ac:dyDescent="0.25">
      <c r="A15" t="s">
        <v>4</v>
      </c>
      <c r="B15" t="s">
        <v>1874</v>
      </c>
      <c r="C15" t="s">
        <v>195</v>
      </c>
      <c r="D15">
        <v>8</v>
      </c>
    </row>
    <row r="16" spans="1:4" x14ac:dyDescent="0.25">
      <c r="A16" t="s">
        <v>4</v>
      </c>
      <c r="B16" t="s">
        <v>1874</v>
      </c>
      <c r="C16" t="s">
        <v>787</v>
      </c>
      <c r="D16">
        <v>7</v>
      </c>
    </row>
    <row r="17" spans="1:4" x14ac:dyDescent="0.25">
      <c r="A17" t="s">
        <v>40</v>
      </c>
      <c r="B17" t="s">
        <v>1346</v>
      </c>
      <c r="C17" t="s">
        <v>2921</v>
      </c>
      <c r="D17">
        <v>8</v>
      </c>
    </row>
    <row r="18" spans="1:4" x14ac:dyDescent="0.25">
      <c r="A18" t="s">
        <v>40</v>
      </c>
      <c r="B18" t="s">
        <v>1346</v>
      </c>
      <c r="C18" t="s">
        <v>1357</v>
      </c>
      <c r="D18">
        <v>9</v>
      </c>
    </row>
    <row r="19" spans="1:4" x14ac:dyDescent="0.25">
      <c r="A19" t="s">
        <v>40</v>
      </c>
      <c r="B19" t="s">
        <v>859</v>
      </c>
      <c r="C19" t="s">
        <v>199</v>
      </c>
      <c r="D19">
        <v>7</v>
      </c>
    </row>
    <row r="20" spans="1:4" x14ac:dyDescent="0.25">
      <c r="A20" t="s">
        <v>40</v>
      </c>
      <c r="B20" t="s">
        <v>693</v>
      </c>
      <c r="C20" t="s">
        <v>200</v>
      </c>
      <c r="D20">
        <v>5</v>
      </c>
    </row>
    <row r="21" spans="1:4" x14ac:dyDescent="0.25">
      <c r="A21" t="s">
        <v>40</v>
      </c>
      <c r="B21" t="s">
        <v>723</v>
      </c>
      <c r="C21" t="s">
        <v>201</v>
      </c>
      <c r="D21">
        <v>7</v>
      </c>
    </row>
    <row r="22" spans="1:4" x14ac:dyDescent="0.25">
      <c r="A22" t="s">
        <v>40</v>
      </c>
      <c r="B22" t="s">
        <v>1246</v>
      </c>
      <c r="C22" t="s">
        <v>1749</v>
      </c>
      <c r="D22">
        <v>5</v>
      </c>
    </row>
    <row r="23" spans="1:4" x14ac:dyDescent="0.25">
      <c r="A23" t="s">
        <v>40</v>
      </c>
      <c r="B23" t="s">
        <v>572</v>
      </c>
      <c r="C23" t="s">
        <v>1928</v>
      </c>
      <c r="D23">
        <v>8</v>
      </c>
    </row>
    <row r="24" spans="1:4" x14ac:dyDescent="0.25">
      <c r="A24" t="s">
        <v>40</v>
      </c>
      <c r="B24" t="s">
        <v>1065</v>
      </c>
      <c r="C24" t="s">
        <v>1581</v>
      </c>
      <c r="D24">
        <v>7</v>
      </c>
    </row>
    <row r="25" spans="1:4" x14ac:dyDescent="0.25">
      <c r="A25" t="s">
        <v>40</v>
      </c>
      <c r="B25" t="s">
        <v>1065</v>
      </c>
      <c r="C25" t="s">
        <v>209</v>
      </c>
      <c r="D25">
        <v>6</v>
      </c>
    </row>
    <row r="26" spans="1:4" x14ac:dyDescent="0.25">
      <c r="A26" t="s">
        <v>40</v>
      </c>
      <c r="B26" t="s">
        <v>366</v>
      </c>
      <c r="C26" t="s">
        <v>2481</v>
      </c>
      <c r="D26">
        <v>8</v>
      </c>
    </row>
    <row r="27" spans="1:4" x14ac:dyDescent="0.25">
      <c r="A27" t="s">
        <v>40</v>
      </c>
      <c r="B27" t="s">
        <v>1228</v>
      </c>
      <c r="C27" t="s">
        <v>2927</v>
      </c>
      <c r="D27">
        <v>10</v>
      </c>
    </row>
    <row r="28" spans="1:4" x14ac:dyDescent="0.25">
      <c r="A28" t="s">
        <v>40</v>
      </c>
      <c r="B28" t="s">
        <v>874</v>
      </c>
      <c r="C28" t="s">
        <v>2483</v>
      </c>
      <c r="D28">
        <v>8</v>
      </c>
    </row>
    <row r="29" spans="1:4" x14ac:dyDescent="0.25">
      <c r="A29" t="s">
        <v>40</v>
      </c>
      <c r="B29" t="s">
        <v>544</v>
      </c>
      <c r="C29" t="s">
        <v>3121</v>
      </c>
      <c r="D29">
        <v>10</v>
      </c>
    </row>
    <row r="30" spans="1:4" x14ac:dyDescent="0.25">
      <c r="A30" t="s">
        <v>40</v>
      </c>
      <c r="B30" t="s">
        <v>629</v>
      </c>
      <c r="C30" t="s">
        <v>2159</v>
      </c>
      <c r="D30">
        <v>8</v>
      </c>
    </row>
    <row r="31" spans="1:4" x14ac:dyDescent="0.25">
      <c r="A31" t="s">
        <v>40</v>
      </c>
      <c r="B31" t="s">
        <v>444</v>
      </c>
      <c r="C31" t="s">
        <v>1125</v>
      </c>
      <c r="D31">
        <v>6</v>
      </c>
    </row>
    <row r="32" spans="1:4" x14ac:dyDescent="0.25">
      <c r="A32" t="s">
        <v>40</v>
      </c>
      <c r="B32" t="s">
        <v>29</v>
      </c>
      <c r="C32" t="s">
        <v>1935</v>
      </c>
      <c r="D32">
        <v>8</v>
      </c>
    </row>
    <row r="33" spans="1:4" x14ac:dyDescent="0.25">
      <c r="A33" t="s">
        <v>40</v>
      </c>
      <c r="B33" t="s">
        <v>29</v>
      </c>
      <c r="C33" t="s">
        <v>1586</v>
      </c>
      <c r="D33">
        <v>9</v>
      </c>
    </row>
    <row r="34" spans="1:4" x14ac:dyDescent="0.25">
      <c r="A34" t="s">
        <v>40</v>
      </c>
      <c r="B34" t="s">
        <v>1356</v>
      </c>
      <c r="C34" t="s">
        <v>2814</v>
      </c>
      <c r="D34">
        <v>11</v>
      </c>
    </row>
    <row r="35" spans="1:4" x14ac:dyDescent="0.25">
      <c r="A35" t="s">
        <v>40</v>
      </c>
      <c r="B35" t="s">
        <v>296</v>
      </c>
      <c r="C35" t="s">
        <v>3123</v>
      </c>
      <c r="D35">
        <v>9</v>
      </c>
    </row>
    <row r="36" spans="1:4" x14ac:dyDescent="0.25">
      <c r="A36" t="s">
        <v>40</v>
      </c>
      <c r="B36" t="s">
        <v>1809</v>
      </c>
      <c r="C36" t="s">
        <v>2977</v>
      </c>
      <c r="D36">
        <v>11</v>
      </c>
    </row>
    <row r="37" spans="1:4" x14ac:dyDescent="0.25">
      <c r="A37" t="s">
        <v>40</v>
      </c>
      <c r="B37" t="s">
        <v>76</v>
      </c>
      <c r="C37" t="s">
        <v>4022</v>
      </c>
      <c r="D37">
        <v>13</v>
      </c>
    </row>
    <row r="38" spans="1:4" x14ac:dyDescent="0.25">
      <c r="A38" t="s">
        <v>40</v>
      </c>
      <c r="B38" t="s">
        <v>78</v>
      </c>
      <c r="C38" t="s">
        <v>3011</v>
      </c>
      <c r="D38">
        <v>15</v>
      </c>
    </row>
    <row r="39" spans="1:4" x14ac:dyDescent="0.25">
      <c r="A39" t="s">
        <v>80</v>
      </c>
      <c r="B39" t="s">
        <v>128</v>
      </c>
      <c r="C39" t="s">
        <v>3125</v>
      </c>
      <c r="D39">
        <v>13</v>
      </c>
    </row>
    <row r="40" spans="1:4" x14ac:dyDescent="0.25">
      <c r="A40" t="s">
        <v>80</v>
      </c>
      <c r="B40" t="s">
        <v>2405</v>
      </c>
      <c r="C40" t="s">
        <v>2935</v>
      </c>
      <c r="D40">
        <v>11</v>
      </c>
    </row>
    <row r="41" spans="1:4" x14ac:dyDescent="0.25">
      <c r="A41" t="s">
        <v>80</v>
      </c>
      <c r="B41" t="s">
        <v>937</v>
      </c>
      <c r="C41" t="s">
        <v>2910</v>
      </c>
      <c r="D41">
        <v>10</v>
      </c>
    </row>
    <row r="42" spans="1:4" x14ac:dyDescent="0.25">
      <c r="A42" t="s">
        <v>80</v>
      </c>
      <c r="B42" t="s">
        <v>937</v>
      </c>
      <c r="C42" t="s">
        <v>946</v>
      </c>
      <c r="D42">
        <v>9</v>
      </c>
    </row>
    <row r="43" spans="1:4" x14ac:dyDescent="0.25">
      <c r="A43" t="s">
        <v>80</v>
      </c>
      <c r="B43" t="s">
        <v>256</v>
      </c>
      <c r="C43" t="s">
        <v>1592</v>
      </c>
      <c r="D43">
        <v>7</v>
      </c>
    </row>
    <row r="44" spans="1:4" x14ac:dyDescent="0.25">
      <c r="A44" t="s">
        <v>80</v>
      </c>
      <c r="B44" t="s">
        <v>2154</v>
      </c>
      <c r="C44" t="s">
        <v>2546</v>
      </c>
      <c r="D44">
        <v>4</v>
      </c>
    </row>
    <row r="45" spans="1:4" x14ac:dyDescent="0.25">
      <c r="A45" t="s">
        <v>80</v>
      </c>
      <c r="B45" t="s">
        <v>190</v>
      </c>
      <c r="C45" t="s">
        <v>1144</v>
      </c>
      <c r="D45">
        <v>6</v>
      </c>
    </row>
    <row r="46" spans="1:4" x14ac:dyDescent="0.25">
      <c r="A46" t="s">
        <v>80</v>
      </c>
      <c r="B46" t="s">
        <v>1638</v>
      </c>
      <c r="C46" t="s">
        <v>2336</v>
      </c>
      <c r="D46">
        <v>5</v>
      </c>
    </row>
    <row r="47" spans="1:4" x14ac:dyDescent="0.25">
      <c r="A47" t="s">
        <v>80</v>
      </c>
      <c r="B47" t="s">
        <v>1638</v>
      </c>
      <c r="C47" t="s">
        <v>2547</v>
      </c>
      <c r="D47">
        <v>4</v>
      </c>
    </row>
    <row r="48" spans="1:4" x14ac:dyDescent="0.25">
      <c r="A48" t="s">
        <v>80</v>
      </c>
      <c r="B48" t="s">
        <v>667</v>
      </c>
      <c r="C48" t="s">
        <v>1147</v>
      </c>
      <c r="D48">
        <v>7</v>
      </c>
    </row>
    <row r="49" spans="1:4" x14ac:dyDescent="0.25">
      <c r="A49" t="s">
        <v>80</v>
      </c>
      <c r="B49" t="s">
        <v>475</v>
      </c>
      <c r="C49" t="s">
        <v>1148</v>
      </c>
      <c r="D49">
        <v>9</v>
      </c>
    </row>
    <row r="50" spans="1:4" x14ac:dyDescent="0.25">
      <c r="A50" t="s">
        <v>80</v>
      </c>
      <c r="B50" t="s">
        <v>1076</v>
      </c>
      <c r="C50" t="s">
        <v>1597</v>
      </c>
      <c r="D50">
        <v>8</v>
      </c>
    </row>
    <row r="51" spans="1:4" x14ac:dyDescent="0.25">
      <c r="A51" t="s">
        <v>80</v>
      </c>
      <c r="B51" t="s">
        <v>389</v>
      </c>
      <c r="C51" t="s">
        <v>2549</v>
      </c>
      <c r="D51">
        <v>5</v>
      </c>
    </row>
    <row r="52" spans="1:4" x14ac:dyDescent="0.25">
      <c r="A52" t="s">
        <v>80</v>
      </c>
      <c r="B52" t="s">
        <v>1050</v>
      </c>
      <c r="C52" t="s">
        <v>2272</v>
      </c>
      <c r="D52">
        <v>7</v>
      </c>
    </row>
    <row r="53" spans="1:4" x14ac:dyDescent="0.25">
      <c r="A53" t="s">
        <v>80</v>
      </c>
      <c r="B53" t="s">
        <v>584</v>
      </c>
      <c r="C53" t="s">
        <v>4256</v>
      </c>
      <c r="D53">
        <v>4</v>
      </c>
    </row>
    <row r="54" spans="1:4" x14ac:dyDescent="0.25">
      <c r="A54" t="s">
        <v>123</v>
      </c>
      <c r="B54" t="s">
        <v>2421</v>
      </c>
      <c r="C54" t="s">
        <v>3733</v>
      </c>
      <c r="D54">
        <v>6</v>
      </c>
    </row>
    <row r="55" spans="1:4" x14ac:dyDescent="0.25">
      <c r="A55" t="s">
        <v>123</v>
      </c>
      <c r="B55" t="s">
        <v>1346</v>
      </c>
      <c r="C55" t="s">
        <v>1528</v>
      </c>
      <c r="D55">
        <v>3</v>
      </c>
    </row>
    <row r="56" spans="1:4" x14ac:dyDescent="0.25">
      <c r="A56" t="s">
        <v>123</v>
      </c>
      <c r="B56" t="s">
        <v>2151</v>
      </c>
      <c r="C56" t="s">
        <v>495</v>
      </c>
      <c r="D56">
        <v>5</v>
      </c>
    </row>
    <row r="57" spans="1:4" x14ac:dyDescent="0.25">
      <c r="A57" t="s">
        <v>123</v>
      </c>
      <c r="B57" t="s">
        <v>1057</v>
      </c>
      <c r="C57" t="s">
        <v>2492</v>
      </c>
      <c r="D57">
        <v>3</v>
      </c>
    </row>
    <row r="58" spans="1:4" x14ac:dyDescent="0.25">
      <c r="A58" t="s">
        <v>123</v>
      </c>
      <c r="B58" t="s">
        <v>2405</v>
      </c>
      <c r="C58" t="s">
        <v>2493</v>
      </c>
      <c r="D58">
        <v>1</v>
      </c>
    </row>
    <row r="59" spans="1:4" x14ac:dyDescent="0.25">
      <c r="A59" t="s">
        <v>123</v>
      </c>
      <c r="B59" t="s">
        <v>2152</v>
      </c>
      <c r="C59" t="s">
        <v>2178</v>
      </c>
      <c r="D59">
        <v>3</v>
      </c>
    </row>
    <row r="60" spans="1:4" x14ac:dyDescent="0.25">
      <c r="A60" t="s">
        <v>123</v>
      </c>
      <c r="B60" t="s">
        <v>1836</v>
      </c>
      <c r="C60" t="s">
        <v>635</v>
      </c>
      <c r="D60">
        <v>1</v>
      </c>
    </row>
    <row r="61" spans="1:4" x14ac:dyDescent="0.25">
      <c r="A61" t="s">
        <v>123</v>
      </c>
      <c r="B61" t="s">
        <v>1529</v>
      </c>
      <c r="C61" t="s">
        <v>840</v>
      </c>
      <c r="D61">
        <v>-2</v>
      </c>
    </row>
    <row r="62" spans="1:4" x14ac:dyDescent="0.25">
      <c r="A62" t="s">
        <v>123</v>
      </c>
      <c r="B62" t="s">
        <v>779</v>
      </c>
      <c r="C62" t="s">
        <v>2312</v>
      </c>
      <c r="D62">
        <v>-1</v>
      </c>
    </row>
    <row r="63" spans="1:4" x14ac:dyDescent="0.25">
      <c r="A63" t="s">
        <v>123</v>
      </c>
      <c r="B63" t="s">
        <v>62</v>
      </c>
      <c r="C63" t="s">
        <v>2533</v>
      </c>
      <c r="D63">
        <v>1</v>
      </c>
    </row>
    <row r="64" spans="1:4" x14ac:dyDescent="0.25">
      <c r="A64" t="s">
        <v>123</v>
      </c>
      <c r="B64" t="s">
        <v>1350</v>
      </c>
      <c r="C64" t="s">
        <v>3584</v>
      </c>
      <c r="D64">
        <v>3</v>
      </c>
    </row>
    <row r="65" spans="1:4" x14ac:dyDescent="0.25">
      <c r="A65" t="s">
        <v>123</v>
      </c>
      <c r="B65" t="s">
        <v>1231</v>
      </c>
      <c r="C65" t="s">
        <v>3199</v>
      </c>
      <c r="D65">
        <v>1</v>
      </c>
    </row>
    <row r="66" spans="1:4" x14ac:dyDescent="0.25">
      <c r="A66" t="s">
        <v>123</v>
      </c>
      <c r="B66" t="s">
        <v>285</v>
      </c>
      <c r="C66" t="s">
        <v>3200</v>
      </c>
      <c r="D66">
        <v>-1</v>
      </c>
    </row>
    <row r="67" spans="1:4" x14ac:dyDescent="0.25">
      <c r="A67" t="s">
        <v>123</v>
      </c>
      <c r="B67" t="s">
        <v>472</v>
      </c>
      <c r="C67" t="s">
        <v>509</v>
      </c>
      <c r="D67">
        <v>2</v>
      </c>
    </row>
    <row r="68" spans="1:4" x14ac:dyDescent="0.25">
      <c r="A68" t="s">
        <v>123</v>
      </c>
      <c r="B68" t="s">
        <v>1437</v>
      </c>
      <c r="C68" t="s">
        <v>1738</v>
      </c>
      <c r="D68">
        <v>4</v>
      </c>
    </row>
    <row r="69" spans="1:4" x14ac:dyDescent="0.25">
      <c r="A69" t="s">
        <v>123</v>
      </c>
      <c r="B69" t="s">
        <v>1437</v>
      </c>
      <c r="C69" t="s">
        <v>761</v>
      </c>
      <c r="D69">
        <v>5</v>
      </c>
    </row>
    <row r="70" spans="1:4" x14ac:dyDescent="0.25">
      <c r="A70" t="s">
        <v>123</v>
      </c>
      <c r="B70" t="s">
        <v>296</v>
      </c>
      <c r="C70" t="s">
        <v>649</v>
      </c>
      <c r="D70">
        <v>3</v>
      </c>
    </row>
    <row r="71" spans="1:4" x14ac:dyDescent="0.25">
      <c r="A71" t="s">
        <v>123</v>
      </c>
      <c r="B71" t="s">
        <v>1489</v>
      </c>
      <c r="C71" t="s">
        <v>2556</v>
      </c>
      <c r="D71">
        <v>5</v>
      </c>
    </row>
    <row r="73" spans="1:4" x14ac:dyDescent="0.25">
      <c r="A73" s="2" t="s">
        <v>157</v>
      </c>
    </row>
    <row r="74" spans="1:4" x14ac:dyDescent="0.25">
      <c r="A74" t="s">
        <v>158</v>
      </c>
      <c r="D74">
        <f>AVERAGE(D2:D71)</f>
        <v>5.0714285714285712</v>
      </c>
    </row>
    <row r="75" spans="1:4" x14ac:dyDescent="0.25">
      <c r="A75" t="s">
        <v>159</v>
      </c>
      <c r="D75">
        <f>MAX(D2:D71)</f>
        <v>15</v>
      </c>
    </row>
    <row r="76" spans="1:4" x14ac:dyDescent="0.25">
      <c r="A76" t="s">
        <v>160</v>
      </c>
      <c r="D76">
        <f>MIN(D2:D71)</f>
        <v>-6</v>
      </c>
    </row>
    <row r="77" spans="1:4" x14ac:dyDescent="0.25">
      <c r="A77" t="s">
        <v>161</v>
      </c>
      <c r="D77">
        <f>COUNTIF(D2:D71,"&gt;0")</f>
        <v>59</v>
      </c>
    </row>
    <row r="78" spans="1:4" x14ac:dyDescent="0.25">
      <c r="A78" t="s">
        <v>162</v>
      </c>
      <c r="D78">
        <f>COUNTIF(D2:D71,"=0")</f>
        <v>0</v>
      </c>
    </row>
    <row r="79" spans="1:4" x14ac:dyDescent="0.25">
      <c r="A79" t="s">
        <v>1689</v>
      </c>
      <c r="D79">
        <f>COUNTIF(D2:D71,"&lt;0")</f>
        <v>11</v>
      </c>
    </row>
    <row r="81" spans="1:4" x14ac:dyDescent="0.25">
      <c r="A81" s="2" t="s">
        <v>164</v>
      </c>
    </row>
    <row r="82" spans="1:4" x14ac:dyDescent="0.25">
      <c r="A82" t="s">
        <v>165</v>
      </c>
      <c r="D82">
        <f>AVERAGE(D2,D3,D4,D5,D6,D7,D8,D9,D10,D11,D12,D13,D14,D15,D16)</f>
        <v>1.0666666666666667</v>
      </c>
    </row>
    <row r="83" spans="1:4" x14ac:dyDescent="0.25">
      <c r="A83" t="s">
        <v>166</v>
      </c>
      <c r="D83">
        <f>AVERAGE(D17,D18,D19,D20,D21,D22,D23,D24,D25,D26,D27,D28,D29,D30,D31,D32,D33,D34,D35,D36,D37,D38)</f>
        <v>8.545454545454545</v>
      </c>
    </row>
    <row r="84" spans="1:4" x14ac:dyDescent="0.25">
      <c r="A84" t="s">
        <v>167</v>
      </c>
      <c r="D84">
        <f>AVERAGE(D39,D40,D41,D42,D43,D44,D45,D46,D47,D48,D49,D50,D51,D52,D53)</f>
        <v>7.2666666666666666</v>
      </c>
    </row>
    <row r="85" spans="1:4" x14ac:dyDescent="0.25">
      <c r="A85" t="s">
        <v>168</v>
      </c>
      <c r="D85">
        <f>AVERAGE(D54,D55,D56,D57,D58,D59,D60,D61,D62,D63,D64,D65,D66,D67,D68,D69,D70,D71)</f>
        <v>2.3333333333333335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8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126</v>
      </c>
      <c r="C2" t="s">
        <v>6</v>
      </c>
      <c r="D2">
        <v>2</v>
      </c>
    </row>
    <row r="3" spans="1:4" x14ac:dyDescent="0.25">
      <c r="A3" t="s">
        <v>4</v>
      </c>
      <c r="B3" t="s">
        <v>242</v>
      </c>
      <c r="C3" t="s">
        <v>8</v>
      </c>
      <c r="D3">
        <v>0</v>
      </c>
    </row>
    <row r="4" spans="1:4" x14ac:dyDescent="0.25">
      <c r="A4" t="s">
        <v>4</v>
      </c>
      <c r="B4" t="s">
        <v>823</v>
      </c>
      <c r="C4" t="s">
        <v>564</v>
      </c>
      <c r="D4">
        <v>2</v>
      </c>
    </row>
    <row r="5" spans="1:4" x14ac:dyDescent="0.25">
      <c r="A5" t="s">
        <v>4</v>
      </c>
      <c r="B5" t="s">
        <v>621</v>
      </c>
      <c r="C5" t="s">
        <v>309</v>
      </c>
      <c r="D5">
        <v>-1</v>
      </c>
    </row>
    <row r="6" spans="1:4" x14ac:dyDescent="0.25">
      <c r="A6" t="s">
        <v>4</v>
      </c>
      <c r="B6" t="s">
        <v>277</v>
      </c>
      <c r="C6" t="s">
        <v>14</v>
      </c>
      <c r="D6">
        <v>-3</v>
      </c>
    </row>
    <row r="7" spans="1:4" x14ac:dyDescent="0.25">
      <c r="A7" t="s">
        <v>4</v>
      </c>
      <c r="B7" t="s">
        <v>2080</v>
      </c>
      <c r="C7" t="s">
        <v>4097</v>
      </c>
      <c r="D7">
        <v>-6</v>
      </c>
    </row>
    <row r="8" spans="1:4" x14ac:dyDescent="0.25">
      <c r="A8" t="s">
        <v>4</v>
      </c>
      <c r="B8" t="s">
        <v>221</v>
      </c>
      <c r="C8" t="s">
        <v>1636</v>
      </c>
      <c r="D8">
        <v>-4</v>
      </c>
    </row>
    <row r="9" spans="1:4" x14ac:dyDescent="0.25">
      <c r="A9" t="s">
        <v>4</v>
      </c>
      <c r="B9" t="s">
        <v>661</v>
      </c>
      <c r="C9" t="s">
        <v>1696</v>
      </c>
      <c r="D9">
        <v>-5</v>
      </c>
    </row>
    <row r="10" spans="1:4" x14ac:dyDescent="0.25">
      <c r="A10" t="s">
        <v>4</v>
      </c>
      <c r="B10" t="s">
        <v>1092</v>
      </c>
      <c r="C10" t="s">
        <v>1743</v>
      </c>
      <c r="D10">
        <v>-3</v>
      </c>
    </row>
    <row r="11" spans="1:4" x14ac:dyDescent="0.25">
      <c r="A11" t="s">
        <v>4</v>
      </c>
      <c r="B11" t="s">
        <v>64</v>
      </c>
      <c r="C11" t="s">
        <v>3697</v>
      </c>
      <c r="D11">
        <v>-5</v>
      </c>
    </row>
    <row r="12" spans="1:4" x14ac:dyDescent="0.25">
      <c r="A12" t="s">
        <v>4</v>
      </c>
      <c r="B12" t="s">
        <v>380</v>
      </c>
      <c r="C12" t="s">
        <v>441</v>
      </c>
      <c r="D12">
        <v>-2</v>
      </c>
    </row>
    <row r="13" spans="1:4" x14ac:dyDescent="0.25">
      <c r="A13" t="s">
        <v>4</v>
      </c>
      <c r="B13" t="s">
        <v>319</v>
      </c>
      <c r="C13" t="s">
        <v>2813</v>
      </c>
      <c r="D13">
        <v>-5</v>
      </c>
    </row>
    <row r="14" spans="1:4" x14ac:dyDescent="0.25">
      <c r="A14" t="s">
        <v>4</v>
      </c>
      <c r="B14" t="s">
        <v>198</v>
      </c>
      <c r="C14" t="s">
        <v>703</v>
      </c>
      <c r="D14">
        <v>-3</v>
      </c>
    </row>
    <row r="15" spans="1:4" x14ac:dyDescent="0.25">
      <c r="A15" t="s">
        <v>4</v>
      </c>
      <c r="B15" t="s">
        <v>198</v>
      </c>
      <c r="C15" t="s">
        <v>2298</v>
      </c>
      <c r="D15">
        <v>-2</v>
      </c>
    </row>
    <row r="16" spans="1:4" x14ac:dyDescent="0.25">
      <c r="A16" t="s">
        <v>4</v>
      </c>
      <c r="B16" t="s">
        <v>2363</v>
      </c>
      <c r="C16" t="s">
        <v>2204</v>
      </c>
      <c r="D16">
        <v>-3</v>
      </c>
    </row>
    <row r="17" spans="1:4" x14ac:dyDescent="0.25">
      <c r="A17" t="s">
        <v>4</v>
      </c>
      <c r="B17" t="s">
        <v>2363</v>
      </c>
      <c r="C17" t="s">
        <v>37</v>
      </c>
      <c r="D17">
        <v>-4</v>
      </c>
    </row>
    <row r="18" spans="1:4" x14ac:dyDescent="0.25">
      <c r="A18" t="s">
        <v>4</v>
      </c>
      <c r="B18" t="s">
        <v>612</v>
      </c>
      <c r="C18" t="s">
        <v>2156</v>
      </c>
      <c r="D18">
        <v>-2</v>
      </c>
    </row>
    <row r="19" spans="1:4" x14ac:dyDescent="0.25">
      <c r="A19" t="s">
        <v>4</v>
      </c>
      <c r="B19" t="s">
        <v>346</v>
      </c>
      <c r="C19" t="s">
        <v>2299</v>
      </c>
      <c r="D19">
        <v>-4</v>
      </c>
    </row>
    <row r="20" spans="1:4" x14ac:dyDescent="0.25">
      <c r="A20" t="s">
        <v>4</v>
      </c>
      <c r="B20" t="s">
        <v>1261</v>
      </c>
      <c r="C20" t="s">
        <v>1508</v>
      </c>
      <c r="D20">
        <v>-1</v>
      </c>
    </row>
    <row r="21" spans="1:4" x14ac:dyDescent="0.25">
      <c r="A21" t="s">
        <v>4</v>
      </c>
      <c r="B21" t="s">
        <v>38</v>
      </c>
      <c r="C21" t="s">
        <v>2206</v>
      </c>
      <c r="D21">
        <v>-3</v>
      </c>
    </row>
    <row r="22" spans="1:4" x14ac:dyDescent="0.25">
      <c r="A22" t="s">
        <v>4</v>
      </c>
      <c r="B22" t="s">
        <v>38</v>
      </c>
      <c r="C22" t="s">
        <v>1509</v>
      </c>
      <c r="D22">
        <v>-4</v>
      </c>
    </row>
    <row r="23" spans="1:4" x14ac:dyDescent="0.25">
      <c r="A23" t="s">
        <v>40</v>
      </c>
      <c r="B23" t="s">
        <v>1267</v>
      </c>
      <c r="C23" t="s">
        <v>1878</v>
      </c>
      <c r="D23">
        <v>-3</v>
      </c>
    </row>
    <row r="24" spans="1:4" x14ac:dyDescent="0.25">
      <c r="A24" t="s">
        <v>40</v>
      </c>
      <c r="B24" t="s">
        <v>1267</v>
      </c>
      <c r="C24" t="s">
        <v>2328</v>
      </c>
      <c r="D24">
        <v>-2</v>
      </c>
    </row>
    <row r="25" spans="1:4" x14ac:dyDescent="0.25">
      <c r="A25" t="s">
        <v>40</v>
      </c>
      <c r="B25" t="s">
        <v>693</v>
      </c>
      <c r="C25" t="s">
        <v>589</v>
      </c>
      <c r="D25">
        <v>-1</v>
      </c>
    </row>
    <row r="26" spans="1:4" x14ac:dyDescent="0.25">
      <c r="A26" t="s">
        <v>40</v>
      </c>
      <c r="B26" t="s">
        <v>693</v>
      </c>
      <c r="C26" t="s">
        <v>3721</v>
      </c>
      <c r="D26">
        <v>0</v>
      </c>
    </row>
    <row r="27" spans="1:4" x14ac:dyDescent="0.25">
      <c r="A27" t="s">
        <v>40</v>
      </c>
      <c r="B27" t="s">
        <v>1495</v>
      </c>
      <c r="C27" t="s">
        <v>1440</v>
      </c>
      <c r="D27">
        <v>2</v>
      </c>
    </row>
    <row r="28" spans="1:4" x14ac:dyDescent="0.25">
      <c r="A28" t="s">
        <v>40</v>
      </c>
      <c r="B28" t="s">
        <v>572</v>
      </c>
      <c r="C28" t="s">
        <v>593</v>
      </c>
      <c r="D28">
        <v>-1</v>
      </c>
    </row>
    <row r="29" spans="1:4" x14ac:dyDescent="0.25">
      <c r="A29" t="s">
        <v>40</v>
      </c>
      <c r="B29" t="s">
        <v>368</v>
      </c>
      <c r="C29" t="s">
        <v>2331</v>
      </c>
      <c r="D29">
        <v>0</v>
      </c>
    </row>
    <row r="30" spans="1:4" x14ac:dyDescent="0.25">
      <c r="A30" t="s">
        <v>40</v>
      </c>
      <c r="B30" t="s">
        <v>2158</v>
      </c>
      <c r="C30" t="s">
        <v>597</v>
      </c>
      <c r="D30">
        <v>-2</v>
      </c>
    </row>
    <row r="31" spans="1:4" x14ac:dyDescent="0.25">
      <c r="A31" t="s">
        <v>40</v>
      </c>
      <c r="B31" t="s">
        <v>961</v>
      </c>
      <c r="C31" t="s">
        <v>2209</v>
      </c>
      <c r="D31">
        <v>-5</v>
      </c>
    </row>
    <row r="32" spans="1:4" x14ac:dyDescent="0.25">
      <c r="A32" t="s">
        <v>40</v>
      </c>
      <c r="B32" t="s">
        <v>762</v>
      </c>
      <c r="C32" t="s">
        <v>61</v>
      </c>
      <c r="D32">
        <v>-3</v>
      </c>
    </row>
    <row r="33" spans="1:4" x14ac:dyDescent="0.25">
      <c r="A33" t="s">
        <v>40</v>
      </c>
      <c r="B33" t="s">
        <v>1108</v>
      </c>
      <c r="C33" t="s">
        <v>602</v>
      </c>
      <c r="D33">
        <v>-5</v>
      </c>
    </row>
    <row r="34" spans="1:4" x14ac:dyDescent="0.25">
      <c r="A34" t="s">
        <v>40</v>
      </c>
      <c r="B34" t="s">
        <v>1602</v>
      </c>
      <c r="C34" t="s">
        <v>66</v>
      </c>
      <c r="D34">
        <v>-3</v>
      </c>
    </row>
    <row r="35" spans="1:4" x14ac:dyDescent="0.25">
      <c r="A35" t="s">
        <v>40</v>
      </c>
      <c r="B35" t="s">
        <v>1153</v>
      </c>
      <c r="C35" t="s">
        <v>69</v>
      </c>
      <c r="D35">
        <v>-6</v>
      </c>
    </row>
    <row r="36" spans="1:4" x14ac:dyDescent="0.25">
      <c r="A36" t="s">
        <v>40</v>
      </c>
      <c r="B36" t="s">
        <v>25</v>
      </c>
      <c r="C36" t="s">
        <v>71</v>
      </c>
      <c r="D36">
        <v>-8</v>
      </c>
    </row>
    <row r="37" spans="1:4" x14ac:dyDescent="0.25">
      <c r="A37" t="s">
        <v>40</v>
      </c>
      <c r="B37" t="s">
        <v>1376</v>
      </c>
      <c r="C37" t="s">
        <v>811</v>
      </c>
      <c r="D37">
        <v>-11</v>
      </c>
    </row>
    <row r="38" spans="1:4" x14ac:dyDescent="0.25">
      <c r="A38" t="s">
        <v>40</v>
      </c>
      <c r="B38" t="s">
        <v>1422</v>
      </c>
      <c r="C38" t="s">
        <v>75</v>
      </c>
      <c r="D38">
        <v>-9</v>
      </c>
    </row>
    <row r="39" spans="1:4" x14ac:dyDescent="0.25">
      <c r="A39" t="s">
        <v>40</v>
      </c>
      <c r="B39" t="s">
        <v>1113</v>
      </c>
      <c r="C39" t="s">
        <v>613</v>
      </c>
      <c r="D39">
        <v>-7</v>
      </c>
    </row>
    <row r="40" spans="1:4" x14ac:dyDescent="0.25">
      <c r="A40" t="s">
        <v>40</v>
      </c>
      <c r="B40" t="s">
        <v>1809</v>
      </c>
      <c r="C40" t="s">
        <v>2412</v>
      </c>
      <c r="D40">
        <v>-5</v>
      </c>
    </row>
    <row r="41" spans="1:4" x14ac:dyDescent="0.25">
      <c r="A41" t="s">
        <v>40</v>
      </c>
      <c r="B41" t="s">
        <v>38</v>
      </c>
      <c r="C41" t="s">
        <v>240</v>
      </c>
      <c r="D41">
        <v>-3</v>
      </c>
    </row>
    <row r="42" spans="1:4" x14ac:dyDescent="0.25">
      <c r="A42" t="s">
        <v>80</v>
      </c>
      <c r="B42" t="s">
        <v>4242</v>
      </c>
      <c r="C42" t="s">
        <v>1761</v>
      </c>
      <c r="D42">
        <v>-1</v>
      </c>
    </row>
    <row r="43" spans="1:4" x14ac:dyDescent="0.25">
      <c r="A43" t="s">
        <v>80</v>
      </c>
      <c r="B43" t="s">
        <v>5</v>
      </c>
      <c r="C43" t="s">
        <v>1521</v>
      </c>
      <c r="D43">
        <v>-3</v>
      </c>
    </row>
    <row r="44" spans="1:4" x14ac:dyDescent="0.25">
      <c r="A44" t="s">
        <v>80</v>
      </c>
      <c r="B44" t="s">
        <v>1190</v>
      </c>
      <c r="C44" t="s">
        <v>247</v>
      </c>
      <c r="D44">
        <v>-1</v>
      </c>
    </row>
    <row r="45" spans="1:4" x14ac:dyDescent="0.25">
      <c r="A45" t="s">
        <v>80</v>
      </c>
      <c r="B45" t="s">
        <v>211</v>
      </c>
      <c r="C45" t="s">
        <v>1226</v>
      </c>
      <c r="D45">
        <v>1</v>
      </c>
    </row>
    <row r="46" spans="1:4" x14ac:dyDescent="0.25">
      <c r="A46" t="s">
        <v>80</v>
      </c>
      <c r="B46" t="s">
        <v>865</v>
      </c>
      <c r="C46" t="s">
        <v>252</v>
      </c>
      <c r="D46">
        <v>-1</v>
      </c>
    </row>
    <row r="47" spans="1:4" x14ac:dyDescent="0.25">
      <c r="A47" t="s">
        <v>80</v>
      </c>
      <c r="B47" t="s">
        <v>747</v>
      </c>
      <c r="C47" t="s">
        <v>2489</v>
      </c>
      <c r="D47">
        <v>1</v>
      </c>
    </row>
    <row r="48" spans="1:4" x14ac:dyDescent="0.25">
      <c r="A48" t="s">
        <v>80</v>
      </c>
      <c r="B48" t="s">
        <v>812</v>
      </c>
      <c r="C48" t="s">
        <v>2310</v>
      </c>
      <c r="D48">
        <v>0</v>
      </c>
    </row>
    <row r="49" spans="1:4" x14ac:dyDescent="0.25">
      <c r="A49" t="s">
        <v>80</v>
      </c>
      <c r="B49" t="s">
        <v>812</v>
      </c>
      <c r="C49" t="s">
        <v>2878</v>
      </c>
      <c r="D49">
        <v>-1</v>
      </c>
    </row>
    <row r="50" spans="1:4" x14ac:dyDescent="0.25">
      <c r="A50" t="s">
        <v>80</v>
      </c>
      <c r="B50" t="s">
        <v>709</v>
      </c>
      <c r="C50" t="s">
        <v>2879</v>
      </c>
      <c r="D50">
        <v>1</v>
      </c>
    </row>
    <row r="51" spans="1:4" x14ac:dyDescent="0.25">
      <c r="A51" t="s">
        <v>80</v>
      </c>
      <c r="B51" t="s">
        <v>1484</v>
      </c>
      <c r="C51" t="s">
        <v>4192</v>
      </c>
      <c r="D51">
        <v>3</v>
      </c>
    </row>
    <row r="52" spans="1:4" x14ac:dyDescent="0.25">
      <c r="A52" t="s">
        <v>80</v>
      </c>
      <c r="B52" t="s">
        <v>1050</v>
      </c>
      <c r="C52" t="s">
        <v>3733</v>
      </c>
      <c r="D52">
        <v>6</v>
      </c>
    </row>
    <row r="53" spans="1:4" x14ac:dyDescent="0.25">
      <c r="A53" t="s">
        <v>80</v>
      </c>
      <c r="B53" t="s">
        <v>675</v>
      </c>
      <c r="C53" t="s">
        <v>1526</v>
      </c>
      <c r="D53">
        <v>5</v>
      </c>
    </row>
    <row r="54" spans="1:4" x14ac:dyDescent="0.25">
      <c r="A54" t="s">
        <v>80</v>
      </c>
      <c r="B54" t="s">
        <v>675</v>
      </c>
      <c r="C54" t="s">
        <v>1527</v>
      </c>
      <c r="D54">
        <v>4</v>
      </c>
    </row>
    <row r="55" spans="1:4" x14ac:dyDescent="0.25">
      <c r="A55" t="s">
        <v>80</v>
      </c>
      <c r="B55" t="s">
        <v>154</v>
      </c>
      <c r="C55" t="s">
        <v>1530</v>
      </c>
      <c r="D55">
        <v>1</v>
      </c>
    </row>
    <row r="56" spans="1:4" x14ac:dyDescent="0.25">
      <c r="A56" t="s">
        <v>123</v>
      </c>
      <c r="B56" t="s">
        <v>1922</v>
      </c>
      <c r="C56" t="s">
        <v>2492</v>
      </c>
      <c r="D56">
        <v>3</v>
      </c>
    </row>
    <row r="57" spans="1:4" x14ac:dyDescent="0.25">
      <c r="A57" t="s">
        <v>123</v>
      </c>
      <c r="B57" t="s">
        <v>719</v>
      </c>
      <c r="C57" t="s">
        <v>1531</v>
      </c>
      <c r="D57">
        <v>4</v>
      </c>
    </row>
    <row r="58" spans="1:4" x14ac:dyDescent="0.25">
      <c r="A58" t="s">
        <v>123</v>
      </c>
      <c r="B58" t="s">
        <v>719</v>
      </c>
      <c r="C58" t="s">
        <v>2176</v>
      </c>
      <c r="D58">
        <v>5</v>
      </c>
    </row>
    <row r="59" spans="1:4" x14ac:dyDescent="0.25">
      <c r="A59" t="s">
        <v>123</v>
      </c>
      <c r="B59" t="s">
        <v>1666</v>
      </c>
      <c r="C59" t="s">
        <v>387</v>
      </c>
      <c r="D59">
        <v>2</v>
      </c>
    </row>
    <row r="60" spans="1:4" x14ac:dyDescent="0.25">
      <c r="A60" t="s">
        <v>123</v>
      </c>
      <c r="B60" t="s">
        <v>1755</v>
      </c>
      <c r="C60" t="s">
        <v>388</v>
      </c>
      <c r="D60">
        <v>-1</v>
      </c>
    </row>
    <row r="61" spans="1:4" x14ac:dyDescent="0.25">
      <c r="A61" t="s">
        <v>123</v>
      </c>
      <c r="B61" t="s">
        <v>333</v>
      </c>
      <c r="C61" t="s">
        <v>2181</v>
      </c>
      <c r="D61">
        <v>2</v>
      </c>
    </row>
    <row r="62" spans="1:4" x14ac:dyDescent="0.25">
      <c r="A62" t="s">
        <v>123</v>
      </c>
      <c r="B62" t="s">
        <v>1288</v>
      </c>
      <c r="C62" t="s">
        <v>2182</v>
      </c>
      <c r="D62">
        <v>0</v>
      </c>
    </row>
    <row r="63" spans="1:4" x14ac:dyDescent="0.25">
      <c r="A63" t="s">
        <v>123</v>
      </c>
      <c r="B63" t="s">
        <v>1288</v>
      </c>
      <c r="C63" t="s">
        <v>842</v>
      </c>
      <c r="D63">
        <v>-1</v>
      </c>
    </row>
    <row r="64" spans="1:4" x14ac:dyDescent="0.25">
      <c r="A64" t="s">
        <v>123</v>
      </c>
      <c r="B64" t="s">
        <v>874</v>
      </c>
      <c r="C64" t="s">
        <v>843</v>
      </c>
      <c r="D64">
        <v>0</v>
      </c>
    </row>
    <row r="65" spans="1:4" x14ac:dyDescent="0.25">
      <c r="A65" t="s">
        <v>123</v>
      </c>
      <c r="B65" t="s">
        <v>743</v>
      </c>
      <c r="C65" t="s">
        <v>1736</v>
      </c>
      <c r="D65">
        <v>2</v>
      </c>
    </row>
    <row r="66" spans="1:4" x14ac:dyDescent="0.25">
      <c r="A66" t="s">
        <v>123</v>
      </c>
      <c r="B66" t="s">
        <v>1200</v>
      </c>
      <c r="C66" t="s">
        <v>507</v>
      </c>
      <c r="D66">
        <v>0</v>
      </c>
    </row>
    <row r="67" spans="1:4" x14ac:dyDescent="0.25">
      <c r="A67" t="s">
        <v>123</v>
      </c>
      <c r="B67" t="s">
        <v>1422</v>
      </c>
      <c r="C67" t="s">
        <v>2341</v>
      </c>
      <c r="D67">
        <v>-2</v>
      </c>
    </row>
    <row r="68" spans="1:4" x14ac:dyDescent="0.25">
      <c r="A68" t="s">
        <v>123</v>
      </c>
      <c r="B68" t="s">
        <v>1050</v>
      </c>
      <c r="C68" t="s">
        <v>4284</v>
      </c>
      <c r="D68">
        <v>1</v>
      </c>
    </row>
    <row r="69" spans="1:4" x14ac:dyDescent="0.25">
      <c r="A69" t="s">
        <v>123</v>
      </c>
      <c r="B69" t="s">
        <v>793</v>
      </c>
      <c r="C69" t="s">
        <v>2555</v>
      </c>
      <c r="D69">
        <v>4</v>
      </c>
    </row>
    <row r="71" spans="1:4" x14ac:dyDescent="0.25">
      <c r="A71" s="2" t="s">
        <v>157</v>
      </c>
    </row>
    <row r="72" spans="1:4" x14ac:dyDescent="0.25">
      <c r="A72" t="s">
        <v>158</v>
      </c>
      <c r="D72">
        <f>AVERAGE(D2:D69)</f>
        <v>-1.3823529411764706</v>
      </c>
    </row>
    <row r="73" spans="1:4" x14ac:dyDescent="0.25">
      <c r="A73" t="s">
        <v>159</v>
      </c>
      <c r="D73">
        <f>MAX(D2:D69)</f>
        <v>6</v>
      </c>
    </row>
    <row r="74" spans="1:4" x14ac:dyDescent="0.25">
      <c r="A74" t="s">
        <v>160</v>
      </c>
      <c r="D74">
        <f>MIN(D2:D69)</f>
        <v>-11</v>
      </c>
    </row>
    <row r="75" spans="1:4" x14ac:dyDescent="0.25">
      <c r="A75" t="s">
        <v>161</v>
      </c>
      <c r="D75">
        <f>COUNTIF(D2:D69,"&gt;0")</f>
        <v>19</v>
      </c>
    </row>
    <row r="76" spans="1:4" x14ac:dyDescent="0.25">
      <c r="A76" t="s">
        <v>162</v>
      </c>
      <c r="D76">
        <f>COUNTIF(D2:D69,"=0")</f>
        <v>7</v>
      </c>
    </row>
    <row r="77" spans="1:4" x14ac:dyDescent="0.25">
      <c r="A77" t="s">
        <v>561</v>
      </c>
      <c r="D77">
        <f>COUNTIF(D2:D69,"&lt;0")</f>
        <v>42</v>
      </c>
    </row>
    <row r="79" spans="1:4" x14ac:dyDescent="0.25">
      <c r="A79" s="2" t="s">
        <v>164</v>
      </c>
    </row>
    <row r="80" spans="1:4" x14ac:dyDescent="0.25">
      <c r="A80" t="s">
        <v>165</v>
      </c>
      <c r="D80">
        <f>AVERAGE(D2,D3,D4,D5,D6,D7,D8,D9,D10,D11,D12,D13,D14,D15,D16,D17,D18,D19,D20,D21,D22)</f>
        <v>-2.6666666666666665</v>
      </c>
    </row>
    <row r="81" spans="1:4" x14ac:dyDescent="0.25">
      <c r="A81" t="s">
        <v>166</v>
      </c>
      <c r="D81">
        <f>AVERAGE(D23,D24,D25,D26,D27,D28,D29,D30,D31,D32,D33,D34,D35,D36,D37,D38,D39,D40,D41)</f>
        <v>-3.7894736842105261</v>
      </c>
    </row>
    <row r="82" spans="1:4" x14ac:dyDescent="0.25">
      <c r="A82" t="s">
        <v>167</v>
      </c>
      <c r="D82">
        <f>AVERAGE(D42,D43,D44,D45,D46,D47,D48,D49,D50,D51,D52,D53,D54,D55)</f>
        <v>1.0714285714285714</v>
      </c>
    </row>
    <row r="83" spans="1:4" x14ac:dyDescent="0.25">
      <c r="A83" t="s">
        <v>168</v>
      </c>
      <c r="D83">
        <f>AVERAGE(D56,D57,D58,D59,D60,D61,D62,D63,D64,D65,D66,D67,D68,D69)</f>
        <v>1.3571428571428572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907</v>
      </c>
      <c r="C2" t="s">
        <v>6</v>
      </c>
      <c r="D2">
        <v>2</v>
      </c>
    </row>
    <row r="3" spans="1:4" x14ac:dyDescent="0.25">
      <c r="A3" t="s">
        <v>4</v>
      </c>
      <c r="B3" t="s">
        <v>428</v>
      </c>
      <c r="C3" t="s">
        <v>8</v>
      </c>
      <c r="D3">
        <v>0</v>
      </c>
    </row>
    <row r="4" spans="1:4" x14ac:dyDescent="0.25">
      <c r="A4" t="s">
        <v>4</v>
      </c>
      <c r="B4" t="s">
        <v>1431</v>
      </c>
      <c r="C4" t="s">
        <v>10</v>
      </c>
      <c r="D4">
        <v>-2</v>
      </c>
    </row>
    <row r="5" spans="1:4" x14ac:dyDescent="0.25">
      <c r="A5" t="s">
        <v>4</v>
      </c>
      <c r="B5" t="s">
        <v>49</v>
      </c>
      <c r="C5" t="s">
        <v>12</v>
      </c>
      <c r="D5">
        <v>0</v>
      </c>
    </row>
    <row r="6" spans="1:4" x14ac:dyDescent="0.25">
      <c r="A6" t="s">
        <v>4</v>
      </c>
      <c r="B6" t="s">
        <v>1573</v>
      </c>
      <c r="C6" t="s">
        <v>310</v>
      </c>
      <c r="D6">
        <v>-2</v>
      </c>
    </row>
    <row r="7" spans="1:4" x14ac:dyDescent="0.25">
      <c r="A7" t="s">
        <v>4</v>
      </c>
      <c r="B7" t="s">
        <v>211</v>
      </c>
      <c r="C7" t="s">
        <v>1694</v>
      </c>
      <c r="D7">
        <v>-4</v>
      </c>
    </row>
    <row r="8" spans="1:4" x14ac:dyDescent="0.25">
      <c r="A8" t="s">
        <v>4</v>
      </c>
      <c r="B8" t="s">
        <v>937</v>
      </c>
      <c r="C8" t="s">
        <v>18</v>
      </c>
      <c r="D8">
        <v>-2</v>
      </c>
    </row>
    <row r="9" spans="1:4" x14ac:dyDescent="0.25">
      <c r="A9" t="s">
        <v>4</v>
      </c>
      <c r="B9" t="s">
        <v>1693</v>
      </c>
      <c r="C9" t="s">
        <v>3087</v>
      </c>
      <c r="D9">
        <v>1</v>
      </c>
    </row>
    <row r="10" spans="1:4" x14ac:dyDescent="0.25">
      <c r="A10" t="s">
        <v>4</v>
      </c>
      <c r="B10" t="s">
        <v>1105</v>
      </c>
      <c r="C10" t="s">
        <v>1744</v>
      </c>
      <c r="D10">
        <v>-2</v>
      </c>
    </row>
    <row r="11" spans="1:4" x14ac:dyDescent="0.25">
      <c r="A11" t="s">
        <v>4</v>
      </c>
      <c r="B11" t="s">
        <v>698</v>
      </c>
      <c r="C11" t="s">
        <v>2202</v>
      </c>
      <c r="D11">
        <v>-1</v>
      </c>
    </row>
    <row r="12" spans="1:4" x14ac:dyDescent="0.25">
      <c r="A12" t="s">
        <v>4</v>
      </c>
      <c r="B12" t="s">
        <v>2032</v>
      </c>
      <c r="C12" t="s">
        <v>1500</v>
      </c>
      <c r="D12">
        <v>-2</v>
      </c>
    </row>
    <row r="13" spans="1:4" x14ac:dyDescent="0.25">
      <c r="A13" t="s">
        <v>4</v>
      </c>
      <c r="B13" t="s">
        <v>762</v>
      </c>
      <c r="C13" t="s">
        <v>1701</v>
      </c>
      <c r="D13">
        <v>-5</v>
      </c>
    </row>
    <row r="14" spans="1:4" x14ac:dyDescent="0.25">
      <c r="A14" t="s">
        <v>4</v>
      </c>
      <c r="B14" t="s">
        <v>2562</v>
      </c>
      <c r="C14" t="s">
        <v>1746</v>
      </c>
      <c r="D14">
        <v>-3</v>
      </c>
    </row>
    <row r="15" spans="1:4" x14ac:dyDescent="0.25">
      <c r="A15" t="s">
        <v>4</v>
      </c>
      <c r="B15" t="s">
        <v>341</v>
      </c>
      <c r="C15" t="s">
        <v>3554</v>
      </c>
      <c r="D15">
        <v>-6</v>
      </c>
    </row>
    <row r="16" spans="1:4" x14ac:dyDescent="0.25">
      <c r="A16" t="s">
        <v>4</v>
      </c>
      <c r="B16" t="s">
        <v>317</v>
      </c>
      <c r="C16" t="s">
        <v>580</v>
      </c>
      <c r="D16">
        <v>-3</v>
      </c>
    </row>
    <row r="17" spans="1:4" x14ac:dyDescent="0.25">
      <c r="A17" t="s">
        <v>4</v>
      </c>
      <c r="B17" t="s">
        <v>1882</v>
      </c>
      <c r="C17" t="s">
        <v>1506</v>
      </c>
      <c r="D17">
        <v>-5</v>
      </c>
    </row>
    <row r="18" spans="1:4" x14ac:dyDescent="0.25">
      <c r="A18" t="s">
        <v>4</v>
      </c>
      <c r="B18" t="s">
        <v>2453</v>
      </c>
      <c r="C18" t="s">
        <v>3617</v>
      </c>
      <c r="D18">
        <v>-8</v>
      </c>
    </row>
    <row r="19" spans="1:4" x14ac:dyDescent="0.25">
      <c r="A19" t="s">
        <v>4</v>
      </c>
      <c r="B19" t="s">
        <v>1844</v>
      </c>
      <c r="C19" t="s">
        <v>1653</v>
      </c>
      <c r="D19">
        <v>-10</v>
      </c>
    </row>
    <row r="20" spans="1:4" x14ac:dyDescent="0.25">
      <c r="A20" t="s">
        <v>4</v>
      </c>
      <c r="B20" t="s">
        <v>344</v>
      </c>
      <c r="C20" t="s">
        <v>1654</v>
      </c>
      <c r="D20">
        <v>-8</v>
      </c>
    </row>
    <row r="21" spans="1:4" x14ac:dyDescent="0.25">
      <c r="A21" t="s">
        <v>4</v>
      </c>
      <c r="B21" t="s">
        <v>481</v>
      </c>
      <c r="C21" t="s">
        <v>1655</v>
      </c>
      <c r="D21">
        <v>-11</v>
      </c>
    </row>
    <row r="22" spans="1:4" x14ac:dyDescent="0.25">
      <c r="A22" t="s">
        <v>4</v>
      </c>
      <c r="B22" t="s">
        <v>683</v>
      </c>
      <c r="C22" t="s">
        <v>4285</v>
      </c>
      <c r="D22">
        <v>-13</v>
      </c>
    </row>
    <row r="23" spans="1:4" x14ac:dyDescent="0.25">
      <c r="A23" t="s">
        <v>40</v>
      </c>
      <c r="B23" t="s">
        <v>1704</v>
      </c>
      <c r="C23" t="s">
        <v>3762</v>
      </c>
      <c r="D23">
        <v>-15</v>
      </c>
    </row>
    <row r="24" spans="1:4" x14ac:dyDescent="0.25">
      <c r="A24" t="s">
        <v>40</v>
      </c>
      <c r="B24" t="s">
        <v>1007</v>
      </c>
      <c r="C24" t="s">
        <v>4286</v>
      </c>
      <c r="D24">
        <v>-17</v>
      </c>
    </row>
    <row r="25" spans="1:4" x14ac:dyDescent="0.25">
      <c r="A25" t="s">
        <v>40</v>
      </c>
      <c r="B25" t="s">
        <v>1524</v>
      </c>
      <c r="C25" t="s">
        <v>4287</v>
      </c>
      <c r="D25">
        <v>-14</v>
      </c>
    </row>
    <row r="26" spans="1:4" x14ac:dyDescent="0.25">
      <c r="A26" t="s">
        <v>40</v>
      </c>
      <c r="B26" t="s">
        <v>1849</v>
      </c>
      <c r="C26" t="s">
        <v>4288</v>
      </c>
      <c r="D26">
        <v>-16</v>
      </c>
    </row>
    <row r="27" spans="1:4" x14ac:dyDescent="0.25">
      <c r="A27" t="s">
        <v>40</v>
      </c>
      <c r="B27" t="s">
        <v>208</v>
      </c>
      <c r="C27" t="s">
        <v>4289</v>
      </c>
      <c r="D27">
        <v>-18</v>
      </c>
    </row>
    <row r="28" spans="1:4" x14ac:dyDescent="0.25">
      <c r="A28" t="s">
        <v>40</v>
      </c>
      <c r="B28" t="s">
        <v>458</v>
      </c>
      <c r="C28" t="s">
        <v>4197</v>
      </c>
      <c r="D28">
        <v>-16</v>
      </c>
    </row>
    <row r="29" spans="1:4" x14ac:dyDescent="0.25">
      <c r="A29" t="s">
        <v>40</v>
      </c>
      <c r="B29" t="s">
        <v>431</v>
      </c>
      <c r="C29" t="s">
        <v>3769</v>
      </c>
      <c r="D29">
        <v>-19</v>
      </c>
    </row>
    <row r="30" spans="1:4" x14ac:dyDescent="0.25">
      <c r="A30" t="s">
        <v>40</v>
      </c>
      <c r="B30" t="s">
        <v>277</v>
      </c>
      <c r="C30" t="s">
        <v>4290</v>
      </c>
      <c r="D30">
        <v>-17</v>
      </c>
    </row>
    <row r="31" spans="1:4" x14ac:dyDescent="0.25">
      <c r="A31" t="s">
        <v>40</v>
      </c>
      <c r="B31" t="s">
        <v>1723</v>
      </c>
      <c r="C31" t="s">
        <v>4291</v>
      </c>
      <c r="D31">
        <v>-15</v>
      </c>
    </row>
    <row r="32" spans="1:4" x14ac:dyDescent="0.25">
      <c r="A32" t="s">
        <v>40</v>
      </c>
      <c r="B32" t="s">
        <v>2266</v>
      </c>
      <c r="C32" t="s">
        <v>4201</v>
      </c>
      <c r="D32">
        <v>-13</v>
      </c>
    </row>
    <row r="33" spans="1:4" x14ac:dyDescent="0.25">
      <c r="A33" t="s">
        <v>40</v>
      </c>
      <c r="B33" t="s">
        <v>596</v>
      </c>
      <c r="C33" t="s">
        <v>4292</v>
      </c>
      <c r="D33">
        <v>-12</v>
      </c>
    </row>
    <row r="34" spans="1:4" x14ac:dyDescent="0.25">
      <c r="A34" t="s">
        <v>40</v>
      </c>
      <c r="B34" t="s">
        <v>1231</v>
      </c>
      <c r="C34" t="s">
        <v>1884</v>
      </c>
      <c r="D34">
        <v>-14</v>
      </c>
    </row>
    <row r="35" spans="1:4" x14ac:dyDescent="0.25">
      <c r="A35" t="s">
        <v>40</v>
      </c>
      <c r="B35" t="s">
        <v>1231</v>
      </c>
      <c r="C35" t="s">
        <v>4293</v>
      </c>
      <c r="D35">
        <v>-15</v>
      </c>
    </row>
    <row r="36" spans="1:4" x14ac:dyDescent="0.25">
      <c r="A36" t="s">
        <v>40</v>
      </c>
      <c r="B36" t="s">
        <v>702</v>
      </c>
      <c r="C36" t="s">
        <v>4294</v>
      </c>
      <c r="D36">
        <v>-18</v>
      </c>
    </row>
    <row r="37" spans="1:4" x14ac:dyDescent="0.25">
      <c r="A37" t="s">
        <v>40</v>
      </c>
      <c r="B37" t="s">
        <v>112</v>
      </c>
      <c r="C37" t="s">
        <v>4295</v>
      </c>
      <c r="D37">
        <v>-16</v>
      </c>
    </row>
    <row r="38" spans="1:4" x14ac:dyDescent="0.25">
      <c r="A38" t="s">
        <v>40</v>
      </c>
      <c r="B38" t="s">
        <v>1206</v>
      </c>
      <c r="C38" t="s">
        <v>4296</v>
      </c>
      <c r="D38">
        <v>-13</v>
      </c>
    </row>
    <row r="39" spans="1:4" x14ac:dyDescent="0.25">
      <c r="A39" t="s">
        <v>40</v>
      </c>
      <c r="B39" t="s">
        <v>78</v>
      </c>
      <c r="C39" t="s">
        <v>4297</v>
      </c>
      <c r="D39">
        <v>-11</v>
      </c>
    </row>
    <row r="40" spans="1:4" x14ac:dyDescent="0.25">
      <c r="A40" t="s">
        <v>80</v>
      </c>
      <c r="B40" t="s">
        <v>857</v>
      </c>
      <c r="C40" t="s">
        <v>4298</v>
      </c>
      <c r="D40">
        <v>-13</v>
      </c>
    </row>
    <row r="41" spans="1:4" x14ac:dyDescent="0.25">
      <c r="A41" t="s">
        <v>80</v>
      </c>
      <c r="B41" t="s">
        <v>428</v>
      </c>
      <c r="C41" t="s">
        <v>4299</v>
      </c>
      <c r="D41">
        <v>-12</v>
      </c>
    </row>
    <row r="42" spans="1:4" x14ac:dyDescent="0.25">
      <c r="A42" t="s">
        <v>80</v>
      </c>
      <c r="B42" t="s">
        <v>428</v>
      </c>
      <c r="C42" t="s">
        <v>4300</v>
      </c>
      <c r="D42">
        <v>-11</v>
      </c>
    </row>
    <row r="43" spans="1:4" x14ac:dyDescent="0.25">
      <c r="A43" t="s">
        <v>80</v>
      </c>
      <c r="B43" t="s">
        <v>1027</v>
      </c>
      <c r="C43" t="s">
        <v>3948</v>
      </c>
      <c r="D43">
        <v>-12</v>
      </c>
    </row>
    <row r="44" spans="1:4" x14ac:dyDescent="0.25">
      <c r="A44" t="s">
        <v>80</v>
      </c>
      <c r="B44" t="s">
        <v>1027</v>
      </c>
      <c r="C44" t="s">
        <v>4301</v>
      </c>
      <c r="D44">
        <v>-13</v>
      </c>
    </row>
    <row r="45" spans="1:4" x14ac:dyDescent="0.25">
      <c r="A45" t="s">
        <v>80</v>
      </c>
      <c r="B45" t="s">
        <v>1613</v>
      </c>
      <c r="C45" t="s">
        <v>4302</v>
      </c>
      <c r="D45">
        <v>-11</v>
      </c>
    </row>
    <row r="46" spans="1:4" x14ac:dyDescent="0.25">
      <c r="A46" t="s">
        <v>80</v>
      </c>
      <c r="B46" t="s">
        <v>1411</v>
      </c>
      <c r="C46" t="s">
        <v>3950</v>
      </c>
      <c r="D46">
        <v>-13</v>
      </c>
    </row>
    <row r="47" spans="1:4" x14ac:dyDescent="0.25">
      <c r="A47" t="s">
        <v>80</v>
      </c>
      <c r="B47" t="s">
        <v>333</v>
      </c>
      <c r="C47" t="s">
        <v>4303</v>
      </c>
      <c r="D47">
        <v>-14</v>
      </c>
    </row>
    <row r="48" spans="1:4" x14ac:dyDescent="0.25">
      <c r="A48" t="s">
        <v>80</v>
      </c>
      <c r="B48" t="s">
        <v>333</v>
      </c>
      <c r="C48" t="s">
        <v>3784</v>
      </c>
      <c r="D48">
        <v>-15</v>
      </c>
    </row>
    <row r="49" spans="1:4" x14ac:dyDescent="0.25">
      <c r="A49" t="s">
        <v>80</v>
      </c>
      <c r="B49" t="s">
        <v>802</v>
      </c>
      <c r="C49" t="s">
        <v>4304</v>
      </c>
      <c r="D49">
        <v>-16</v>
      </c>
    </row>
    <row r="50" spans="1:4" x14ac:dyDescent="0.25">
      <c r="A50" t="s">
        <v>80</v>
      </c>
      <c r="B50" t="s">
        <v>802</v>
      </c>
      <c r="C50" t="s">
        <v>3911</v>
      </c>
      <c r="D50">
        <v>-17</v>
      </c>
    </row>
    <row r="51" spans="1:4" x14ac:dyDescent="0.25">
      <c r="A51" t="s">
        <v>80</v>
      </c>
      <c r="B51" t="s">
        <v>408</v>
      </c>
      <c r="C51" t="s">
        <v>3787</v>
      </c>
      <c r="D51">
        <v>-15</v>
      </c>
    </row>
    <row r="52" spans="1:4" x14ac:dyDescent="0.25">
      <c r="A52" t="s">
        <v>80</v>
      </c>
      <c r="B52" t="s">
        <v>596</v>
      </c>
      <c r="C52" t="s">
        <v>4305</v>
      </c>
      <c r="D52">
        <v>-12</v>
      </c>
    </row>
    <row r="53" spans="1:4" x14ac:dyDescent="0.25">
      <c r="A53" t="s">
        <v>80</v>
      </c>
      <c r="B53" t="s">
        <v>1819</v>
      </c>
      <c r="C53" t="s">
        <v>4306</v>
      </c>
      <c r="D53">
        <v>-15</v>
      </c>
    </row>
    <row r="54" spans="1:4" x14ac:dyDescent="0.25">
      <c r="A54" t="s">
        <v>80</v>
      </c>
      <c r="B54" t="s">
        <v>887</v>
      </c>
      <c r="C54" t="s">
        <v>3792</v>
      </c>
      <c r="D54">
        <v>-18</v>
      </c>
    </row>
    <row r="55" spans="1:4" x14ac:dyDescent="0.25">
      <c r="A55" t="s">
        <v>80</v>
      </c>
      <c r="B55" t="s">
        <v>285</v>
      </c>
      <c r="C55" t="s">
        <v>3919</v>
      </c>
      <c r="D55">
        <v>-17</v>
      </c>
    </row>
    <row r="56" spans="1:4" x14ac:dyDescent="0.25">
      <c r="A56" t="s">
        <v>80</v>
      </c>
      <c r="B56" t="s">
        <v>987</v>
      </c>
      <c r="C56" t="s">
        <v>1902</v>
      </c>
      <c r="D56">
        <v>-18</v>
      </c>
    </row>
    <row r="57" spans="1:4" x14ac:dyDescent="0.25">
      <c r="A57" t="s">
        <v>80</v>
      </c>
      <c r="B57" t="s">
        <v>987</v>
      </c>
      <c r="C57" t="s">
        <v>4307</v>
      </c>
      <c r="D57">
        <v>-19</v>
      </c>
    </row>
    <row r="58" spans="1:4" x14ac:dyDescent="0.25">
      <c r="A58" t="s">
        <v>80</v>
      </c>
      <c r="B58" t="s">
        <v>876</v>
      </c>
      <c r="C58" t="s">
        <v>4308</v>
      </c>
      <c r="D58">
        <v>-18</v>
      </c>
    </row>
    <row r="59" spans="1:4" x14ac:dyDescent="0.25">
      <c r="A59" t="s">
        <v>80</v>
      </c>
      <c r="B59" t="s">
        <v>148</v>
      </c>
      <c r="C59" t="s">
        <v>3795</v>
      </c>
      <c r="D59">
        <v>-21</v>
      </c>
    </row>
    <row r="60" spans="1:4" x14ac:dyDescent="0.25">
      <c r="A60" t="s">
        <v>80</v>
      </c>
      <c r="B60" t="s">
        <v>1204</v>
      </c>
      <c r="C60" t="s">
        <v>4309</v>
      </c>
      <c r="D60">
        <v>-24</v>
      </c>
    </row>
    <row r="61" spans="1:4" x14ac:dyDescent="0.25">
      <c r="A61" t="s">
        <v>80</v>
      </c>
      <c r="B61" t="s">
        <v>900</v>
      </c>
      <c r="C61" t="s">
        <v>3798</v>
      </c>
      <c r="D61">
        <v>-22</v>
      </c>
    </row>
    <row r="62" spans="1:4" x14ac:dyDescent="0.25">
      <c r="A62" t="s">
        <v>80</v>
      </c>
      <c r="B62" t="s">
        <v>2042</v>
      </c>
      <c r="C62" t="s">
        <v>4310</v>
      </c>
      <c r="D62">
        <v>-23</v>
      </c>
    </row>
    <row r="63" spans="1:4" x14ac:dyDescent="0.25">
      <c r="A63" t="s">
        <v>80</v>
      </c>
      <c r="B63" t="s">
        <v>1627</v>
      </c>
      <c r="C63" t="s">
        <v>4311</v>
      </c>
      <c r="D63">
        <v>-25</v>
      </c>
    </row>
    <row r="64" spans="1:4" x14ac:dyDescent="0.25">
      <c r="A64" t="s">
        <v>80</v>
      </c>
      <c r="B64" t="s">
        <v>508</v>
      </c>
      <c r="C64" t="s">
        <v>4312</v>
      </c>
      <c r="D64">
        <v>-27</v>
      </c>
    </row>
    <row r="65" spans="1:4" x14ac:dyDescent="0.25">
      <c r="A65" t="s">
        <v>123</v>
      </c>
      <c r="B65" t="s">
        <v>1208</v>
      </c>
      <c r="C65" t="s">
        <v>4313</v>
      </c>
      <c r="D65">
        <v>-30</v>
      </c>
    </row>
    <row r="66" spans="1:4" x14ac:dyDescent="0.25">
      <c r="A66" t="s">
        <v>123</v>
      </c>
      <c r="B66" t="s">
        <v>126</v>
      </c>
      <c r="C66" t="s">
        <v>4314</v>
      </c>
      <c r="D66">
        <v>-28</v>
      </c>
    </row>
    <row r="67" spans="1:4" x14ac:dyDescent="0.25">
      <c r="A67" t="s">
        <v>123</v>
      </c>
      <c r="B67" t="s">
        <v>777</v>
      </c>
      <c r="C67" t="s">
        <v>4315</v>
      </c>
      <c r="D67">
        <v>-26</v>
      </c>
    </row>
    <row r="68" spans="1:4" x14ac:dyDescent="0.25">
      <c r="A68" t="s">
        <v>123</v>
      </c>
      <c r="B68" t="s">
        <v>273</v>
      </c>
      <c r="C68" t="s">
        <v>3930</v>
      </c>
      <c r="D68">
        <v>-25</v>
      </c>
    </row>
    <row r="69" spans="1:4" x14ac:dyDescent="0.25">
      <c r="A69" t="s">
        <v>123</v>
      </c>
      <c r="B69" t="s">
        <v>273</v>
      </c>
      <c r="C69" t="s">
        <v>4316</v>
      </c>
      <c r="D69">
        <v>-24</v>
      </c>
    </row>
    <row r="70" spans="1:4" x14ac:dyDescent="0.25">
      <c r="A70" t="s">
        <v>123</v>
      </c>
      <c r="B70" t="s">
        <v>935</v>
      </c>
      <c r="C70" t="s">
        <v>3931</v>
      </c>
      <c r="D70">
        <v>-22</v>
      </c>
    </row>
    <row r="71" spans="1:4" x14ac:dyDescent="0.25">
      <c r="A71" t="s">
        <v>123</v>
      </c>
      <c r="B71" t="s">
        <v>693</v>
      </c>
      <c r="C71" t="s">
        <v>4317</v>
      </c>
      <c r="D71">
        <v>-20</v>
      </c>
    </row>
    <row r="72" spans="1:4" x14ac:dyDescent="0.25">
      <c r="A72" t="s">
        <v>123</v>
      </c>
      <c r="B72" t="s">
        <v>332</v>
      </c>
      <c r="C72" t="s">
        <v>4177</v>
      </c>
      <c r="D72">
        <v>-17</v>
      </c>
    </row>
    <row r="73" spans="1:4" x14ac:dyDescent="0.25">
      <c r="A73" t="s">
        <v>123</v>
      </c>
      <c r="B73" t="s">
        <v>1146</v>
      </c>
      <c r="C73" t="s">
        <v>1250</v>
      </c>
      <c r="D73">
        <v>-19</v>
      </c>
    </row>
    <row r="74" spans="1:4" x14ac:dyDescent="0.25">
      <c r="A74" t="s">
        <v>123</v>
      </c>
      <c r="B74" t="s">
        <v>54</v>
      </c>
      <c r="C74" t="s">
        <v>3101</v>
      </c>
      <c r="D74">
        <v>-16</v>
      </c>
    </row>
    <row r="75" spans="1:4" x14ac:dyDescent="0.25">
      <c r="A75" t="s">
        <v>123</v>
      </c>
      <c r="B75" t="s">
        <v>93</v>
      </c>
      <c r="C75" t="s">
        <v>1790</v>
      </c>
      <c r="D75">
        <v>-13</v>
      </c>
    </row>
    <row r="76" spans="1:4" x14ac:dyDescent="0.25">
      <c r="A76" t="s">
        <v>123</v>
      </c>
      <c r="B76" t="s">
        <v>726</v>
      </c>
      <c r="C76" t="s">
        <v>1791</v>
      </c>
      <c r="D76">
        <v>-14</v>
      </c>
    </row>
    <row r="77" spans="1:4" x14ac:dyDescent="0.25">
      <c r="A77" t="s">
        <v>123</v>
      </c>
      <c r="B77" t="s">
        <v>726</v>
      </c>
      <c r="C77" t="s">
        <v>2591</v>
      </c>
      <c r="D77">
        <v>-15</v>
      </c>
    </row>
    <row r="78" spans="1:4" x14ac:dyDescent="0.25">
      <c r="A78" t="s">
        <v>123</v>
      </c>
      <c r="B78" t="s">
        <v>726</v>
      </c>
      <c r="C78" t="s">
        <v>4318</v>
      </c>
      <c r="D78">
        <v>-16</v>
      </c>
    </row>
    <row r="79" spans="1:4" x14ac:dyDescent="0.25">
      <c r="A79" t="s">
        <v>123</v>
      </c>
      <c r="B79" t="s">
        <v>700</v>
      </c>
      <c r="C79" t="s">
        <v>4319</v>
      </c>
      <c r="D79">
        <v>-17</v>
      </c>
    </row>
    <row r="80" spans="1:4" x14ac:dyDescent="0.25">
      <c r="A80" t="s">
        <v>123</v>
      </c>
      <c r="B80" t="s">
        <v>700</v>
      </c>
      <c r="C80" t="s">
        <v>4320</v>
      </c>
      <c r="D80">
        <v>-18</v>
      </c>
    </row>
    <row r="81" spans="1:4" x14ac:dyDescent="0.25">
      <c r="A81" t="s">
        <v>123</v>
      </c>
      <c r="B81" t="s">
        <v>106</v>
      </c>
      <c r="C81" t="s">
        <v>1257</v>
      </c>
      <c r="D81">
        <v>-20</v>
      </c>
    </row>
    <row r="82" spans="1:4" x14ac:dyDescent="0.25">
      <c r="A82" t="s">
        <v>123</v>
      </c>
      <c r="B82" t="s">
        <v>112</v>
      </c>
      <c r="C82" t="s">
        <v>1260</v>
      </c>
      <c r="D82">
        <v>-17</v>
      </c>
    </row>
    <row r="83" spans="1:4" x14ac:dyDescent="0.25">
      <c r="A83" t="s">
        <v>123</v>
      </c>
      <c r="B83" t="s">
        <v>116</v>
      </c>
      <c r="C83" t="s">
        <v>4321</v>
      </c>
      <c r="D83">
        <v>-16</v>
      </c>
    </row>
    <row r="84" spans="1:4" x14ac:dyDescent="0.25">
      <c r="A84" t="s">
        <v>123</v>
      </c>
      <c r="B84" t="s">
        <v>116</v>
      </c>
      <c r="C84" t="s">
        <v>4322</v>
      </c>
      <c r="D84">
        <v>-15</v>
      </c>
    </row>
    <row r="85" spans="1:4" x14ac:dyDescent="0.25">
      <c r="A85" t="s">
        <v>123</v>
      </c>
      <c r="B85" t="s">
        <v>1398</v>
      </c>
      <c r="C85" t="s">
        <v>4323</v>
      </c>
      <c r="D85">
        <v>-18</v>
      </c>
    </row>
    <row r="86" spans="1:4" x14ac:dyDescent="0.25">
      <c r="A86" t="s">
        <v>123</v>
      </c>
      <c r="B86" t="s">
        <v>389</v>
      </c>
      <c r="C86" t="s">
        <v>4324</v>
      </c>
      <c r="D86">
        <v>-16</v>
      </c>
    </row>
    <row r="87" spans="1:4" x14ac:dyDescent="0.25">
      <c r="A87" t="s">
        <v>123</v>
      </c>
      <c r="B87" t="s">
        <v>31</v>
      </c>
      <c r="C87" t="s">
        <v>4325</v>
      </c>
      <c r="D87">
        <v>-19</v>
      </c>
    </row>
    <row r="88" spans="1:4" x14ac:dyDescent="0.25">
      <c r="A88" t="s">
        <v>123</v>
      </c>
      <c r="B88" t="s">
        <v>1437</v>
      </c>
      <c r="C88" t="s">
        <v>4326</v>
      </c>
      <c r="D88">
        <v>-16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-14.03448275862069</v>
      </c>
    </row>
    <row r="92" spans="1:4" x14ac:dyDescent="0.25">
      <c r="A92" t="s">
        <v>159</v>
      </c>
      <c r="D92">
        <f>MAX(D2:D88)</f>
        <v>2</v>
      </c>
    </row>
    <row r="93" spans="1:4" x14ac:dyDescent="0.25">
      <c r="A93" t="s">
        <v>160</v>
      </c>
      <c r="D93">
        <f>MIN(D2:D88)</f>
        <v>-30</v>
      </c>
    </row>
    <row r="94" spans="1:4" x14ac:dyDescent="0.25">
      <c r="A94" t="s">
        <v>161</v>
      </c>
      <c r="D94">
        <f>COUNTIF(D2:D88,"&gt;0")</f>
        <v>2</v>
      </c>
    </row>
    <row r="95" spans="1:4" x14ac:dyDescent="0.25">
      <c r="A95" t="s">
        <v>162</v>
      </c>
      <c r="D95">
        <f>COUNTIF(D2:D88,"=0")</f>
        <v>2</v>
      </c>
    </row>
    <row r="96" spans="1:4" x14ac:dyDescent="0.25">
      <c r="A96" t="s">
        <v>561</v>
      </c>
      <c r="D96">
        <f>COUNTIF(D2:D88,"&lt;0")</f>
        <v>83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AVERAGE(D2,D3,D4,D5,D6,D7,D8,D9,D10,D11,D12,D13,D14,D15,D16,D17,D18,D19,D20,D21,D22)</f>
        <v>-4</v>
      </c>
    </row>
    <row r="100" spans="1:4" x14ac:dyDescent="0.25">
      <c r="A100" t="s">
        <v>166</v>
      </c>
      <c r="D100">
        <f>AVERAGE(D23,D24,D25,D26,D27,D28,D29,D30,D31,D32,D33,D34,D35,D36,D37,D38,D39)</f>
        <v>-15.235294117647058</v>
      </c>
    </row>
    <row r="101" spans="1:4" x14ac:dyDescent="0.25">
      <c r="A101" t="s">
        <v>167</v>
      </c>
      <c r="D101">
        <f>AVERAGE(D40,D41,D42,D43,D44,D45,D46,D47,D48,D49,D50,D51,D52,D53,D54,D55,D56,D57,D58,D59,D60,D61,D62,D63,D64)</f>
        <v>-16.84</v>
      </c>
    </row>
    <row r="102" spans="1:4" x14ac:dyDescent="0.25">
      <c r="A102" t="s">
        <v>168</v>
      </c>
      <c r="D102">
        <f>AVERAGE(D65,D66,D67,D68,D69,D70,D71,D72,D73,D74,D75,D76,D77,D78,D79,D80,D81,D82,D83,D84,D85,D86,D87,D88)</f>
        <v>-19.041666666666668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D10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352</v>
      </c>
      <c r="C2" t="s">
        <v>908</v>
      </c>
      <c r="D2">
        <v>-2</v>
      </c>
    </row>
    <row r="3" spans="1:4" x14ac:dyDescent="0.25">
      <c r="A3" t="s">
        <v>4</v>
      </c>
      <c r="B3" t="s">
        <v>1057</v>
      </c>
      <c r="C3" t="s">
        <v>1692</v>
      </c>
      <c r="D3">
        <v>-4</v>
      </c>
    </row>
    <row r="4" spans="1:4" x14ac:dyDescent="0.25">
      <c r="A4" t="s">
        <v>4</v>
      </c>
      <c r="B4" t="s">
        <v>1267</v>
      </c>
      <c r="C4" t="s">
        <v>10</v>
      </c>
      <c r="D4">
        <v>-2</v>
      </c>
    </row>
    <row r="5" spans="1:4" x14ac:dyDescent="0.25">
      <c r="A5" t="s">
        <v>4</v>
      </c>
      <c r="B5" t="s">
        <v>85</v>
      </c>
      <c r="C5" t="s">
        <v>2297</v>
      </c>
      <c r="D5">
        <v>-4</v>
      </c>
    </row>
    <row r="6" spans="1:4" x14ac:dyDescent="0.25">
      <c r="A6" t="s">
        <v>4</v>
      </c>
      <c r="B6" t="s">
        <v>1029</v>
      </c>
      <c r="C6" t="s">
        <v>4327</v>
      </c>
      <c r="D6">
        <v>-7</v>
      </c>
    </row>
    <row r="7" spans="1:4" x14ac:dyDescent="0.25">
      <c r="A7" t="s">
        <v>4</v>
      </c>
      <c r="B7" t="s">
        <v>54</v>
      </c>
      <c r="C7" t="s">
        <v>2201</v>
      </c>
      <c r="D7">
        <v>-6</v>
      </c>
    </row>
    <row r="8" spans="1:4" x14ac:dyDescent="0.25">
      <c r="A8" t="s">
        <v>4</v>
      </c>
      <c r="B8" t="s">
        <v>54</v>
      </c>
      <c r="C8" t="s">
        <v>4274</v>
      </c>
      <c r="D8">
        <v>-5</v>
      </c>
    </row>
    <row r="9" spans="1:4" x14ac:dyDescent="0.25">
      <c r="A9" t="s">
        <v>4</v>
      </c>
      <c r="B9" t="s">
        <v>1013</v>
      </c>
      <c r="C9" t="s">
        <v>2153</v>
      </c>
      <c r="D9">
        <v>-3</v>
      </c>
    </row>
    <row r="10" spans="1:4" x14ac:dyDescent="0.25">
      <c r="A10" t="s">
        <v>4</v>
      </c>
      <c r="B10" t="s">
        <v>58</v>
      </c>
      <c r="C10" t="s">
        <v>1696</v>
      </c>
      <c r="D10">
        <v>-5</v>
      </c>
    </row>
    <row r="11" spans="1:4" x14ac:dyDescent="0.25">
      <c r="A11" t="s">
        <v>4</v>
      </c>
      <c r="B11" t="s">
        <v>186</v>
      </c>
      <c r="C11" t="s">
        <v>4161</v>
      </c>
      <c r="D11">
        <v>-7</v>
      </c>
    </row>
    <row r="12" spans="1:4" x14ac:dyDescent="0.25">
      <c r="A12" t="s">
        <v>4</v>
      </c>
      <c r="B12" t="s">
        <v>1228</v>
      </c>
      <c r="C12" t="s">
        <v>1745</v>
      </c>
      <c r="D12">
        <v>-4</v>
      </c>
    </row>
    <row r="13" spans="1:4" x14ac:dyDescent="0.25">
      <c r="A13" t="s">
        <v>4</v>
      </c>
      <c r="B13" t="s">
        <v>1231</v>
      </c>
      <c r="C13" t="s">
        <v>2325</v>
      </c>
      <c r="D13">
        <v>-5</v>
      </c>
    </row>
    <row r="14" spans="1:4" x14ac:dyDescent="0.25">
      <c r="A14" t="s">
        <v>4</v>
      </c>
      <c r="B14" t="s">
        <v>1231</v>
      </c>
      <c r="C14" t="s">
        <v>2395</v>
      </c>
      <c r="D14">
        <v>-6</v>
      </c>
    </row>
    <row r="15" spans="1:4" x14ac:dyDescent="0.25">
      <c r="A15" t="s">
        <v>4</v>
      </c>
      <c r="B15" t="s">
        <v>1503</v>
      </c>
      <c r="C15" t="s">
        <v>576</v>
      </c>
      <c r="D15">
        <v>-4</v>
      </c>
    </row>
    <row r="16" spans="1:4" x14ac:dyDescent="0.25">
      <c r="A16" t="s">
        <v>4</v>
      </c>
      <c r="B16" t="s">
        <v>2048</v>
      </c>
      <c r="C16" t="s">
        <v>1746</v>
      </c>
      <c r="D16">
        <v>-3</v>
      </c>
    </row>
    <row r="17" spans="1:4" x14ac:dyDescent="0.25">
      <c r="A17" t="s">
        <v>4</v>
      </c>
      <c r="B17" t="s">
        <v>894</v>
      </c>
      <c r="C17" t="s">
        <v>3554</v>
      </c>
      <c r="D17">
        <v>-6</v>
      </c>
    </row>
    <row r="18" spans="1:4" x14ac:dyDescent="0.25">
      <c r="A18" t="s">
        <v>4</v>
      </c>
      <c r="B18" t="s">
        <v>228</v>
      </c>
      <c r="C18" t="s">
        <v>37</v>
      </c>
      <c r="D18">
        <v>-4</v>
      </c>
    </row>
    <row r="19" spans="1:4" x14ac:dyDescent="0.25">
      <c r="A19" t="s">
        <v>4</v>
      </c>
      <c r="B19" t="s">
        <v>228</v>
      </c>
      <c r="C19" t="s">
        <v>580</v>
      </c>
      <c r="D19">
        <v>-3</v>
      </c>
    </row>
    <row r="20" spans="1:4" x14ac:dyDescent="0.25">
      <c r="A20" t="s">
        <v>4</v>
      </c>
      <c r="B20" t="s">
        <v>611</v>
      </c>
      <c r="C20" t="s">
        <v>2699</v>
      </c>
      <c r="D20">
        <v>-4</v>
      </c>
    </row>
    <row r="21" spans="1:4" x14ac:dyDescent="0.25">
      <c r="A21" t="s">
        <v>4</v>
      </c>
      <c r="B21" t="s">
        <v>611</v>
      </c>
      <c r="C21" t="s">
        <v>1506</v>
      </c>
      <c r="D21">
        <v>-5</v>
      </c>
    </row>
    <row r="22" spans="1:4" x14ac:dyDescent="0.25">
      <c r="A22" t="s">
        <v>4</v>
      </c>
      <c r="B22" t="s">
        <v>1019</v>
      </c>
      <c r="C22" t="s">
        <v>1507</v>
      </c>
      <c r="D22">
        <v>-3</v>
      </c>
    </row>
    <row r="23" spans="1:4" x14ac:dyDescent="0.25">
      <c r="A23" t="s">
        <v>4</v>
      </c>
      <c r="B23" t="s">
        <v>673</v>
      </c>
      <c r="C23" t="s">
        <v>2205</v>
      </c>
      <c r="D23">
        <v>-5</v>
      </c>
    </row>
    <row r="24" spans="1:4" x14ac:dyDescent="0.25">
      <c r="A24" t="s">
        <v>4</v>
      </c>
      <c r="B24" t="s">
        <v>154</v>
      </c>
      <c r="C24" t="s">
        <v>3704</v>
      </c>
      <c r="D24">
        <v>-6</v>
      </c>
    </row>
    <row r="25" spans="1:4" x14ac:dyDescent="0.25">
      <c r="A25" t="s">
        <v>4</v>
      </c>
      <c r="B25" t="s">
        <v>154</v>
      </c>
      <c r="C25" t="s">
        <v>3206</v>
      </c>
      <c r="D25">
        <v>-7</v>
      </c>
    </row>
    <row r="26" spans="1:4" x14ac:dyDescent="0.25">
      <c r="A26" t="s">
        <v>40</v>
      </c>
      <c r="B26" t="s">
        <v>124</v>
      </c>
      <c r="C26" t="s">
        <v>46</v>
      </c>
      <c r="D26">
        <v>-5</v>
      </c>
    </row>
    <row r="27" spans="1:4" x14ac:dyDescent="0.25">
      <c r="A27" t="s">
        <v>40</v>
      </c>
      <c r="B27" t="s">
        <v>170</v>
      </c>
      <c r="C27" t="s">
        <v>4328</v>
      </c>
      <c r="D27">
        <v>-7</v>
      </c>
    </row>
    <row r="28" spans="1:4" x14ac:dyDescent="0.25">
      <c r="A28" t="s">
        <v>40</v>
      </c>
      <c r="B28" t="s">
        <v>1543</v>
      </c>
      <c r="C28" t="s">
        <v>50</v>
      </c>
      <c r="D28">
        <v>-5</v>
      </c>
    </row>
    <row r="29" spans="1:4" x14ac:dyDescent="0.25">
      <c r="A29" t="s">
        <v>40</v>
      </c>
      <c r="B29" t="s">
        <v>87</v>
      </c>
      <c r="C29" t="s">
        <v>52</v>
      </c>
      <c r="D29">
        <v>-4</v>
      </c>
    </row>
    <row r="30" spans="1:4" x14ac:dyDescent="0.25">
      <c r="A30" t="s">
        <v>40</v>
      </c>
      <c r="B30" t="s">
        <v>2074</v>
      </c>
      <c r="C30" t="s">
        <v>4194</v>
      </c>
      <c r="D30">
        <v>-6</v>
      </c>
    </row>
    <row r="31" spans="1:4" x14ac:dyDescent="0.25">
      <c r="A31" t="s">
        <v>40</v>
      </c>
      <c r="B31" t="s">
        <v>363</v>
      </c>
      <c r="C31" t="s">
        <v>4195</v>
      </c>
      <c r="D31">
        <v>-8</v>
      </c>
    </row>
    <row r="32" spans="1:4" x14ac:dyDescent="0.25">
      <c r="A32" t="s">
        <v>40</v>
      </c>
      <c r="B32" t="s">
        <v>872</v>
      </c>
      <c r="C32" t="s">
        <v>3884</v>
      </c>
      <c r="D32">
        <v>-11</v>
      </c>
    </row>
    <row r="33" spans="1:4" x14ac:dyDescent="0.25">
      <c r="A33" t="s">
        <v>40</v>
      </c>
      <c r="B33" t="s">
        <v>943</v>
      </c>
      <c r="C33" t="s">
        <v>3886</v>
      </c>
      <c r="D33">
        <v>-9</v>
      </c>
    </row>
    <row r="34" spans="1:4" x14ac:dyDescent="0.25">
      <c r="A34" t="s">
        <v>40</v>
      </c>
      <c r="B34" t="s">
        <v>285</v>
      </c>
      <c r="C34" t="s">
        <v>3887</v>
      </c>
      <c r="D34">
        <v>-11</v>
      </c>
    </row>
    <row r="35" spans="1:4" x14ac:dyDescent="0.25">
      <c r="A35" t="s">
        <v>40</v>
      </c>
      <c r="B35" t="s">
        <v>1040</v>
      </c>
      <c r="C35" t="s">
        <v>803</v>
      </c>
      <c r="D35">
        <v>-9</v>
      </c>
    </row>
    <row r="36" spans="1:4" x14ac:dyDescent="0.25">
      <c r="A36" t="s">
        <v>40</v>
      </c>
      <c r="B36" t="s">
        <v>631</v>
      </c>
      <c r="C36" t="s">
        <v>3890</v>
      </c>
      <c r="D36">
        <v>-11</v>
      </c>
    </row>
    <row r="37" spans="1:4" x14ac:dyDescent="0.25">
      <c r="A37" t="s">
        <v>40</v>
      </c>
      <c r="B37" t="s">
        <v>292</v>
      </c>
      <c r="C37" t="s">
        <v>806</v>
      </c>
      <c r="D37">
        <v>-9</v>
      </c>
    </row>
    <row r="38" spans="1:4" x14ac:dyDescent="0.25">
      <c r="A38" t="s">
        <v>40</v>
      </c>
      <c r="B38" t="s">
        <v>1112</v>
      </c>
      <c r="C38" t="s">
        <v>608</v>
      </c>
      <c r="D38">
        <v>-8</v>
      </c>
    </row>
    <row r="39" spans="1:4" x14ac:dyDescent="0.25">
      <c r="A39" t="s">
        <v>40</v>
      </c>
      <c r="B39" t="s">
        <v>1112</v>
      </c>
      <c r="C39" t="s">
        <v>4329</v>
      </c>
      <c r="D39">
        <v>-7</v>
      </c>
    </row>
    <row r="40" spans="1:4" x14ac:dyDescent="0.25">
      <c r="A40" t="s">
        <v>40</v>
      </c>
      <c r="B40" t="s">
        <v>1356</v>
      </c>
      <c r="C40" t="s">
        <v>2875</v>
      </c>
      <c r="D40">
        <v>-4</v>
      </c>
    </row>
    <row r="41" spans="1:4" x14ac:dyDescent="0.25">
      <c r="A41" t="s">
        <v>40</v>
      </c>
      <c r="B41" t="s">
        <v>38</v>
      </c>
      <c r="C41" t="s">
        <v>1719</v>
      </c>
      <c r="D41">
        <v>-5</v>
      </c>
    </row>
    <row r="42" spans="1:4" x14ac:dyDescent="0.25">
      <c r="A42" t="s">
        <v>80</v>
      </c>
      <c r="B42" t="s">
        <v>1055</v>
      </c>
      <c r="C42" t="s">
        <v>2215</v>
      </c>
      <c r="D42">
        <v>-7</v>
      </c>
    </row>
    <row r="43" spans="1:4" x14ac:dyDescent="0.25">
      <c r="A43" t="s">
        <v>80</v>
      </c>
      <c r="B43" t="s">
        <v>1321</v>
      </c>
      <c r="C43" t="s">
        <v>2216</v>
      </c>
      <c r="D43">
        <v>-5</v>
      </c>
    </row>
    <row r="44" spans="1:4" x14ac:dyDescent="0.25">
      <c r="A44" t="s">
        <v>80</v>
      </c>
      <c r="B44" t="s">
        <v>570</v>
      </c>
      <c r="C44" t="s">
        <v>4330</v>
      </c>
      <c r="D44">
        <v>-8</v>
      </c>
    </row>
    <row r="45" spans="1:4" x14ac:dyDescent="0.25">
      <c r="A45" t="s">
        <v>80</v>
      </c>
      <c r="B45" t="s">
        <v>15</v>
      </c>
      <c r="C45" t="s">
        <v>1520</v>
      </c>
      <c r="D45">
        <v>-5</v>
      </c>
    </row>
    <row r="46" spans="1:4" x14ac:dyDescent="0.25">
      <c r="A46" t="s">
        <v>80</v>
      </c>
      <c r="B46" t="s">
        <v>465</v>
      </c>
      <c r="C46" t="s">
        <v>88</v>
      </c>
      <c r="D46">
        <v>-7</v>
      </c>
    </row>
    <row r="47" spans="1:4" x14ac:dyDescent="0.25">
      <c r="A47" t="s">
        <v>80</v>
      </c>
      <c r="B47" t="s">
        <v>726</v>
      </c>
      <c r="C47" t="s">
        <v>3561</v>
      </c>
      <c r="D47">
        <v>-4</v>
      </c>
    </row>
    <row r="48" spans="1:4" x14ac:dyDescent="0.25">
      <c r="A48" t="s">
        <v>80</v>
      </c>
      <c r="B48" t="s">
        <v>872</v>
      </c>
      <c r="C48" t="s">
        <v>821</v>
      </c>
      <c r="D48">
        <v>-7</v>
      </c>
    </row>
    <row r="49" spans="1:4" x14ac:dyDescent="0.25">
      <c r="A49" t="s">
        <v>80</v>
      </c>
      <c r="B49" t="s">
        <v>600</v>
      </c>
      <c r="C49" t="s">
        <v>624</v>
      </c>
      <c r="D49">
        <v>-4</v>
      </c>
    </row>
    <row r="50" spans="1:4" x14ac:dyDescent="0.25">
      <c r="A50" t="s">
        <v>80</v>
      </c>
      <c r="B50" t="s">
        <v>285</v>
      </c>
      <c r="C50" t="s">
        <v>100</v>
      </c>
      <c r="D50">
        <v>-6</v>
      </c>
    </row>
    <row r="51" spans="1:4" x14ac:dyDescent="0.25">
      <c r="A51" t="s">
        <v>80</v>
      </c>
      <c r="B51" t="s">
        <v>442</v>
      </c>
      <c r="C51" t="s">
        <v>260</v>
      </c>
      <c r="D51">
        <v>-3</v>
      </c>
    </row>
    <row r="52" spans="1:4" x14ac:dyDescent="0.25">
      <c r="A52" t="s">
        <v>80</v>
      </c>
      <c r="B52" t="s">
        <v>1422</v>
      </c>
      <c r="C52" t="s">
        <v>105</v>
      </c>
      <c r="D52">
        <v>-5</v>
      </c>
    </row>
    <row r="53" spans="1:4" x14ac:dyDescent="0.25">
      <c r="A53" t="s">
        <v>80</v>
      </c>
      <c r="B53" t="s">
        <v>1422</v>
      </c>
      <c r="C53" t="s">
        <v>2417</v>
      </c>
      <c r="D53">
        <v>-6</v>
      </c>
    </row>
    <row r="54" spans="1:4" x14ac:dyDescent="0.25">
      <c r="A54" t="s">
        <v>80</v>
      </c>
      <c r="B54" t="s">
        <v>550</v>
      </c>
      <c r="C54" t="s">
        <v>2418</v>
      </c>
      <c r="D54">
        <v>-8</v>
      </c>
    </row>
    <row r="55" spans="1:4" x14ac:dyDescent="0.25">
      <c r="A55" t="s">
        <v>80</v>
      </c>
      <c r="B55" t="s">
        <v>1990</v>
      </c>
      <c r="C55" t="s">
        <v>4211</v>
      </c>
      <c r="D55">
        <v>-11</v>
      </c>
    </row>
    <row r="56" spans="1:4" x14ac:dyDescent="0.25">
      <c r="A56" t="s">
        <v>80</v>
      </c>
      <c r="B56" t="s">
        <v>1627</v>
      </c>
      <c r="C56" t="s">
        <v>833</v>
      </c>
      <c r="D56">
        <v>-10</v>
      </c>
    </row>
    <row r="57" spans="1:4" x14ac:dyDescent="0.25">
      <c r="A57" t="s">
        <v>80</v>
      </c>
      <c r="B57" t="s">
        <v>1627</v>
      </c>
      <c r="C57" t="s">
        <v>4331</v>
      </c>
      <c r="D57">
        <v>-9</v>
      </c>
    </row>
    <row r="58" spans="1:4" x14ac:dyDescent="0.25">
      <c r="A58" t="s">
        <v>123</v>
      </c>
      <c r="B58" t="s">
        <v>563</v>
      </c>
      <c r="C58" t="s">
        <v>2965</v>
      </c>
      <c r="D58">
        <v>-7</v>
      </c>
    </row>
    <row r="59" spans="1:4" x14ac:dyDescent="0.25">
      <c r="A59" t="s">
        <v>123</v>
      </c>
      <c r="B59" t="s">
        <v>1138</v>
      </c>
      <c r="C59" t="s">
        <v>3985</v>
      </c>
      <c r="D59">
        <v>-9</v>
      </c>
    </row>
    <row r="60" spans="1:4" x14ac:dyDescent="0.25">
      <c r="A60" t="s">
        <v>123</v>
      </c>
      <c r="B60" t="s">
        <v>823</v>
      </c>
      <c r="C60" t="s">
        <v>2137</v>
      </c>
      <c r="D60">
        <v>-8</v>
      </c>
    </row>
    <row r="61" spans="1:4" x14ac:dyDescent="0.25">
      <c r="A61" t="s">
        <v>123</v>
      </c>
      <c r="B61" t="s">
        <v>1735</v>
      </c>
      <c r="C61" t="s">
        <v>4332</v>
      </c>
      <c r="D61">
        <v>-7</v>
      </c>
    </row>
    <row r="62" spans="1:4" x14ac:dyDescent="0.25">
      <c r="A62" t="s">
        <v>123</v>
      </c>
      <c r="B62" t="s">
        <v>721</v>
      </c>
      <c r="C62" t="s">
        <v>2574</v>
      </c>
      <c r="D62">
        <v>-10</v>
      </c>
    </row>
    <row r="63" spans="1:4" x14ac:dyDescent="0.25">
      <c r="A63" t="s">
        <v>123</v>
      </c>
      <c r="B63" t="s">
        <v>250</v>
      </c>
      <c r="C63" t="s">
        <v>2420</v>
      </c>
      <c r="D63">
        <v>-8</v>
      </c>
    </row>
    <row r="64" spans="1:4" x14ac:dyDescent="0.25">
      <c r="A64" t="s">
        <v>123</v>
      </c>
      <c r="B64" t="s">
        <v>275</v>
      </c>
      <c r="C64" t="s">
        <v>4333</v>
      </c>
      <c r="D64">
        <v>-9</v>
      </c>
    </row>
    <row r="65" spans="1:4" x14ac:dyDescent="0.25">
      <c r="A65" t="s">
        <v>123</v>
      </c>
      <c r="B65" t="s">
        <v>275</v>
      </c>
      <c r="C65" t="s">
        <v>3989</v>
      </c>
      <c r="D65">
        <v>-10</v>
      </c>
    </row>
    <row r="66" spans="1:4" x14ac:dyDescent="0.25">
      <c r="A66" t="s">
        <v>123</v>
      </c>
      <c r="B66" t="s">
        <v>645</v>
      </c>
      <c r="C66" t="s">
        <v>2966</v>
      </c>
      <c r="D66">
        <v>-8</v>
      </c>
    </row>
    <row r="67" spans="1:4" x14ac:dyDescent="0.25">
      <c r="A67" t="s">
        <v>123</v>
      </c>
      <c r="B67" t="s">
        <v>181</v>
      </c>
      <c r="C67" t="s">
        <v>127</v>
      </c>
      <c r="D67">
        <v>-7</v>
      </c>
    </row>
    <row r="68" spans="1:4" x14ac:dyDescent="0.25">
      <c r="A68" t="s">
        <v>123</v>
      </c>
      <c r="B68" t="s">
        <v>465</v>
      </c>
      <c r="C68" t="s">
        <v>1239</v>
      </c>
      <c r="D68">
        <v>-8</v>
      </c>
    </row>
    <row r="69" spans="1:4" x14ac:dyDescent="0.25">
      <c r="A69" t="s">
        <v>123</v>
      </c>
      <c r="B69" t="s">
        <v>465</v>
      </c>
      <c r="C69" t="s">
        <v>129</v>
      </c>
      <c r="D69">
        <v>-9</v>
      </c>
    </row>
    <row r="70" spans="1:4" x14ac:dyDescent="0.25">
      <c r="A70" t="s">
        <v>123</v>
      </c>
      <c r="B70" t="s">
        <v>700</v>
      </c>
      <c r="C70" t="s">
        <v>3976</v>
      </c>
      <c r="D70">
        <v>-7</v>
      </c>
    </row>
    <row r="71" spans="1:4" x14ac:dyDescent="0.25">
      <c r="A71" t="s">
        <v>123</v>
      </c>
      <c r="B71" t="s">
        <v>943</v>
      </c>
      <c r="C71" t="s">
        <v>3991</v>
      </c>
      <c r="D71">
        <v>-8</v>
      </c>
    </row>
    <row r="72" spans="1:4" x14ac:dyDescent="0.25">
      <c r="A72" t="s">
        <v>123</v>
      </c>
      <c r="B72" t="s">
        <v>943</v>
      </c>
      <c r="C72" t="s">
        <v>1241</v>
      </c>
      <c r="D72">
        <v>-9</v>
      </c>
    </row>
    <row r="73" spans="1:4" x14ac:dyDescent="0.25">
      <c r="A73" t="s">
        <v>123</v>
      </c>
      <c r="B73" t="s">
        <v>1536</v>
      </c>
      <c r="C73" t="s">
        <v>3992</v>
      </c>
      <c r="D73">
        <v>-11</v>
      </c>
    </row>
    <row r="74" spans="1:4" x14ac:dyDescent="0.25">
      <c r="A74" t="s">
        <v>123</v>
      </c>
      <c r="B74" t="s">
        <v>1700</v>
      </c>
      <c r="C74" t="s">
        <v>1242</v>
      </c>
      <c r="D74">
        <v>-12</v>
      </c>
    </row>
    <row r="75" spans="1:4" x14ac:dyDescent="0.25">
      <c r="A75" t="s">
        <v>123</v>
      </c>
      <c r="B75" t="s">
        <v>1700</v>
      </c>
      <c r="C75" t="s">
        <v>1781</v>
      </c>
      <c r="D75">
        <v>-13</v>
      </c>
    </row>
    <row r="76" spans="1:4" x14ac:dyDescent="0.25">
      <c r="A76" t="s">
        <v>123</v>
      </c>
      <c r="B76" t="s">
        <v>471</v>
      </c>
      <c r="C76" t="s">
        <v>1540</v>
      </c>
      <c r="D76">
        <v>-12</v>
      </c>
    </row>
    <row r="77" spans="1:4" x14ac:dyDescent="0.25">
      <c r="A77" t="s">
        <v>123</v>
      </c>
      <c r="B77" t="s">
        <v>471</v>
      </c>
      <c r="C77" t="s">
        <v>1782</v>
      </c>
      <c r="D77">
        <v>-11</v>
      </c>
    </row>
    <row r="78" spans="1:4" x14ac:dyDescent="0.25">
      <c r="A78" t="s">
        <v>123</v>
      </c>
      <c r="B78" t="s">
        <v>1481</v>
      </c>
      <c r="C78" t="s">
        <v>1247</v>
      </c>
      <c r="D78">
        <v>-14</v>
      </c>
    </row>
    <row r="79" spans="1:4" x14ac:dyDescent="0.25">
      <c r="A79" t="s">
        <v>123</v>
      </c>
      <c r="B79" t="s">
        <v>1402</v>
      </c>
      <c r="C79" t="s">
        <v>2771</v>
      </c>
      <c r="D79">
        <v>-11</v>
      </c>
    </row>
    <row r="80" spans="1:4" x14ac:dyDescent="0.25">
      <c r="A80" t="s">
        <v>123</v>
      </c>
      <c r="B80" t="s">
        <v>1622</v>
      </c>
      <c r="C80" t="s">
        <v>3610</v>
      </c>
      <c r="D80">
        <v>-13</v>
      </c>
    </row>
    <row r="81" spans="1:4" x14ac:dyDescent="0.25">
      <c r="A81" t="s">
        <v>123</v>
      </c>
      <c r="B81" t="s">
        <v>1437</v>
      </c>
      <c r="C81" t="s">
        <v>1548</v>
      </c>
      <c r="D81">
        <v>-12</v>
      </c>
    </row>
    <row r="82" spans="1:4" x14ac:dyDescent="0.25">
      <c r="A82" t="s">
        <v>123</v>
      </c>
      <c r="B82" t="s">
        <v>1437</v>
      </c>
      <c r="C82" t="s">
        <v>2620</v>
      </c>
      <c r="D82">
        <v>-11</v>
      </c>
    </row>
    <row r="83" spans="1:4" x14ac:dyDescent="0.25">
      <c r="A83" t="s">
        <v>123</v>
      </c>
      <c r="B83" t="s">
        <v>505</v>
      </c>
      <c r="C83" t="s">
        <v>2772</v>
      </c>
      <c r="D83">
        <v>-12</v>
      </c>
    </row>
    <row r="84" spans="1:4" x14ac:dyDescent="0.25">
      <c r="A84" t="s">
        <v>123</v>
      </c>
      <c r="B84" t="s">
        <v>346</v>
      </c>
      <c r="C84" t="s">
        <v>856</v>
      </c>
      <c r="D84">
        <v>-9</v>
      </c>
    </row>
    <row r="85" spans="1:4" x14ac:dyDescent="0.25">
      <c r="A85" t="s">
        <v>123</v>
      </c>
      <c r="B85" t="s">
        <v>2608</v>
      </c>
      <c r="C85" t="s">
        <v>3960</v>
      </c>
      <c r="D85">
        <v>-10</v>
      </c>
    </row>
    <row r="86" spans="1:4" x14ac:dyDescent="0.25">
      <c r="A86" t="s">
        <v>123</v>
      </c>
      <c r="B86" t="s">
        <v>582</v>
      </c>
      <c r="C86" t="s">
        <v>2974</v>
      </c>
      <c r="D86">
        <v>-9</v>
      </c>
    </row>
    <row r="87" spans="1:4" x14ac:dyDescent="0.25">
      <c r="A87" t="s">
        <v>123</v>
      </c>
      <c r="B87" t="s">
        <v>582</v>
      </c>
      <c r="C87" t="s">
        <v>149</v>
      </c>
      <c r="D87">
        <v>-10</v>
      </c>
    </row>
    <row r="88" spans="1:4" x14ac:dyDescent="0.25">
      <c r="A88" t="s">
        <v>123</v>
      </c>
      <c r="B88" t="s">
        <v>582</v>
      </c>
      <c r="C88" t="s">
        <v>150</v>
      </c>
      <c r="D88">
        <v>-11</v>
      </c>
    </row>
    <row r="89" spans="1:4" x14ac:dyDescent="0.25">
      <c r="A89" t="s">
        <v>123</v>
      </c>
      <c r="B89" t="s">
        <v>582</v>
      </c>
      <c r="C89" t="s">
        <v>151</v>
      </c>
      <c r="D89">
        <v>-12</v>
      </c>
    </row>
    <row r="90" spans="1:4" x14ac:dyDescent="0.25">
      <c r="A90" t="s">
        <v>123</v>
      </c>
      <c r="B90" t="s">
        <v>1568</v>
      </c>
      <c r="C90" t="s">
        <v>1553</v>
      </c>
      <c r="D90">
        <v>-11</v>
      </c>
    </row>
    <row r="91" spans="1:4" x14ac:dyDescent="0.25">
      <c r="A91" t="s">
        <v>123</v>
      </c>
      <c r="B91" t="s">
        <v>1568</v>
      </c>
      <c r="C91" t="s">
        <v>153</v>
      </c>
      <c r="D91">
        <v>-10</v>
      </c>
    </row>
    <row r="93" spans="1:4" x14ac:dyDescent="0.25">
      <c r="A93" s="2" t="s">
        <v>157</v>
      </c>
    </row>
    <row r="94" spans="1:4" x14ac:dyDescent="0.25">
      <c r="A94" t="s">
        <v>158</v>
      </c>
      <c r="D94">
        <f>AVERAGE(D2:D91)</f>
        <v>-7.4666666666666668</v>
      </c>
    </row>
    <row r="95" spans="1:4" x14ac:dyDescent="0.25">
      <c r="A95" t="s">
        <v>159</v>
      </c>
      <c r="D95">
        <f>MAX(D2:D91)</f>
        <v>-2</v>
      </c>
    </row>
    <row r="96" spans="1:4" x14ac:dyDescent="0.25">
      <c r="A96" t="s">
        <v>160</v>
      </c>
      <c r="D96">
        <f>MIN(D2:D91)</f>
        <v>-14</v>
      </c>
    </row>
    <row r="97" spans="1:4" x14ac:dyDescent="0.25">
      <c r="A97" t="s">
        <v>161</v>
      </c>
      <c r="D97">
        <f>COUNTIF(D2:D91,"&gt;0")</f>
        <v>0</v>
      </c>
    </row>
    <row r="98" spans="1:4" x14ac:dyDescent="0.25">
      <c r="A98" t="s">
        <v>162</v>
      </c>
      <c r="D98">
        <f>COUNTIF(D2:D91,"=0")</f>
        <v>0</v>
      </c>
    </row>
    <row r="99" spans="1:4" x14ac:dyDescent="0.25">
      <c r="A99" t="s">
        <v>561</v>
      </c>
      <c r="D99">
        <f>COUNTIF(D2:D91,"&lt;0")</f>
        <v>90</v>
      </c>
    </row>
    <row r="101" spans="1:4" x14ac:dyDescent="0.25">
      <c r="A101" s="2" t="s">
        <v>164</v>
      </c>
    </row>
    <row r="102" spans="1:4" x14ac:dyDescent="0.25">
      <c r="A102" t="s">
        <v>165</v>
      </c>
      <c r="D102">
        <f>AVERAGE(D2,D3,D4,D5,D6,D7,D8,D9,D10,D11,D12,D13,D14,D15,D16,D17,D18,D19,D20,D21,D22,D23,D24,D25)</f>
        <v>-4.583333333333333</v>
      </c>
    </row>
    <row r="103" spans="1:4" x14ac:dyDescent="0.25">
      <c r="A103" t="s">
        <v>166</v>
      </c>
      <c r="D103">
        <f>AVERAGE(D26,D27,D28,D29,D30,D31,D32,D33,D34,D35,D36,D37,D38,D39,D40,D41)</f>
        <v>-7.4375</v>
      </c>
    </row>
    <row r="104" spans="1:4" x14ac:dyDescent="0.25">
      <c r="A104" t="s">
        <v>167</v>
      </c>
      <c r="D104">
        <f>AVERAGE(D42,D43,D44,D45,D46,D47,D48,D49,D50,D51,D52,D53,D54,D55,D56,D57)</f>
        <v>-6.5625</v>
      </c>
    </row>
    <row r="105" spans="1:4" x14ac:dyDescent="0.25">
      <c r="A105" t="s">
        <v>168</v>
      </c>
      <c r="D105">
        <f>AVERAGE(D58,D59,D60,D61,D62,D63,D64,D65,D66,D67,D68,D69,D70,D71,D72,D73,D74,D75,D76,D77,D78,D79,D80,D81,D82,D83,D84,D85,D86,D87,D88,D89,D90,D91)</f>
        <v>-9.9411764705882355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1136</v>
      </c>
      <c r="C2" t="s">
        <v>2536</v>
      </c>
      <c r="D2">
        <v>-1</v>
      </c>
    </row>
    <row r="3" spans="1:4" x14ac:dyDescent="0.25">
      <c r="A3" t="s">
        <v>4</v>
      </c>
      <c r="B3" t="s">
        <v>1136</v>
      </c>
      <c r="C3" t="s">
        <v>908</v>
      </c>
      <c r="D3">
        <v>-2</v>
      </c>
    </row>
    <row r="4" spans="1:4" x14ac:dyDescent="0.25">
      <c r="A4" t="s">
        <v>4</v>
      </c>
      <c r="B4" t="s">
        <v>1680</v>
      </c>
      <c r="C4" t="s">
        <v>8</v>
      </c>
      <c r="D4">
        <v>0</v>
      </c>
    </row>
    <row r="5" spans="1:4" x14ac:dyDescent="0.25">
      <c r="A5" t="s">
        <v>4</v>
      </c>
      <c r="B5" t="s">
        <v>757</v>
      </c>
      <c r="C5" t="s">
        <v>10</v>
      </c>
      <c r="D5">
        <v>-2</v>
      </c>
    </row>
    <row r="6" spans="1:4" x14ac:dyDescent="0.25">
      <c r="A6" t="s">
        <v>4</v>
      </c>
      <c r="B6" t="s">
        <v>1973</v>
      </c>
      <c r="C6" t="s">
        <v>2297</v>
      </c>
      <c r="D6">
        <v>-4</v>
      </c>
    </row>
    <row r="7" spans="1:4" x14ac:dyDescent="0.25">
      <c r="A7" t="s">
        <v>4</v>
      </c>
      <c r="B7" t="s">
        <v>1877</v>
      </c>
      <c r="C7" t="s">
        <v>310</v>
      </c>
      <c r="D7">
        <v>-2</v>
      </c>
    </row>
    <row r="8" spans="1:4" x14ac:dyDescent="0.25">
      <c r="A8" t="s">
        <v>4</v>
      </c>
      <c r="B8" t="s">
        <v>1754</v>
      </c>
      <c r="C8" t="s">
        <v>2046</v>
      </c>
      <c r="D8">
        <v>0</v>
      </c>
    </row>
    <row r="9" spans="1:4" x14ac:dyDescent="0.25">
      <c r="A9" t="s">
        <v>4</v>
      </c>
      <c r="B9" t="s">
        <v>1754</v>
      </c>
      <c r="C9" t="s">
        <v>311</v>
      </c>
      <c r="D9">
        <v>1</v>
      </c>
    </row>
    <row r="10" spans="1:4" x14ac:dyDescent="0.25">
      <c r="A10" t="s">
        <v>4</v>
      </c>
      <c r="B10" t="s">
        <v>361</v>
      </c>
      <c r="C10" t="s">
        <v>2559</v>
      </c>
      <c r="D10">
        <v>3</v>
      </c>
    </row>
    <row r="11" spans="1:4" x14ac:dyDescent="0.25">
      <c r="A11" t="s">
        <v>4</v>
      </c>
      <c r="B11" t="s">
        <v>916</v>
      </c>
      <c r="C11" t="s">
        <v>2560</v>
      </c>
      <c r="D11">
        <v>5</v>
      </c>
    </row>
    <row r="12" spans="1:4" x14ac:dyDescent="0.25">
      <c r="A12" t="s">
        <v>4</v>
      </c>
      <c r="B12" t="s">
        <v>335</v>
      </c>
      <c r="C12" t="s">
        <v>1353</v>
      </c>
      <c r="D12">
        <v>3</v>
      </c>
    </row>
    <row r="13" spans="1:4" x14ac:dyDescent="0.25">
      <c r="A13" t="s">
        <v>4</v>
      </c>
      <c r="B13" t="s">
        <v>1441</v>
      </c>
      <c r="C13" t="s">
        <v>785</v>
      </c>
      <c r="D13">
        <v>5</v>
      </c>
    </row>
    <row r="14" spans="1:4" x14ac:dyDescent="0.25">
      <c r="A14" t="s">
        <v>4</v>
      </c>
      <c r="B14" t="s">
        <v>312</v>
      </c>
      <c r="C14" t="s">
        <v>918</v>
      </c>
      <c r="D14">
        <v>3</v>
      </c>
    </row>
    <row r="15" spans="1:4" x14ac:dyDescent="0.25">
      <c r="A15" t="s">
        <v>4</v>
      </c>
      <c r="B15" t="s">
        <v>2154</v>
      </c>
      <c r="C15" t="s">
        <v>443</v>
      </c>
      <c r="D15">
        <v>0</v>
      </c>
    </row>
    <row r="16" spans="1:4" x14ac:dyDescent="0.25">
      <c r="A16" t="s">
        <v>4</v>
      </c>
      <c r="B16" t="s">
        <v>1350</v>
      </c>
      <c r="C16" t="s">
        <v>32</v>
      </c>
      <c r="D16">
        <v>1</v>
      </c>
    </row>
    <row r="17" spans="1:4" x14ac:dyDescent="0.25">
      <c r="A17" t="s">
        <v>4</v>
      </c>
      <c r="B17" t="s">
        <v>1350</v>
      </c>
      <c r="C17" t="s">
        <v>1114</v>
      </c>
      <c r="D17">
        <v>2</v>
      </c>
    </row>
    <row r="18" spans="1:4" x14ac:dyDescent="0.25">
      <c r="A18" t="s">
        <v>4</v>
      </c>
      <c r="B18" t="s">
        <v>743</v>
      </c>
      <c r="C18" t="s">
        <v>705</v>
      </c>
      <c r="D18">
        <v>-1</v>
      </c>
    </row>
    <row r="19" spans="1:4" x14ac:dyDescent="0.25">
      <c r="A19" t="s">
        <v>4</v>
      </c>
      <c r="B19" t="s">
        <v>812</v>
      </c>
      <c r="C19" t="s">
        <v>580</v>
      </c>
      <c r="D19">
        <v>-3</v>
      </c>
    </row>
    <row r="20" spans="1:4" x14ac:dyDescent="0.25">
      <c r="A20" t="s">
        <v>4</v>
      </c>
      <c r="B20" t="s">
        <v>812</v>
      </c>
      <c r="C20" t="s">
        <v>2699</v>
      </c>
      <c r="D20">
        <v>-4</v>
      </c>
    </row>
    <row r="21" spans="1:4" x14ac:dyDescent="0.25">
      <c r="A21" t="s">
        <v>4</v>
      </c>
      <c r="B21" t="s">
        <v>1622</v>
      </c>
      <c r="C21" t="s">
        <v>2157</v>
      </c>
      <c r="D21">
        <v>-3</v>
      </c>
    </row>
    <row r="22" spans="1:4" x14ac:dyDescent="0.25">
      <c r="A22" t="s">
        <v>4</v>
      </c>
      <c r="B22" t="s">
        <v>296</v>
      </c>
      <c r="C22" t="s">
        <v>2123</v>
      </c>
      <c r="D22">
        <v>-1</v>
      </c>
    </row>
    <row r="23" spans="1:4" x14ac:dyDescent="0.25">
      <c r="A23" t="s">
        <v>4</v>
      </c>
      <c r="B23" t="s">
        <v>1180</v>
      </c>
      <c r="C23" t="s">
        <v>2264</v>
      </c>
      <c r="D23">
        <v>-2</v>
      </c>
    </row>
    <row r="24" spans="1:4" x14ac:dyDescent="0.25">
      <c r="A24" t="s">
        <v>4</v>
      </c>
      <c r="B24" t="s">
        <v>1180</v>
      </c>
      <c r="C24" t="s">
        <v>2722</v>
      </c>
      <c r="D24">
        <v>-3</v>
      </c>
    </row>
    <row r="25" spans="1:4" x14ac:dyDescent="0.25">
      <c r="A25" t="s">
        <v>4</v>
      </c>
      <c r="B25" t="s">
        <v>1990</v>
      </c>
      <c r="C25" t="s">
        <v>794</v>
      </c>
      <c r="D25">
        <v>-1</v>
      </c>
    </row>
    <row r="26" spans="1:4" x14ac:dyDescent="0.25">
      <c r="A26" t="s">
        <v>4</v>
      </c>
      <c r="B26" t="s">
        <v>1990</v>
      </c>
      <c r="C26" t="s">
        <v>1438</v>
      </c>
      <c r="D26">
        <v>0</v>
      </c>
    </row>
    <row r="27" spans="1:4" x14ac:dyDescent="0.25">
      <c r="A27" t="s">
        <v>4</v>
      </c>
      <c r="B27" t="s">
        <v>36</v>
      </c>
      <c r="C27" t="s">
        <v>2328</v>
      </c>
      <c r="D27">
        <v>-2</v>
      </c>
    </row>
    <row r="28" spans="1:4" x14ac:dyDescent="0.25">
      <c r="A28" t="s">
        <v>40</v>
      </c>
      <c r="B28" t="s">
        <v>453</v>
      </c>
      <c r="C28" t="s">
        <v>3721</v>
      </c>
      <c r="D28">
        <v>0</v>
      </c>
    </row>
    <row r="29" spans="1:4" x14ac:dyDescent="0.25">
      <c r="A29" t="s">
        <v>40</v>
      </c>
      <c r="B29" t="s">
        <v>1922</v>
      </c>
      <c r="C29" t="s">
        <v>53</v>
      </c>
      <c r="D29">
        <v>-3</v>
      </c>
    </row>
    <row r="30" spans="1:4" x14ac:dyDescent="0.25">
      <c r="A30" t="s">
        <v>40</v>
      </c>
      <c r="B30" t="s">
        <v>1057</v>
      </c>
      <c r="C30" t="s">
        <v>55</v>
      </c>
      <c r="D30">
        <v>-6</v>
      </c>
    </row>
    <row r="31" spans="1:4" x14ac:dyDescent="0.25">
      <c r="A31" t="s">
        <v>40</v>
      </c>
      <c r="B31" t="s">
        <v>51</v>
      </c>
      <c r="C31" t="s">
        <v>57</v>
      </c>
      <c r="D31">
        <v>-4</v>
      </c>
    </row>
    <row r="32" spans="1:4" x14ac:dyDescent="0.25">
      <c r="A32" t="s">
        <v>40</v>
      </c>
      <c r="B32" t="s">
        <v>590</v>
      </c>
      <c r="C32" t="s">
        <v>461</v>
      </c>
      <c r="D32">
        <v>-5</v>
      </c>
    </row>
    <row r="33" spans="1:4" x14ac:dyDescent="0.25">
      <c r="A33" t="s">
        <v>40</v>
      </c>
      <c r="B33" t="s">
        <v>590</v>
      </c>
      <c r="C33" t="s">
        <v>3556</v>
      </c>
      <c r="D33">
        <v>-6</v>
      </c>
    </row>
    <row r="34" spans="1:4" x14ac:dyDescent="0.25">
      <c r="A34" t="s">
        <v>40</v>
      </c>
      <c r="B34" t="s">
        <v>433</v>
      </c>
      <c r="C34" t="s">
        <v>1513</v>
      </c>
      <c r="D34">
        <v>-4</v>
      </c>
    </row>
    <row r="35" spans="1:4" x14ac:dyDescent="0.25">
      <c r="A35" t="s">
        <v>40</v>
      </c>
      <c r="B35" t="s">
        <v>1724</v>
      </c>
      <c r="C35" t="s">
        <v>63</v>
      </c>
      <c r="D35">
        <v>-1</v>
      </c>
    </row>
    <row r="36" spans="1:4" x14ac:dyDescent="0.25">
      <c r="A36" t="s">
        <v>40</v>
      </c>
      <c r="B36" t="s">
        <v>1349</v>
      </c>
      <c r="C36" t="s">
        <v>347</v>
      </c>
      <c r="D36">
        <v>2</v>
      </c>
    </row>
    <row r="37" spans="1:4" x14ac:dyDescent="0.25">
      <c r="A37" t="s">
        <v>40</v>
      </c>
      <c r="B37" t="s">
        <v>661</v>
      </c>
      <c r="C37" t="s">
        <v>4002</v>
      </c>
      <c r="D37">
        <v>0</v>
      </c>
    </row>
    <row r="38" spans="1:4" x14ac:dyDescent="0.25">
      <c r="A38" t="s">
        <v>40</v>
      </c>
      <c r="B38" t="s">
        <v>1436</v>
      </c>
      <c r="C38" t="s">
        <v>1718</v>
      </c>
      <c r="D38">
        <v>-2</v>
      </c>
    </row>
    <row r="39" spans="1:4" x14ac:dyDescent="0.25">
      <c r="A39" t="s">
        <v>40</v>
      </c>
      <c r="B39" t="s">
        <v>845</v>
      </c>
      <c r="C39" t="s">
        <v>1719</v>
      </c>
      <c r="D39">
        <v>-5</v>
      </c>
    </row>
    <row r="40" spans="1:4" x14ac:dyDescent="0.25">
      <c r="A40" t="s">
        <v>40</v>
      </c>
      <c r="B40" t="s">
        <v>290</v>
      </c>
      <c r="C40" t="s">
        <v>1720</v>
      </c>
      <c r="D40">
        <v>-4</v>
      </c>
    </row>
    <row r="41" spans="1:4" x14ac:dyDescent="0.25">
      <c r="A41" t="s">
        <v>40</v>
      </c>
      <c r="B41" t="s">
        <v>290</v>
      </c>
      <c r="C41" t="s">
        <v>2876</v>
      </c>
      <c r="D41">
        <v>-3</v>
      </c>
    </row>
    <row r="42" spans="1:4" x14ac:dyDescent="0.25">
      <c r="A42" t="s">
        <v>40</v>
      </c>
      <c r="B42" t="s">
        <v>709</v>
      </c>
      <c r="C42" t="s">
        <v>1830</v>
      </c>
      <c r="D42">
        <v>-1</v>
      </c>
    </row>
    <row r="43" spans="1:4" x14ac:dyDescent="0.25">
      <c r="A43" t="s">
        <v>40</v>
      </c>
      <c r="B43" t="s">
        <v>1844</v>
      </c>
      <c r="C43" t="s">
        <v>1831</v>
      </c>
      <c r="D43">
        <v>-4</v>
      </c>
    </row>
    <row r="44" spans="1:4" x14ac:dyDescent="0.25">
      <c r="A44" t="s">
        <v>40</v>
      </c>
      <c r="B44" t="s">
        <v>1437</v>
      </c>
      <c r="C44" t="s">
        <v>1761</v>
      </c>
      <c r="D44">
        <v>-1</v>
      </c>
    </row>
    <row r="45" spans="1:4" x14ac:dyDescent="0.25">
      <c r="A45" t="s">
        <v>40</v>
      </c>
      <c r="B45" t="s">
        <v>582</v>
      </c>
      <c r="C45" t="s">
        <v>2134</v>
      </c>
      <c r="D45">
        <v>-2</v>
      </c>
    </row>
    <row r="46" spans="1:4" x14ac:dyDescent="0.25">
      <c r="A46" t="s">
        <v>40</v>
      </c>
      <c r="B46" t="s">
        <v>582</v>
      </c>
      <c r="C46" t="s">
        <v>1521</v>
      </c>
      <c r="D46">
        <v>-3</v>
      </c>
    </row>
    <row r="47" spans="1:4" x14ac:dyDescent="0.25">
      <c r="A47" t="s">
        <v>40</v>
      </c>
      <c r="B47" t="s">
        <v>1874</v>
      </c>
      <c r="C47" t="s">
        <v>1762</v>
      </c>
      <c r="D47">
        <v>-2</v>
      </c>
    </row>
    <row r="48" spans="1:4" x14ac:dyDescent="0.25">
      <c r="A48" t="s">
        <v>40</v>
      </c>
      <c r="B48" t="s">
        <v>537</v>
      </c>
      <c r="C48" t="s">
        <v>3561</v>
      </c>
      <c r="D48">
        <v>-4</v>
      </c>
    </row>
    <row r="49" spans="1:4" x14ac:dyDescent="0.25">
      <c r="A49" t="s">
        <v>40</v>
      </c>
      <c r="B49" t="s">
        <v>38</v>
      </c>
      <c r="C49" t="s">
        <v>249</v>
      </c>
      <c r="D49">
        <v>-3</v>
      </c>
    </row>
    <row r="50" spans="1:4" x14ac:dyDescent="0.25">
      <c r="A50" t="s">
        <v>80</v>
      </c>
      <c r="B50" t="s">
        <v>325</v>
      </c>
      <c r="C50" t="s">
        <v>96</v>
      </c>
      <c r="D50">
        <v>-5</v>
      </c>
    </row>
    <row r="51" spans="1:4" x14ac:dyDescent="0.25">
      <c r="A51" t="s">
        <v>80</v>
      </c>
      <c r="B51" t="s">
        <v>1138</v>
      </c>
      <c r="C51" t="s">
        <v>2877</v>
      </c>
      <c r="D51">
        <v>-2</v>
      </c>
    </row>
    <row r="52" spans="1:4" x14ac:dyDescent="0.25">
      <c r="A52" t="s">
        <v>80</v>
      </c>
      <c r="B52" t="s">
        <v>1244</v>
      </c>
      <c r="C52" t="s">
        <v>1726</v>
      </c>
      <c r="D52">
        <v>-5</v>
      </c>
    </row>
    <row r="53" spans="1:4" x14ac:dyDescent="0.25">
      <c r="A53" t="s">
        <v>80</v>
      </c>
      <c r="B53" t="s">
        <v>400</v>
      </c>
      <c r="C53" t="s">
        <v>1727</v>
      </c>
      <c r="D53">
        <v>-2</v>
      </c>
    </row>
    <row r="54" spans="1:4" x14ac:dyDescent="0.25">
      <c r="A54" t="s">
        <v>80</v>
      </c>
      <c r="B54" t="s">
        <v>275</v>
      </c>
      <c r="C54" t="s">
        <v>3029</v>
      </c>
      <c r="D54">
        <v>1</v>
      </c>
    </row>
    <row r="55" spans="1:4" x14ac:dyDescent="0.25">
      <c r="A55" t="s">
        <v>80</v>
      </c>
      <c r="B55" t="s">
        <v>916</v>
      </c>
      <c r="C55" t="s">
        <v>1835</v>
      </c>
      <c r="D55">
        <v>4</v>
      </c>
    </row>
    <row r="56" spans="1:4" x14ac:dyDescent="0.25">
      <c r="A56" t="s">
        <v>80</v>
      </c>
      <c r="B56" t="s">
        <v>93</v>
      </c>
      <c r="C56" t="s">
        <v>495</v>
      </c>
      <c r="D56">
        <v>5</v>
      </c>
    </row>
    <row r="57" spans="1:4" x14ac:dyDescent="0.25">
      <c r="A57" t="s">
        <v>80</v>
      </c>
      <c r="B57" t="s">
        <v>93</v>
      </c>
      <c r="C57" t="s">
        <v>1837</v>
      </c>
      <c r="D57">
        <v>6</v>
      </c>
    </row>
    <row r="58" spans="1:4" x14ac:dyDescent="0.25">
      <c r="A58" t="s">
        <v>80</v>
      </c>
      <c r="B58" t="s">
        <v>93</v>
      </c>
      <c r="C58" t="s">
        <v>2275</v>
      </c>
      <c r="D58">
        <v>7</v>
      </c>
    </row>
    <row r="59" spans="1:4" x14ac:dyDescent="0.25">
      <c r="A59" t="s">
        <v>80</v>
      </c>
      <c r="B59" t="s">
        <v>872</v>
      </c>
      <c r="C59" t="s">
        <v>2175</v>
      </c>
      <c r="D59">
        <v>6</v>
      </c>
    </row>
    <row r="60" spans="1:4" x14ac:dyDescent="0.25">
      <c r="A60" t="s">
        <v>80</v>
      </c>
      <c r="B60" t="s">
        <v>872</v>
      </c>
      <c r="C60" t="s">
        <v>2176</v>
      </c>
      <c r="D60">
        <v>5</v>
      </c>
    </row>
    <row r="61" spans="1:4" x14ac:dyDescent="0.25">
      <c r="A61" t="s">
        <v>80</v>
      </c>
      <c r="B61" t="s">
        <v>598</v>
      </c>
      <c r="C61" t="s">
        <v>1163</v>
      </c>
      <c r="D61">
        <v>8</v>
      </c>
    </row>
    <row r="62" spans="1:4" x14ac:dyDescent="0.25">
      <c r="A62" t="s">
        <v>80</v>
      </c>
      <c r="B62" t="s">
        <v>374</v>
      </c>
      <c r="C62" t="s">
        <v>1164</v>
      </c>
      <c r="D62">
        <v>6</v>
      </c>
    </row>
    <row r="63" spans="1:4" x14ac:dyDescent="0.25">
      <c r="A63" t="s">
        <v>80</v>
      </c>
      <c r="B63" t="s">
        <v>1638</v>
      </c>
      <c r="C63" t="s">
        <v>500</v>
      </c>
      <c r="D63">
        <v>5</v>
      </c>
    </row>
    <row r="64" spans="1:4" x14ac:dyDescent="0.25">
      <c r="A64" t="s">
        <v>80</v>
      </c>
      <c r="B64" t="s">
        <v>1638</v>
      </c>
      <c r="C64" t="s">
        <v>2179</v>
      </c>
      <c r="D64">
        <v>4</v>
      </c>
    </row>
    <row r="65" spans="1:4" x14ac:dyDescent="0.25">
      <c r="A65" t="s">
        <v>80</v>
      </c>
      <c r="B65" t="s">
        <v>2112</v>
      </c>
      <c r="C65" t="s">
        <v>2533</v>
      </c>
      <c r="D65">
        <v>1</v>
      </c>
    </row>
    <row r="66" spans="1:4" x14ac:dyDescent="0.25">
      <c r="A66" t="s">
        <v>80</v>
      </c>
      <c r="B66" t="s">
        <v>581</v>
      </c>
      <c r="C66" t="s">
        <v>2231</v>
      </c>
      <c r="D66">
        <v>-2</v>
      </c>
    </row>
    <row r="67" spans="1:4" x14ac:dyDescent="0.25">
      <c r="A67" t="s">
        <v>80</v>
      </c>
      <c r="B67" t="s">
        <v>552</v>
      </c>
      <c r="C67" t="s">
        <v>2498</v>
      </c>
      <c r="D67">
        <v>0</v>
      </c>
    </row>
    <row r="68" spans="1:4" x14ac:dyDescent="0.25">
      <c r="A68" t="s">
        <v>80</v>
      </c>
      <c r="B68" t="s">
        <v>296</v>
      </c>
      <c r="C68" t="s">
        <v>2235</v>
      </c>
      <c r="D68">
        <v>-3</v>
      </c>
    </row>
    <row r="69" spans="1:4" x14ac:dyDescent="0.25">
      <c r="A69" t="s">
        <v>80</v>
      </c>
      <c r="B69" t="s">
        <v>1180</v>
      </c>
      <c r="C69" t="s">
        <v>2499</v>
      </c>
      <c r="D69">
        <v>-1</v>
      </c>
    </row>
    <row r="70" spans="1:4" x14ac:dyDescent="0.25">
      <c r="A70" t="s">
        <v>80</v>
      </c>
      <c r="B70" t="s">
        <v>38</v>
      </c>
      <c r="C70" t="s">
        <v>2342</v>
      </c>
      <c r="D70">
        <v>0</v>
      </c>
    </row>
    <row r="71" spans="1:4" x14ac:dyDescent="0.25">
      <c r="A71" t="s">
        <v>80</v>
      </c>
      <c r="B71" t="s">
        <v>38</v>
      </c>
      <c r="C71" t="s">
        <v>4284</v>
      </c>
      <c r="D71">
        <v>1</v>
      </c>
    </row>
    <row r="72" spans="1:4" x14ac:dyDescent="0.25">
      <c r="A72" t="s">
        <v>80</v>
      </c>
      <c r="B72" t="s">
        <v>817</v>
      </c>
      <c r="C72" t="s">
        <v>2555</v>
      </c>
      <c r="D72">
        <v>4</v>
      </c>
    </row>
    <row r="73" spans="1:4" x14ac:dyDescent="0.25">
      <c r="A73" t="s">
        <v>123</v>
      </c>
      <c r="B73" t="s">
        <v>1192</v>
      </c>
      <c r="C73" t="s">
        <v>2604</v>
      </c>
      <c r="D73">
        <v>2</v>
      </c>
    </row>
    <row r="74" spans="1:4" x14ac:dyDescent="0.25">
      <c r="A74" t="s">
        <v>123</v>
      </c>
      <c r="B74" t="s">
        <v>724</v>
      </c>
      <c r="C74" t="s">
        <v>516</v>
      </c>
      <c r="D74">
        <v>-1</v>
      </c>
    </row>
    <row r="75" spans="1:4" x14ac:dyDescent="0.25">
      <c r="A75" t="s">
        <v>123</v>
      </c>
      <c r="B75" t="s">
        <v>1742</v>
      </c>
      <c r="C75" t="s">
        <v>3034</v>
      </c>
      <c r="D75">
        <v>-2</v>
      </c>
    </row>
    <row r="76" spans="1:4" x14ac:dyDescent="0.25">
      <c r="A76" t="s">
        <v>123</v>
      </c>
      <c r="B76" t="s">
        <v>135</v>
      </c>
      <c r="C76" t="s">
        <v>658</v>
      </c>
      <c r="D76">
        <v>-1</v>
      </c>
    </row>
    <row r="77" spans="1:4" x14ac:dyDescent="0.25">
      <c r="A77" t="s">
        <v>123</v>
      </c>
      <c r="B77" t="s">
        <v>2154</v>
      </c>
      <c r="C77" t="s">
        <v>853</v>
      </c>
      <c r="D77">
        <v>-4</v>
      </c>
    </row>
    <row r="78" spans="1:4" x14ac:dyDescent="0.25">
      <c r="A78" t="s">
        <v>123</v>
      </c>
      <c r="B78" t="s">
        <v>221</v>
      </c>
      <c r="C78" t="s">
        <v>2344</v>
      </c>
      <c r="D78">
        <v>-3</v>
      </c>
    </row>
    <row r="79" spans="1:4" x14ac:dyDescent="0.25">
      <c r="A79" t="s">
        <v>123</v>
      </c>
      <c r="B79" t="s">
        <v>221</v>
      </c>
      <c r="C79" t="s">
        <v>522</v>
      </c>
      <c r="D79">
        <v>-2</v>
      </c>
    </row>
    <row r="80" spans="1:4" x14ac:dyDescent="0.25">
      <c r="A80" t="s">
        <v>123</v>
      </c>
      <c r="B80" t="s">
        <v>221</v>
      </c>
      <c r="C80" t="s">
        <v>2244</v>
      </c>
      <c r="D80">
        <v>-1</v>
      </c>
    </row>
    <row r="81" spans="1:4" x14ac:dyDescent="0.25">
      <c r="A81" t="s">
        <v>123</v>
      </c>
      <c r="B81" t="s">
        <v>285</v>
      </c>
      <c r="C81" t="s">
        <v>2502</v>
      </c>
      <c r="D81">
        <v>-3</v>
      </c>
    </row>
    <row r="82" spans="1:4" x14ac:dyDescent="0.25">
      <c r="A82" t="s">
        <v>123</v>
      </c>
      <c r="B82" t="s">
        <v>196</v>
      </c>
      <c r="C82" t="s">
        <v>2503</v>
      </c>
      <c r="D82">
        <v>-5</v>
      </c>
    </row>
    <row r="83" spans="1:4" x14ac:dyDescent="0.25">
      <c r="A83" t="s">
        <v>123</v>
      </c>
      <c r="B83" t="s">
        <v>898</v>
      </c>
      <c r="C83" t="s">
        <v>4334</v>
      </c>
      <c r="D83">
        <v>-8</v>
      </c>
    </row>
    <row r="84" spans="1:4" x14ac:dyDescent="0.25">
      <c r="A84" t="s">
        <v>123</v>
      </c>
      <c r="B84" t="s">
        <v>552</v>
      </c>
      <c r="C84" t="s">
        <v>3542</v>
      </c>
      <c r="D84">
        <v>-9</v>
      </c>
    </row>
    <row r="85" spans="1:4" x14ac:dyDescent="0.25">
      <c r="A85" t="s">
        <v>123</v>
      </c>
      <c r="B85" t="s">
        <v>552</v>
      </c>
      <c r="C85" t="s">
        <v>153</v>
      </c>
      <c r="D85">
        <v>-10</v>
      </c>
    </row>
    <row r="86" spans="1:4" x14ac:dyDescent="0.25">
      <c r="A86" t="s">
        <v>123</v>
      </c>
      <c r="B86" t="s">
        <v>296</v>
      </c>
      <c r="C86" t="s">
        <v>155</v>
      </c>
      <c r="D86">
        <v>-11</v>
      </c>
    </row>
    <row r="87" spans="1:4" x14ac:dyDescent="0.25">
      <c r="A87" t="s">
        <v>123</v>
      </c>
      <c r="B87" t="s">
        <v>1206</v>
      </c>
      <c r="C87" t="s">
        <v>156</v>
      </c>
      <c r="D87">
        <v>-12</v>
      </c>
    </row>
    <row r="88" spans="1:4" x14ac:dyDescent="0.25">
      <c r="A88" t="s">
        <v>123</v>
      </c>
      <c r="B88" t="s">
        <v>1206</v>
      </c>
      <c r="C88" t="s">
        <v>1555</v>
      </c>
      <c r="D88">
        <v>-13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-1.2528735632183907</v>
      </c>
    </row>
    <row r="92" spans="1:4" x14ac:dyDescent="0.25">
      <c r="A92" t="s">
        <v>159</v>
      </c>
      <c r="D92">
        <f>MAX(D2:D88)</f>
        <v>8</v>
      </c>
    </row>
    <row r="93" spans="1:4" x14ac:dyDescent="0.25">
      <c r="A93" t="s">
        <v>160</v>
      </c>
      <c r="D93">
        <f>MIN(D2:D88)</f>
        <v>-13</v>
      </c>
    </row>
    <row r="94" spans="1:4" x14ac:dyDescent="0.25">
      <c r="A94" t="s">
        <v>161</v>
      </c>
      <c r="D94">
        <f>COUNTIF(D2:D88,"&gt;0")</f>
        <v>24</v>
      </c>
    </row>
    <row r="95" spans="1:4" x14ac:dyDescent="0.25">
      <c r="A95" t="s">
        <v>162</v>
      </c>
      <c r="D95">
        <f>COUNTIF(D2:D88,"=0")</f>
        <v>8</v>
      </c>
    </row>
    <row r="96" spans="1:4" x14ac:dyDescent="0.25">
      <c r="A96" t="s">
        <v>561</v>
      </c>
      <c r="D96">
        <f>COUNTIF(D2:D88,"&lt;0")</f>
        <v>55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AVERAGE(D2,D3,D4,D5,D6,D7,D8,D9,D10,D11,D12,D13,D14,D15,D16,D17,D18,D19,D20,D21,D22,D23,D24,D25,D26,D27)</f>
        <v>-0.30769230769230771</v>
      </c>
    </row>
    <row r="100" spans="1:4" x14ac:dyDescent="0.25">
      <c r="A100" t="s">
        <v>166</v>
      </c>
      <c r="D100">
        <f>AVERAGE(D28,D29,D30,D31,D32,D33,D34,D35,D36,D37,D38,D39,D40,D41,D42,D43,D44,D45,D46,D47,D48,D49)</f>
        <v>-2.7727272727272729</v>
      </c>
    </row>
    <row r="101" spans="1:4" x14ac:dyDescent="0.25">
      <c r="A101" t="s">
        <v>167</v>
      </c>
      <c r="D101">
        <f>AVERAGE(D50,D51,D52,D53,D54,D55,D56,D57,D58,D59,D60,D61,D62,D63,D64,D65,D66,D67,D68,D69,D70,D71,D72)</f>
        <v>1.8695652173913044</v>
      </c>
    </row>
    <row r="102" spans="1:4" x14ac:dyDescent="0.25">
      <c r="A102" t="s">
        <v>168</v>
      </c>
      <c r="D102">
        <f>AVERAGE(D73,D74,D75,D76,D77,D78,D79,D80,D81,D82,D83,D84,D85,D86,D87,D88)</f>
        <v>-5.1875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1524</v>
      </c>
      <c r="C2" t="s">
        <v>908</v>
      </c>
      <c r="D2">
        <v>-2</v>
      </c>
    </row>
    <row r="3" spans="1:4" x14ac:dyDescent="0.25">
      <c r="A3" t="s">
        <v>4</v>
      </c>
      <c r="B3" t="s">
        <v>1009</v>
      </c>
      <c r="C3" t="s">
        <v>8</v>
      </c>
      <c r="D3">
        <v>0</v>
      </c>
    </row>
    <row r="4" spans="1:4" x14ac:dyDescent="0.25">
      <c r="A4" t="s">
        <v>4</v>
      </c>
      <c r="B4" t="s">
        <v>47</v>
      </c>
      <c r="C4" t="s">
        <v>1347</v>
      </c>
      <c r="D4">
        <v>3</v>
      </c>
    </row>
    <row r="5" spans="1:4" x14ac:dyDescent="0.25">
      <c r="A5" t="s">
        <v>4</v>
      </c>
      <c r="B5" t="s">
        <v>398</v>
      </c>
      <c r="C5" t="s">
        <v>1972</v>
      </c>
      <c r="D5">
        <v>6</v>
      </c>
    </row>
    <row r="6" spans="1:4" x14ac:dyDescent="0.25">
      <c r="A6" t="s">
        <v>4</v>
      </c>
      <c r="B6" t="s">
        <v>87</v>
      </c>
      <c r="C6" t="s">
        <v>695</v>
      </c>
      <c r="D6">
        <v>3</v>
      </c>
    </row>
    <row r="7" spans="1:4" x14ac:dyDescent="0.25">
      <c r="A7" t="s">
        <v>4</v>
      </c>
      <c r="B7" t="s">
        <v>1325</v>
      </c>
      <c r="C7" t="s">
        <v>696</v>
      </c>
      <c r="D7">
        <v>1</v>
      </c>
    </row>
    <row r="8" spans="1:4" x14ac:dyDescent="0.25">
      <c r="A8" t="s">
        <v>4</v>
      </c>
      <c r="B8" t="s">
        <v>179</v>
      </c>
      <c r="C8" t="s">
        <v>697</v>
      </c>
      <c r="D8">
        <v>-1</v>
      </c>
    </row>
    <row r="9" spans="1:4" x14ac:dyDescent="0.25">
      <c r="A9" t="s">
        <v>4</v>
      </c>
      <c r="B9" t="s">
        <v>1065</v>
      </c>
      <c r="C9" t="s">
        <v>571</v>
      </c>
      <c r="D9">
        <v>0</v>
      </c>
    </row>
    <row r="10" spans="1:4" x14ac:dyDescent="0.25">
      <c r="A10" t="s">
        <v>4</v>
      </c>
      <c r="B10" t="s">
        <v>870</v>
      </c>
      <c r="C10" t="s">
        <v>1744</v>
      </c>
      <c r="D10">
        <v>-2</v>
      </c>
    </row>
    <row r="11" spans="1:4" x14ac:dyDescent="0.25">
      <c r="A11" t="s">
        <v>4</v>
      </c>
      <c r="B11" t="s">
        <v>1288</v>
      </c>
      <c r="C11" t="s">
        <v>574</v>
      </c>
      <c r="D11">
        <v>0</v>
      </c>
    </row>
    <row r="12" spans="1:4" x14ac:dyDescent="0.25">
      <c r="A12" t="s">
        <v>4</v>
      </c>
      <c r="B12" t="s">
        <v>541</v>
      </c>
      <c r="C12" t="s">
        <v>441</v>
      </c>
      <c r="D12">
        <v>-2</v>
      </c>
    </row>
    <row r="13" spans="1:4" x14ac:dyDescent="0.25">
      <c r="A13" t="s">
        <v>4</v>
      </c>
      <c r="B13" t="s">
        <v>1198</v>
      </c>
      <c r="C13" t="s">
        <v>2326</v>
      </c>
      <c r="D13">
        <v>-3</v>
      </c>
    </row>
    <row r="14" spans="1:4" x14ac:dyDescent="0.25">
      <c r="A14" t="s">
        <v>4</v>
      </c>
      <c r="B14" t="s">
        <v>1198</v>
      </c>
      <c r="C14" t="s">
        <v>576</v>
      </c>
      <c r="D14">
        <v>-4</v>
      </c>
    </row>
    <row r="15" spans="1:4" x14ac:dyDescent="0.25">
      <c r="A15" t="s">
        <v>4</v>
      </c>
      <c r="B15" t="s">
        <v>2120</v>
      </c>
      <c r="C15" t="s">
        <v>35</v>
      </c>
      <c r="D15">
        <v>-1</v>
      </c>
    </row>
    <row r="16" spans="1:4" x14ac:dyDescent="0.25">
      <c r="A16" t="s">
        <v>4</v>
      </c>
      <c r="B16" t="s">
        <v>114</v>
      </c>
      <c r="C16" t="s">
        <v>446</v>
      </c>
      <c r="D16">
        <v>1</v>
      </c>
    </row>
    <row r="17" spans="1:4" x14ac:dyDescent="0.25">
      <c r="A17" t="s">
        <v>4</v>
      </c>
      <c r="B17" t="s">
        <v>475</v>
      </c>
      <c r="C17" t="s">
        <v>447</v>
      </c>
      <c r="D17">
        <v>-1</v>
      </c>
    </row>
    <row r="18" spans="1:4" x14ac:dyDescent="0.25">
      <c r="A18" t="s">
        <v>4</v>
      </c>
      <c r="B18" t="s">
        <v>529</v>
      </c>
      <c r="C18" t="s">
        <v>2122</v>
      </c>
      <c r="D18">
        <v>1</v>
      </c>
    </row>
    <row r="19" spans="1:4" x14ac:dyDescent="0.25">
      <c r="A19" t="s">
        <v>4</v>
      </c>
      <c r="B19" t="s">
        <v>344</v>
      </c>
      <c r="C19" t="s">
        <v>2480</v>
      </c>
      <c r="D19">
        <v>4</v>
      </c>
    </row>
    <row r="20" spans="1:4" x14ac:dyDescent="0.25">
      <c r="A20" t="s">
        <v>4</v>
      </c>
      <c r="B20" t="s">
        <v>1206</v>
      </c>
      <c r="C20" t="s">
        <v>711</v>
      </c>
      <c r="D20">
        <v>1</v>
      </c>
    </row>
    <row r="21" spans="1:4" x14ac:dyDescent="0.25">
      <c r="A21" t="s">
        <v>4</v>
      </c>
      <c r="B21" t="s">
        <v>930</v>
      </c>
      <c r="C21" t="s">
        <v>712</v>
      </c>
      <c r="D21">
        <v>3</v>
      </c>
    </row>
    <row r="22" spans="1:4" x14ac:dyDescent="0.25">
      <c r="A22" t="s">
        <v>40</v>
      </c>
      <c r="B22" t="s">
        <v>239</v>
      </c>
      <c r="C22" t="s">
        <v>713</v>
      </c>
      <c r="D22">
        <v>5</v>
      </c>
    </row>
    <row r="23" spans="1:4" x14ac:dyDescent="0.25">
      <c r="A23" t="s">
        <v>40</v>
      </c>
      <c r="B23" t="s">
        <v>130</v>
      </c>
      <c r="C23" t="s">
        <v>926</v>
      </c>
      <c r="D23">
        <v>3</v>
      </c>
    </row>
    <row r="24" spans="1:4" x14ac:dyDescent="0.25">
      <c r="A24" t="s">
        <v>40</v>
      </c>
      <c r="B24" t="s">
        <v>130</v>
      </c>
      <c r="C24" t="s">
        <v>1440</v>
      </c>
      <c r="D24">
        <v>2</v>
      </c>
    </row>
    <row r="25" spans="1:4" x14ac:dyDescent="0.25">
      <c r="A25" t="s">
        <v>40</v>
      </c>
      <c r="B25" t="s">
        <v>85</v>
      </c>
      <c r="C25" t="s">
        <v>593</v>
      </c>
      <c r="D25">
        <v>-1</v>
      </c>
    </row>
    <row r="26" spans="1:4" x14ac:dyDescent="0.25">
      <c r="A26" t="s">
        <v>40</v>
      </c>
      <c r="B26" t="s">
        <v>916</v>
      </c>
      <c r="C26" t="s">
        <v>1753</v>
      </c>
      <c r="D26">
        <v>2</v>
      </c>
    </row>
    <row r="27" spans="1:4" x14ac:dyDescent="0.25">
      <c r="A27" t="s">
        <v>40</v>
      </c>
      <c r="B27" t="s">
        <v>2080</v>
      </c>
      <c r="C27" t="s">
        <v>342</v>
      </c>
      <c r="D27">
        <v>0</v>
      </c>
    </row>
    <row r="28" spans="1:4" x14ac:dyDescent="0.25">
      <c r="A28" t="s">
        <v>40</v>
      </c>
      <c r="B28" t="s">
        <v>312</v>
      </c>
      <c r="C28" t="s">
        <v>463</v>
      </c>
      <c r="D28">
        <v>-2</v>
      </c>
    </row>
    <row r="29" spans="1:4" x14ac:dyDescent="0.25">
      <c r="A29" t="s">
        <v>40</v>
      </c>
      <c r="B29" t="s">
        <v>807</v>
      </c>
      <c r="C29" t="s">
        <v>2126</v>
      </c>
      <c r="D29">
        <v>-4</v>
      </c>
    </row>
    <row r="30" spans="1:4" x14ac:dyDescent="0.25">
      <c r="A30" t="s">
        <v>40</v>
      </c>
      <c r="B30" t="s">
        <v>106</v>
      </c>
      <c r="C30" t="s">
        <v>65</v>
      </c>
      <c r="D30">
        <v>-2</v>
      </c>
    </row>
    <row r="31" spans="1:4" x14ac:dyDescent="0.25">
      <c r="A31" t="s">
        <v>40</v>
      </c>
      <c r="B31" t="s">
        <v>317</v>
      </c>
      <c r="C31" t="s">
        <v>1133</v>
      </c>
      <c r="D31">
        <v>1</v>
      </c>
    </row>
    <row r="32" spans="1:4" x14ac:dyDescent="0.25">
      <c r="A32" t="s">
        <v>40</v>
      </c>
      <c r="B32" t="s">
        <v>1127</v>
      </c>
      <c r="C32" t="s">
        <v>1718</v>
      </c>
      <c r="D32">
        <v>-2</v>
      </c>
    </row>
    <row r="33" spans="1:4" x14ac:dyDescent="0.25">
      <c r="A33" t="s">
        <v>40</v>
      </c>
      <c r="B33" t="s">
        <v>292</v>
      </c>
      <c r="C33" t="s">
        <v>354</v>
      </c>
      <c r="D33">
        <v>1</v>
      </c>
    </row>
    <row r="34" spans="1:4" x14ac:dyDescent="0.25">
      <c r="A34" t="s">
        <v>40</v>
      </c>
      <c r="B34" t="s">
        <v>1076</v>
      </c>
      <c r="C34" t="s">
        <v>1219</v>
      </c>
      <c r="D34">
        <v>4</v>
      </c>
    </row>
    <row r="35" spans="1:4" x14ac:dyDescent="0.25">
      <c r="A35" t="s">
        <v>40</v>
      </c>
      <c r="B35" t="s">
        <v>550</v>
      </c>
      <c r="C35" t="s">
        <v>1220</v>
      </c>
      <c r="D35">
        <v>2</v>
      </c>
    </row>
    <row r="36" spans="1:4" x14ac:dyDescent="0.25">
      <c r="A36" t="s">
        <v>40</v>
      </c>
      <c r="B36" t="s">
        <v>550</v>
      </c>
      <c r="C36" t="s">
        <v>358</v>
      </c>
      <c r="D36">
        <v>1</v>
      </c>
    </row>
    <row r="37" spans="1:4" x14ac:dyDescent="0.25">
      <c r="A37" t="s">
        <v>40</v>
      </c>
      <c r="B37" t="s">
        <v>1437</v>
      </c>
      <c r="C37" t="s">
        <v>1759</v>
      </c>
      <c r="D37">
        <v>2</v>
      </c>
    </row>
    <row r="38" spans="1:4" x14ac:dyDescent="0.25">
      <c r="A38" t="s">
        <v>40</v>
      </c>
      <c r="B38" t="s">
        <v>1988</v>
      </c>
      <c r="C38" t="s">
        <v>733</v>
      </c>
      <c r="D38">
        <v>0</v>
      </c>
    </row>
    <row r="39" spans="1:4" x14ac:dyDescent="0.25">
      <c r="A39" t="s">
        <v>40</v>
      </c>
      <c r="B39" t="s">
        <v>675</v>
      </c>
      <c r="C39" t="s">
        <v>362</v>
      </c>
      <c r="D39">
        <v>1</v>
      </c>
    </row>
    <row r="40" spans="1:4" x14ac:dyDescent="0.25">
      <c r="A40" t="s">
        <v>40</v>
      </c>
      <c r="B40" t="s">
        <v>675</v>
      </c>
      <c r="C40" t="s">
        <v>734</v>
      </c>
      <c r="D40">
        <v>2</v>
      </c>
    </row>
    <row r="41" spans="1:4" x14ac:dyDescent="0.25">
      <c r="A41" t="s">
        <v>40</v>
      </c>
      <c r="B41" t="s">
        <v>301</v>
      </c>
      <c r="C41" t="s">
        <v>735</v>
      </c>
      <c r="D41">
        <v>3</v>
      </c>
    </row>
    <row r="42" spans="1:4" x14ac:dyDescent="0.25">
      <c r="A42" t="s">
        <v>40</v>
      </c>
      <c r="B42" t="s">
        <v>301</v>
      </c>
      <c r="C42" t="s">
        <v>2547</v>
      </c>
      <c r="D42">
        <v>4</v>
      </c>
    </row>
    <row r="43" spans="1:4" x14ac:dyDescent="0.25">
      <c r="A43" t="s">
        <v>40</v>
      </c>
      <c r="B43" t="s">
        <v>396</v>
      </c>
      <c r="C43" t="s">
        <v>365</v>
      </c>
      <c r="D43">
        <v>2</v>
      </c>
    </row>
    <row r="44" spans="1:4" x14ac:dyDescent="0.25">
      <c r="A44" t="s">
        <v>80</v>
      </c>
      <c r="B44" t="s">
        <v>1057</v>
      </c>
      <c r="C44" t="s">
        <v>367</v>
      </c>
      <c r="D44">
        <v>0</v>
      </c>
    </row>
    <row r="45" spans="1:4" x14ac:dyDescent="0.25">
      <c r="A45" t="s">
        <v>80</v>
      </c>
      <c r="B45" t="s">
        <v>2405</v>
      </c>
      <c r="C45" t="s">
        <v>369</v>
      </c>
      <c r="D45">
        <v>3</v>
      </c>
    </row>
    <row r="46" spans="1:4" x14ac:dyDescent="0.25">
      <c r="A46" t="s">
        <v>80</v>
      </c>
      <c r="B46" t="s">
        <v>862</v>
      </c>
      <c r="C46" t="s">
        <v>3975</v>
      </c>
      <c r="D46">
        <v>0</v>
      </c>
    </row>
    <row r="47" spans="1:4" x14ac:dyDescent="0.25">
      <c r="A47" t="s">
        <v>80</v>
      </c>
      <c r="B47" t="s">
        <v>643</v>
      </c>
      <c r="C47" t="s">
        <v>4192</v>
      </c>
      <c r="D47">
        <v>3</v>
      </c>
    </row>
    <row r="48" spans="1:4" x14ac:dyDescent="0.25">
      <c r="A48" t="s">
        <v>80</v>
      </c>
      <c r="B48" t="s">
        <v>56</v>
      </c>
      <c r="C48" t="s">
        <v>3440</v>
      </c>
      <c r="D48">
        <v>5</v>
      </c>
    </row>
    <row r="49" spans="1:4" x14ac:dyDescent="0.25">
      <c r="A49" t="s">
        <v>80</v>
      </c>
      <c r="B49" t="s">
        <v>654</v>
      </c>
      <c r="C49" t="s">
        <v>2727</v>
      </c>
      <c r="D49">
        <v>4</v>
      </c>
    </row>
    <row r="50" spans="1:4" x14ac:dyDescent="0.25">
      <c r="A50" t="s">
        <v>80</v>
      </c>
      <c r="B50" t="s">
        <v>654</v>
      </c>
      <c r="C50" t="s">
        <v>2174</v>
      </c>
      <c r="D50">
        <v>3</v>
      </c>
    </row>
    <row r="51" spans="1:4" x14ac:dyDescent="0.25">
      <c r="A51" t="s">
        <v>80</v>
      </c>
      <c r="B51" t="s">
        <v>1819</v>
      </c>
      <c r="C51" t="s">
        <v>379</v>
      </c>
      <c r="D51">
        <v>1</v>
      </c>
    </row>
    <row r="52" spans="1:4" x14ac:dyDescent="0.25">
      <c r="A52" t="s">
        <v>80</v>
      </c>
      <c r="B52" t="s">
        <v>701</v>
      </c>
      <c r="C52" t="s">
        <v>381</v>
      </c>
      <c r="D52">
        <v>-1</v>
      </c>
    </row>
    <row r="53" spans="1:4" x14ac:dyDescent="0.25">
      <c r="A53" t="s">
        <v>80</v>
      </c>
      <c r="B53" t="s">
        <v>467</v>
      </c>
      <c r="C53" t="s">
        <v>2448</v>
      </c>
      <c r="D53">
        <v>0</v>
      </c>
    </row>
    <row r="54" spans="1:4" x14ac:dyDescent="0.25">
      <c r="A54" t="s">
        <v>80</v>
      </c>
      <c r="B54" t="s">
        <v>607</v>
      </c>
      <c r="C54" t="s">
        <v>2228</v>
      </c>
      <c r="D54">
        <v>-2</v>
      </c>
    </row>
    <row r="55" spans="1:4" x14ac:dyDescent="0.25">
      <c r="A55" t="s">
        <v>80</v>
      </c>
      <c r="B55" t="s">
        <v>2048</v>
      </c>
      <c r="C55" t="s">
        <v>752</v>
      </c>
      <c r="D55">
        <v>1</v>
      </c>
    </row>
    <row r="56" spans="1:4" x14ac:dyDescent="0.25">
      <c r="A56" t="s">
        <v>80</v>
      </c>
      <c r="B56" t="s">
        <v>120</v>
      </c>
      <c r="C56" t="s">
        <v>753</v>
      </c>
      <c r="D56">
        <v>-1</v>
      </c>
    </row>
    <row r="57" spans="1:4" x14ac:dyDescent="0.25">
      <c r="A57" t="s">
        <v>80</v>
      </c>
      <c r="B57" t="s">
        <v>120</v>
      </c>
      <c r="C57" t="s">
        <v>754</v>
      </c>
      <c r="D57">
        <v>-2</v>
      </c>
    </row>
    <row r="58" spans="1:4" x14ac:dyDescent="0.25">
      <c r="A58" t="s">
        <v>80</v>
      </c>
      <c r="B58" t="s">
        <v>582</v>
      </c>
      <c r="C58" t="s">
        <v>121</v>
      </c>
      <c r="D58">
        <v>-4</v>
      </c>
    </row>
    <row r="59" spans="1:4" x14ac:dyDescent="0.25">
      <c r="A59" t="s">
        <v>80</v>
      </c>
      <c r="B59" t="s">
        <v>559</v>
      </c>
      <c r="C59" t="s">
        <v>122</v>
      </c>
      <c r="D59">
        <v>-6</v>
      </c>
    </row>
    <row r="60" spans="1:4" x14ac:dyDescent="0.25">
      <c r="A60" t="s">
        <v>123</v>
      </c>
      <c r="B60" t="s">
        <v>2052</v>
      </c>
      <c r="C60" t="s">
        <v>2613</v>
      </c>
      <c r="D60">
        <v>-7</v>
      </c>
    </row>
    <row r="61" spans="1:4" x14ac:dyDescent="0.25">
      <c r="A61" t="s">
        <v>123</v>
      </c>
      <c r="B61" t="s">
        <v>2052</v>
      </c>
      <c r="C61" t="s">
        <v>2767</v>
      </c>
      <c r="D61">
        <v>-8</v>
      </c>
    </row>
    <row r="62" spans="1:4" x14ac:dyDescent="0.25">
      <c r="A62" t="s">
        <v>123</v>
      </c>
      <c r="B62" t="s">
        <v>932</v>
      </c>
      <c r="C62" t="s">
        <v>279</v>
      </c>
      <c r="D62">
        <v>-5</v>
      </c>
    </row>
    <row r="63" spans="1:4" x14ac:dyDescent="0.25">
      <c r="A63" t="s">
        <v>123</v>
      </c>
      <c r="B63" t="s">
        <v>1010</v>
      </c>
      <c r="C63" t="s">
        <v>3539</v>
      </c>
      <c r="D63">
        <v>-2</v>
      </c>
    </row>
    <row r="64" spans="1:4" x14ac:dyDescent="0.25">
      <c r="A64" t="s">
        <v>123</v>
      </c>
      <c r="B64" t="s">
        <v>211</v>
      </c>
      <c r="C64" t="s">
        <v>2768</v>
      </c>
      <c r="D64">
        <v>-4</v>
      </c>
    </row>
    <row r="65" spans="1:4" x14ac:dyDescent="0.25">
      <c r="A65" t="s">
        <v>123</v>
      </c>
      <c r="B65" t="s">
        <v>514</v>
      </c>
      <c r="C65" t="s">
        <v>3085</v>
      </c>
      <c r="D65">
        <v>-2</v>
      </c>
    </row>
    <row r="66" spans="1:4" x14ac:dyDescent="0.25">
      <c r="A66" t="s">
        <v>123</v>
      </c>
      <c r="B66" t="s">
        <v>1529</v>
      </c>
      <c r="C66" t="s">
        <v>3086</v>
      </c>
      <c r="D66">
        <v>0</v>
      </c>
    </row>
    <row r="67" spans="1:4" x14ac:dyDescent="0.25">
      <c r="A67" t="s">
        <v>123</v>
      </c>
      <c r="B67" t="s">
        <v>832</v>
      </c>
      <c r="C67" t="s">
        <v>2314</v>
      </c>
      <c r="D67">
        <v>-2</v>
      </c>
    </row>
    <row r="68" spans="1:4" x14ac:dyDescent="0.25">
      <c r="A68" t="s">
        <v>123</v>
      </c>
      <c r="B68" t="s">
        <v>259</v>
      </c>
      <c r="C68" t="s">
        <v>2315</v>
      </c>
      <c r="D68">
        <v>-5</v>
      </c>
    </row>
    <row r="69" spans="1:4" x14ac:dyDescent="0.25">
      <c r="A69" t="s">
        <v>123</v>
      </c>
      <c r="B69" t="s">
        <v>19</v>
      </c>
      <c r="C69" t="s">
        <v>851</v>
      </c>
      <c r="D69">
        <v>-3</v>
      </c>
    </row>
    <row r="70" spans="1:4" x14ac:dyDescent="0.25">
      <c r="A70" t="s">
        <v>123</v>
      </c>
      <c r="B70" t="s">
        <v>370</v>
      </c>
      <c r="C70" t="s">
        <v>3540</v>
      </c>
      <c r="D70">
        <v>-5</v>
      </c>
    </row>
    <row r="71" spans="1:4" x14ac:dyDescent="0.25">
      <c r="A71" t="s">
        <v>123</v>
      </c>
      <c r="B71" t="s">
        <v>762</v>
      </c>
      <c r="C71" t="s">
        <v>143</v>
      </c>
      <c r="D71">
        <v>-7</v>
      </c>
    </row>
    <row r="72" spans="1:4" x14ac:dyDescent="0.25">
      <c r="A72" t="s">
        <v>123</v>
      </c>
      <c r="B72" t="s">
        <v>663</v>
      </c>
      <c r="C72" t="s">
        <v>4335</v>
      </c>
      <c r="D72">
        <v>-6</v>
      </c>
    </row>
    <row r="73" spans="1:4" x14ac:dyDescent="0.25">
      <c r="A73" t="s">
        <v>123</v>
      </c>
      <c r="B73" t="s">
        <v>663</v>
      </c>
      <c r="C73" t="s">
        <v>3566</v>
      </c>
      <c r="D73">
        <v>-5</v>
      </c>
    </row>
    <row r="74" spans="1:4" x14ac:dyDescent="0.25">
      <c r="A74" t="s">
        <v>123</v>
      </c>
      <c r="B74" t="s">
        <v>23</v>
      </c>
      <c r="C74" t="s">
        <v>3457</v>
      </c>
      <c r="D74">
        <v>-4</v>
      </c>
    </row>
    <row r="75" spans="1:4" x14ac:dyDescent="0.25">
      <c r="A75" t="s">
        <v>123</v>
      </c>
      <c r="B75" t="s">
        <v>23</v>
      </c>
      <c r="C75" t="s">
        <v>523</v>
      </c>
      <c r="D75">
        <v>-3</v>
      </c>
    </row>
    <row r="76" spans="1:4" x14ac:dyDescent="0.25">
      <c r="A76" t="s">
        <v>123</v>
      </c>
      <c r="B76" t="s">
        <v>114</v>
      </c>
      <c r="C76" t="s">
        <v>526</v>
      </c>
      <c r="D76">
        <v>-1</v>
      </c>
    </row>
    <row r="77" spans="1:4" x14ac:dyDescent="0.25">
      <c r="A77" t="s">
        <v>123</v>
      </c>
      <c r="B77" t="s">
        <v>2317</v>
      </c>
      <c r="C77" t="s">
        <v>3998</v>
      </c>
      <c r="D77">
        <v>1</v>
      </c>
    </row>
    <row r="78" spans="1:4" x14ac:dyDescent="0.25">
      <c r="A78" t="s">
        <v>123</v>
      </c>
      <c r="B78" t="s">
        <v>2147</v>
      </c>
      <c r="C78" t="s">
        <v>3579</v>
      </c>
      <c r="D78">
        <v>-1</v>
      </c>
    </row>
    <row r="79" spans="1:4" x14ac:dyDescent="0.25">
      <c r="A79" t="s">
        <v>123</v>
      </c>
      <c r="B79" t="s">
        <v>120</v>
      </c>
      <c r="C79" t="s">
        <v>530</v>
      </c>
      <c r="D79">
        <v>-2</v>
      </c>
    </row>
    <row r="80" spans="1:4" x14ac:dyDescent="0.25">
      <c r="A80" t="s">
        <v>123</v>
      </c>
      <c r="B80" t="s">
        <v>554</v>
      </c>
      <c r="C80" t="s">
        <v>532</v>
      </c>
      <c r="D80">
        <v>-1</v>
      </c>
    </row>
    <row r="81" spans="1:4" x14ac:dyDescent="0.25">
      <c r="A81" t="s">
        <v>123</v>
      </c>
      <c r="B81" t="s">
        <v>554</v>
      </c>
      <c r="C81" t="s">
        <v>533</v>
      </c>
      <c r="D81">
        <v>0</v>
      </c>
    </row>
    <row r="82" spans="1:4" x14ac:dyDescent="0.25">
      <c r="A82" t="s">
        <v>123</v>
      </c>
      <c r="B82" t="s">
        <v>1206</v>
      </c>
      <c r="C82" t="s">
        <v>2504</v>
      </c>
      <c r="D82">
        <v>-2</v>
      </c>
    </row>
    <row r="83" spans="1:4" x14ac:dyDescent="0.25">
      <c r="A83" t="s">
        <v>123</v>
      </c>
      <c r="B83" t="s">
        <v>1180</v>
      </c>
      <c r="C83" t="s">
        <v>3568</v>
      </c>
      <c r="D83">
        <v>-1</v>
      </c>
    </row>
    <row r="84" spans="1:4" x14ac:dyDescent="0.25">
      <c r="A84" t="s">
        <v>123</v>
      </c>
      <c r="B84" t="s">
        <v>1135</v>
      </c>
      <c r="C84" t="s">
        <v>3581</v>
      </c>
      <c r="D84">
        <v>-2</v>
      </c>
    </row>
    <row r="85" spans="1:4" x14ac:dyDescent="0.25">
      <c r="A85" t="s">
        <v>123</v>
      </c>
      <c r="B85" t="s">
        <v>422</v>
      </c>
      <c r="C85" t="s">
        <v>540</v>
      </c>
      <c r="D85">
        <v>1</v>
      </c>
    </row>
    <row r="86" spans="1:4" x14ac:dyDescent="0.25">
      <c r="A86" t="s">
        <v>123</v>
      </c>
      <c r="B86" t="s">
        <v>396</v>
      </c>
      <c r="C86" t="s">
        <v>4216</v>
      </c>
      <c r="D86">
        <v>2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-0.45882352941176469</v>
      </c>
    </row>
    <row r="90" spans="1:4" x14ac:dyDescent="0.25">
      <c r="A90" t="s">
        <v>159</v>
      </c>
      <c r="D90">
        <f>MAX(D2:D86)</f>
        <v>6</v>
      </c>
    </row>
    <row r="91" spans="1:4" x14ac:dyDescent="0.25">
      <c r="A91" t="s">
        <v>160</v>
      </c>
      <c r="D91">
        <f>MIN(D2:D86)</f>
        <v>-8</v>
      </c>
    </row>
    <row r="92" spans="1:4" x14ac:dyDescent="0.25">
      <c r="A92" t="s">
        <v>161</v>
      </c>
      <c r="D92">
        <f>COUNTIF(D2:D86,"&gt;0")</f>
        <v>34</v>
      </c>
    </row>
    <row r="93" spans="1:4" x14ac:dyDescent="0.25">
      <c r="A93" t="s">
        <v>162</v>
      </c>
      <c r="D93">
        <f>COUNTIF(D2:D86,"=0")</f>
        <v>10</v>
      </c>
    </row>
    <row r="94" spans="1:4" x14ac:dyDescent="0.25">
      <c r="A94" t="s">
        <v>1428</v>
      </c>
      <c r="D94">
        <f>COUNTIF(D2:D86,"&lt;0")</f>
        <v>41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AVERAGE(D2,D3,D4,D5,D6,D7,D8,D9,D10,D11,D12,D13,D14,D15,D16,D17,D18,D19,D20,D21)</f>
        <v>0.35</v>
      </c>
    </row>
    <row r="98" spans="1:4" x14ac:dyDescent="0.25">
      <c r="A98" t="s">
        <v>166</v>
      </c>
      <c r="D98">
        <f>AVERAGE(D22,D23,D24,D25,D26,D27,D28,D29,D30,D31,D32,D33,D34,D35,D36,D37,D38,D39,D40,D41,D42,D43)</f>
        <v>1.0909090909090908</v>
      </c>
    </row>
    <row r="99" spans="1:4" x14ac:dyDescent="0.25">
      <c r="A99" t="s">
        <v>167</v>
      </c>
      <c r="D99">
        <f>AVERAGE(D44,D45,D46,D47,D48,D49,D50,D51,D52,D53,D54,D55,D56,D57,D58,D59)</f>
        <v>0.25</v>
      </c>
    </row>
    <row r="100" spans="1:4" x14ac:dyDescent="0.25">
      <c r="A100" t="s">
        <v>168</v>
      </c>
      <c r="D100">
        <f>AVERAGE(D60,D61,D62,D63,D64,D65,D66,D67,D68,D69,D70,D71,D72,D73,D74,D75,D76,D77,D78,D79,D80,D81,D82,D83,D84,D85,D86)</f>
        <v>-2.7407407407407409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11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1006</v>
      </c>
    </row>
    <row r="2" spans="1:4" x14ac:dyDescent="0.25">
      <c r="A2" t="s">
        <v>4</v>
      </c>
      <c r="B2" t="s">
        <v>2443</v>
      </c>
      <c r="C2" t="s">
        <v>908</v>
      </c>
      <c r="D2">
        <v>-2</v>
      </c>
    </row>
    <row r="3" spans="1:4" x14ac:dyDescent="0.25">
      <c r="A3" t="s">
        <v>4</v>
      </c>
      <c r="B3" t="s">
        <v>719</v>
      </c>
      <c r="C3" t="s">
        <v>1188</v>
      </c>
      <c r="D3">
        <v>-1</v>
      </c>
    </row>
    <row r="4" spans="1:4" x14ac:dyDescent="0.25">
      <c r="A4" t="s">
        <v>4</v>
      </c>
      <c r="B4" t="s">
        <v>719</v>
      </c>
      <c r="C4" t="s">
        <v>8</v>
      </c>
      <c r="D4">
        <v>0</v>
      </c>
    </row>
    <row r="5" spans="1:4" x14ac:dyDescent="0.25">
      <c r="A5" t="s">
        <v>4</v>
      </c>
      <c r="B5" t="s">
        <v>778</v>
      </c>
      <c r="C5" t="s">
        <v>564</v>
      </c>
      <c r="D5">
        <v>2</v>
      </c>
    </row>
    <row r="6" spans="1:4" x14ac:dyDescent="0.25">
      <c r="A6" t="s">
        <v>4</v>
      </c>
      <c r="B6" t="s">
        <v>211</v>
      </c>
      <c r="C6" t="s">
        <v>12</v>
      </c>
      <c r="D6">
        <v>0</v>
      </c>
    </row>
    <row r="7" spans="1:4" x14ac:dyDescent="0.25">
      <c r="A7" t="s">
        <v>4</v>
      </c>
      <c r="B7" t="s">
        <v>1771</v>
      </c>
      <c r="C7" t="s">
        <v>178</v>
      </c>
      <c r="D7">
        <v>2</v>
      </c>
    </row>
    <row r="8" spans="1:4" x14ac:dyDescent="0.25">
      <c r="A8" t="s">
        <v>4</v>
      </c>
      <c r="B8" t="s">
        <v>494</v>
      </c>
      <c r="C8" t="s">
        <v>2046</v>
      </c>
      <c r="D8">
        <v>0</v>
      </c>
    </row>
    <row r="9" spans="1:4" x14ac:dyDescent="0.25">
      <c r="A9" t="s">
        <v>4</v>
      </c>
      <c r="B9" t="s">
        <v>1013</v>
      </c>
      <c r="C9" t="s">
        <v>18</v>
      </c>
      <c r="D9">
        <v>-2</v>
      </c>
    </row>
    <row r="10" spans="1:4" x14ac:dyDescent="0.25">
      <c r="A10" t="s">
        <v>4</v>
      </c>
      <c r="B10" t="s">
        <v>93</v>
      </c>
      <c r="C10" t="s">
        <v>2153</v>
      </c>
      <c r="D10">
        <v>-3</v>
      </c>
    </row>
    <row r="11" spans="1:4" x14ac:dyDescent="0.25">
      <c r="A11" t="s">
        <v>4</v>
      </c>
      <c r="B11" t="s">
        <v>93</v>
      </c>
      <c r="C11" t="s">
        <v>1636</v>
      </c>
      <c r="D11">
        <v>-4</v>
      </c>
    </row>
    <row r="12" spans="1:4" x14ac:dyDescent="0.25">
      <c r="A12" t="s">
        <v>4</v>
      </c>
      <c r="B12" t="s">
        <v>99</v>
      </c>
      <c r="C12" t="s">
        <v>1697</v>
      </c>
      <c r="D12">
        <v>-6</v>
      </c>
    </row>
    <row r="13" spans="1:4" x14ac:dyDescent="0.25">
      <c r="A13" t="s">
        <v>4</v>
      </c>
      <c r="B13" t="s">
        <v>104</v>
      </c>
      <c r="C13" t="s">
        <v>1699</v>
      </c>
      <c r="D13">
        <v>-4</v>
      </c>
    </row>
    <row r="14" spans="1:4" x14ac:dyDescent="0.25">
      <c r="A14" t="s">
        <v>4</v>
      </c>
      <c r="B14" t="s">
        <v>106</v>
      </c>
      <c r="C14" t="s">
        <v>3757</v>
      </c>
      <c r="D14">
        <v>-6</v>
      </c>
    </row>
    <row r="15" spans="1:4" x14ac:dyDescent="0.25">
      <c r="A15" t="s">
        <v>4</v>
      </c>
      <c r="B15" t="s">
        <v>319</v>
      </c>
      <c r="C15" t="s">
        <v>1501</v>
      </c>
      <c r="D15">
        <v>-4</v>
      </c>
    </row>
    <row r="16" spans="1:4" x14ac:dyDescent="0.25">
      <c r="A16" t="s">
        <v>4</v>
      </c>
      <c r="B16" t="s">
        <v>706</v>
      </c>
      <c r="C16" t="s">
        <v>1502</v>
      </c>
      <c r="D16">
        <v>-7</v>
      </c>
    </row>
    <row r="17" spans="1:4" x14ac:dyDescent="0.25">
      <c r="A17" t="s">
        <v>4</v>
      </c>
      <c r="B17" t="s">
        <v>473</v>
      </c>
      <c r="C17" t="s">
        <v>1702</v>
      </c>
      <c r="D17">
        <v>-8</v>
      </c>
    </row>
    <row r="18" spans="1:4" x14ac:dyDescent="0.25">
      <c r="A18" t="s">
        <v>4</v>
      </c>
      <c r="B18" t="s">
        <v>473</v>
      </c>
      <c r="C18" t="s">
        <v>1645</v>
      </c>
      <c r="D18">
        <v>-9</v>
      </c>
    </row>
    <row r="19" spans="1:4" x14ac:dyDescent="0.25">
      <c r="A19" t="s">
        <v>4</v>
      </c>
      <c r="B19" t="s">
        <v>1843</v>
      </c>
      <c r="C19" t="s">
        <v>1705</v>
      </c>
      <c r="D19">
        <v>-6</v>
      </c>
    </row>
    <row r="20" spans="1:4" x14ac:dyDescent="0.25">
      <c r="A20" t="s">
        <v>4</v>
      </c>
      <c r="B20" t="s">
        <v>389</v>
      </c>
      <c r="C20" t="s">
        <v>2699</v>
      </c>
      <c r="D20">
        <v>-4</v>
      </c>
    </row>
    <row r="21" spans="1:4" x14ac:dyDescent="0.25">
      <c r="A21" t="s">
        <v>4</v>
      </c>
      <c r="B21" t="s">
        <v>550</v>
      </c>
      <c r="C21" t="s">
        <v>2700</v>
      </c>
      <c r="D21">
        <v>-6</v>
      </c>
    </row>
    <row r="22" spans="1:4" x14ac:dyDescent="0.25">
      <c r="A22" t="s">
        <v>4</v>
      </c>
      <c r="B22" t="s">
        <v>72</v>
      </c>
      <c r="C22" t="s">
        <v>2701</v>
      </c>
      <c r="D22">
        <v>-5</v>
      </c>
    </row>
    <row r="23" spans="1:4" x14ac:dyDescent="0.25">
      <c r="A23" t="s">
        <v>4</v>
      </c>
      <c r="B23" t="s">
        <v>1845</v>
      </c>
      <c r="C23" t="s">
        <v>2722</v>
      </c>
      <c r="D23">
        <v>-3</v>
      </c>
    </row>
    <row r="24" spans="1:4" x14ac:dyDescent="0.25">
      <c r="A24" t="s">
        <v>4</v>
      </c>
      <c r="B24" t="s">
        <v>38</v>
      </c>
      <c r="C24" t="s">
        <v>794</v>
      </c>
      <c r="D24">
        <v>-1</v>
      </c>
    </row>
    <row r="25" spans="1:4" x14ac:dyDescent="0.25">
      <c r="A25" t="s">
        <v>40</v>
      </c>
      <c r="B25" t="s">
        <v>907</v>
      </c>
      <c r="C25" t="s">
        <v>796</v>
      </c>
      <c r="D25">
        <v>-4</v>
      </c>
    </row>
    <row r="26" spans="1:4" x14ac:dyDescent="0.25">
      <c r="A26" t="s">
        <v>40</v>
      </c>
      <c r="B26" t="s">
        <v>305</v>
      </c>
      <c r="C26" t="s">
        <v>1510</v>
      </c>
      <c r="D26">
        <v>-2</v>
      </c>
    </row>
    <row r="27" spans="1:4" x14ac:dyDescent="0.25">
      <c r="A27" t="s">
        <v>40</v>
      </c>
      <c r="B27" t="s">
        <v>208</v>
      </c>
      <c r="C27" t="s">
        <v>2780</v>
      </c>
      <c r="D27">
        <v>0</v>
      </c>
    </row>
    <row r="28" spans="1:4" x14ac:dyDescent="0.25">
      <c r="A28" t="s">
        <v>40</v>
      </c>
      <c r="B28" t="s">
        <v>916</v>
      </c>
      <c r="C28" t="s">
        <v>336</v>
      </c>
      <c r="D28">
        <v>2</v>
      </c>
    </row>
    <row r="29" spans="1:4" x14ac:dyDescent="0.25">
      <c r="A29" t="s">
        <v>40</v>
      </c>
      <c r="B29" t="s">
        <v>1069</v>
      </c>
      <c r="C29" t="s">
        <v>338</v>
      </c>
      <c r="D29">
        <v>4</v>
      </c>
    </row>
    <row r="30" spans="1:4" x14ac:dyDescent="0.25">
      <c r="A30" t="s">
        <v>40</v>
      </c>
      <c r="B30" t="s">
        <v>2962</v>
      </c>
      <c r="C30" t="s">
        <v>340</v>
      </c>
      <c r="D30">
        <v>3</v>
      </c>
    </row>
    <row r="31" spans="1:4" x14ac:dyDescent="0.25">
      <c r="A31" t="s">
        <v>40</v>
      </c>
      <c r="B31" t="s">
        <v>2962</v>
      </c>
      <c r="C31" t="s">
        <v>1753</v>
      </c>
      <c r="D31">
        <v>2</v>
      </c>
    </row>
    <row r="32" spans="1:4" x14ac:dyDescent="0.25">
      <c r="A32" t="s">
        <v>40</v>
      </c>
      <c r="B32" t="s">
        <v>223</v>
      </c>
      <c r="C32" t="s">
        <v>720</v>
      </c>
      <c r="D32">
        <v>4</v>
      </c>
    </row>
    <row r="33" spans="1:4" x14ac:dyDescent="0.25">
      <c r="A33" t="s">
        <v>40</v>
      </c>
      <c r="B33" t="s">
        <v>890</v>
      </c>
      <c r="C33" t="s">
        <v>722</v>
      </c>
      <c r="D33">
        <v>3</v>
      </c>
    </row>
    <row r="34" spans="1:4" x14ac:dyDescent="0.25">
      <c r="A34" t="s">
        <v>40</v>
      </c>
      <c r="B34" t="s">
        <v>890</v>
      </c>
      <c r="C34" t="s">
        <v>343</v>
      </c>
      <c r="D34">
        <v>2</v>
      </c>
    </row>
    <row r="35" spans="1:4" x14ac:dyDescent="0.25">
      <c r="A35" t="s">
        <v>40</v>
      </c>
      <c r="B35" t="s">
        <v>605</v>
      </c>
      <c r="C35" t="s">
        <v>222</v>
      </c>
      <c r="D35">
        <v>4</v>
      </c>
    </row>
    <row r="36" spans="1:4" x14ac:dyDescent="0.25">
      <c r="A36" t="s">
        <v>40</v>
      </c>
      <c r="B36" t="s">
        <v>112</v>
      </c>
      <c r="C36" t="s">
        <v>725</v>
      </c>
      <c r="D36">
        <v>1</v>
      </c>
    </row>
    <row r="37" spans="1:4" x14ac:dyDescent="0.25">
      <c r="A37" t="s">
        <v>40</v>
      </c>
      <c r="B37" t="s">
        <v>1640</v>
      </c>
      <c r="C37" t="s">
        <v>1756</v>
      </c>
      <c r="D37">
        <v>-1</v>
      </c>
    </row>
    <row r="38" spans="1:4" x14ac:dyDescent="0.25">
      <c r="A38" t="s">
        <v>40</v>
      </c>
      <c r="B38" t="s">
        <v>611</v>
      </c>
      <c r="C38" t="s">
        <v>4002</v>
      </c>
      <c r="D38">
        <v>0</v>
      </c>
    </row>
    <row r="39" spans="1:4" x14ac:dyDescent="0.25">
      <c r="A39" t="s">
        <v>40</v>
      </c>
      <c r="B39" t="s">
        <v>611</v>
      </c>
      <c r="C39" t="s">
        <v>351</v>
      </c>
      <c r="D39">
        <v>1</v>
      </c>
    </row>
    <row r="40" spans="1:4" x14ac:dyDescent="0.25">
      <c r="A40" t="s">
        <v>40</v>
      </c>
      <c r="B40" t="s">
        <v>2363</v>
      </c>
      <c r="C40" t="s">
        <v>2303</v>
      </c>
      <c r="D40">
        <v>-1</v>
      </c>
    </row>
    <row r="41" spans="1:4" x14ac:dyDescent="0.25">
      <c r="A41" t="s">
        <v>40</v>
      </c>
      <c r="B41" t="s">
        <v>1115</v>
      </c>
      <c r="C41" t="s">
        <v>354</v>
      </c>
      <c r="D41">
        <v>1</v>
      </c>
    </row>
    <row r="42" spans="1:4" x14ac:dyDescent="0.25">
      <c r="A42" t="s">
        <v>40</v>
      </c>
      <c r="B42" t="s">
        <v>537</v>
      </c>
      <c r="C42" t="s">
        <v>1518</v>
      </c>
      <c r="D42">
        <v>-1</v>
      </c>
    </row>
    <row r="43" spans="1:4" x14ac:dyDescent="0.25">
      <c r="A43" t="s">
        <v>80</v>
      </c>
      <c r="B43" t="s">
        <v>563</v>
      </c>
      <c r="C43" t="s">
        <v>476</v>
      </c>
      <c r="D43">
        <v>1</v>
      </c>
    </row>
    <row r="44" spans="1:4" x14ac:dyDescent="0.25">
      <c r="A44" t="s">
        <v>80</v>
      </c>
      <c r="B44" t="s">
        <v>2052</v>
      </c>
      <c r="C44" t="s">
        <v>1758</v>
      </c>
      <c r="D44">
        <v>3</v>
      </c>
    </row>
    <row r="45" spans="1:4" x14ac:dyDescent="0.25">
      <c r="A45" t="s">
        <v>80</v>
      </c>
      <c r="B45" t="s">
        <v>797</v>
      </c>
      <c r="C45" t="s">
        <v>1760</v>
      </c>
      <c r="D45">
        <v>1</v>
      </c>
    </row>
    <row r="46" spans="1:4" x14ac:dyDescent="0.25">
      <c r="A46" t="s">
        <v>80</v>
      </c>
      <c r="B46" t="s">
        <v>643</v>
      </c>
      <c r="C46" t="s">
        <v>1223</v>
      </c>
      <c r="D46">
        <v>3</v>
      </c>
    </row>
    <row r="47" spans="1:4" x14ac:dyDescent="0.25">
      <c r="A47" t="s">
        <v>80</v>
      </c>
      <c r="B47" t="s">
        <v>307</v>
      </c>
      <c r="C47" t="s">
        <v>2336</v>
      </c>
      <c r="D47">
        <v>5</v>
      </c>
    </row>
    <row r="48" spans="1:4" x14ac:dyDescent="0.25">
      <c r="A48" t="s">
        <v>80</v>
      </c>
      <c r="B48" t="s">
        <v>698</v>
      </c>
      <c r="C48" t="s">
        <v>2168</v>
      </c>
      <c r="D48">
        <v>7</v>
      </c>
    </row>
    <row r="49" spans="1:4" x14ac:dyDescent="0.25">
      <c r="A49" t="s">
        <v>80</v>
      </c>
      <c r="B49" t="s">
        <v>186</v>
      </c>
      <c r="C49" t="s">
        <v>2609</v>
      </c>
      <c r="D49">
        <v>5</v>
      </c>
    </row>
    <row r="50" spans="1:4" x14ac:dyDescent="0.25">
      <c r="A50" t="s">
        <v>80</v>
      </c>
      <c r="B50" t="s">
        <v>263</v>
      </c>
      <c r="C50" t="s">
        <v>2337</v>
      </c>
      <c r="D50">
        <v>7</v>
      </c>
    </row>
    <row r="51" spans="1:4" x14ac:dyDescent="0.25">
      <c r="A51" t="s">
        <v>80</v>
      </c>
      <c r="B51" t="s">
        <v>263</v>
      </c>
      <c r="C51" t="s">
        <v>1597</v>
      </c>
      <c r="D51">
        <v>8</v>
      </c>
    </row>
    <row r="52" spans="1:4" x14ac:dyDescent="0.25">
      <c r="A52" t="s">
        <v>80</v>
      </c>
      <c r="B52" t="s">
        <v>376</v>
      </c>
      <c r="C52" t="s">
        <v>2171</v>
      </c>
      <c r="D52">
        <v>6</v>
      </c>
    </row>
    <row r="53" spans="1:4" x14ac:dyDescent="0.25">
      <c r="A53" t="s">
        <v>80</v>
      </c>
      <c r="B53" t="s">
        <v>444</v>
      </c>
      <c r="C53" t="s">
        <v>2599</v>
      </c>
      <c r="D53">
        <v>8</v>
      </c>
    </row>
    <row r="54" spans="1:4" x14ac:dyDescent="0.25">
      <c r="A54" t="s">
        <v>80</v>
      </c>
      <c r="B54" t="s">
        <v>611</v>
      </c>
      <c r="C54" t="s">
        <v>2706</v>
      </c>
      <c r="D54">
        <v>6</v>
      </c>
    </row>
    <row r="55" spans="1:4" x14ac:dyDescent="0.25">
      <c r="A55" t="s">
        <v>80</v>
      </c>
      <c r="B55" t="s">
        <v>2147</v>
      </c>
      <c r="C55" t="s">
        <v>2913</v>
      </c>
      <c r="D55">
        <v>8</v>
      </c>
    </row>
    <row r="56" spans="1:4" x14ac:dyDescent="0.25">
      <c r="A56" t="s">
        <v>80</v>
      </c>
      <c r="B56" t="s">
        <v>1990</v>
      </c>
      <c r="C56" t="s">
        <v>1526</v>
      </c>
      <c r="D56">
        <v>5</v>
      </c>
    </row>
    <row r="57" spans="1:4" x14ac:dyDescent="0.25">
      <c r="A57" t="s">
        <v>80</v>
      </c>
      <c r="B57" t="s">
        <v>396</v>
      </c>
      <c r="C57" t="s">
        <v>1527</v>
      </c>
      <c r="D57">
        <v>4</v>
      </c>
    </row>
    <row r="58" spans="1:4" x14ac:dyDescent="0.25">
      <c r="A58" t="s">
        <v>80</v>
      </c>
      <c r="B58" t="s">
        <v>396</v>
      </c>
      <c r="C58" t="s">
        <v>1528</v>
      </c>
      <c r="D58">
        <v>3</v>
      </c>
    </row>
    <row r="59" spans="1:4" x14ac:dyDescent="0.25">
      <c r="A59" t="s">
        <v>123</v>
      </c>
      <c r="B59" t="s">
        <v>2570</v>
      </c>
      <c r="C59" t="s">
        <v>1835</v>
      </c>
      <c r="D59">
        <v>4</v>
      </c>
    </row>
    <row r="60" spans="1:4" x14ac:dyDescent="0.25">
      <c r="A60" t="s">
        <v>123</v>
      </c>
      <c r="B60" t="s">
        <v>1431</v>
      </c>
      <c r="C60" t="s">
        <v>1731</v>
      </c>
      <c r="D60">
        <v>2</v>
      </c>
    </row>
    <row r="61" spans="1:4" x14ac:dyDescent="0.25">
      <c r="A61" t="s">
        <v>123</v>
      </c>
      <c r="B61" t="s">
        <v>693</v>
      </c>
      <c r="C61" t="s">
        <v>2176</v>
      </c>
      <c r="D61">
        <v>5</v>
      </c>
    </row>
    <row r="62" spans="1:4" x14ac:dyDescent="0.25">
      <c r="A62" t="s">
        <v>123</v>
      </c>
      <c r="B62" t="s">
        <v>1169</v>
      </c>
      <c r="C62" t="s">
        <v>1163</v>
      </c>
      <c r="D62">
        <v>8</v>
      </c>
    </row>
    <row r="63" spans="1:4" x14ac:dyDescent="0.25">
      <c r="A63" t="s">
        <v>123</v>
      </c>
      <c r="B63" t="s">
        <v>623</v>
      </c>
      <c r="C63" t="s">
        <v>3664</v>
      </c>
      <c r="D63">
        <v>11</v>
      </c>
    </row>
    <row r="64" spans="1:4" x14ac:dyDescent="0.25">
      <c r="A64" t="s">
        <v>123</v>
      </c>
      <c r="B64" t="s">
        <v>215</v>
      </c>
      <c r="C64" t="s">
        <v>1955</v>
      </c>
      <c r="D64">
        <v>9</v>
      </c>
    </row>
    <row r="65" spans="1:4" x14ac:dyDescent="0.25">
      <c r="A65" t="s">
        <v>123</v>
      </c>
      <c r="B65" t="s">
        <v>1776</v>
      </c>
      <c r="C65" t="s">
        <v>1956</v>
      </c>
      <c r="D65">
        <v>7</v>
      </c>
    </row>
    <row r="66" spans="1:4" x14ac:dyDescent="0.25">
      <c r="A66" t="s">
        <v>123</v>
      </c>
      <c r="B66" t="s">
        <v>437</v>
      </c>
      <c r="C66" t="s">
        <v>395</v>
      </c>
      <c r="D66">
        <v>5</v>
      </c>
    </row>
    <row r="67" spans="1:4" x14ac:dyDescent="0.25">
      <c r="A67" t="s">
        <v>123</v>
      </c>
      <c r="B67" t="s">
        <v>437</v>
      </c>
      <c r="C67" t="s">
        <v>1841</v>
      </c>
      <c r="D67">
        <v>4</v>
      </c>
    </row>
    <row r="68" spans="1:4" x14ac:dyDescent="0.25">
      <c r="A68" t="s">
        <v>123</v>
      </c>
      <c r="B68" t="s">
        <v>1829</v>
      </c>
      <c r="C68" t="s">
        <v>2553</v>
      </c>
      <c r="D68">
        <v>6</v>
      </c>
    </row>
    <row r="69" spans="1:4" x14ac:dyDescent="0.25">
      <c r="A69" t="s">
        <v>123</v>
      </c>
      <c r="B69" t="s">
        <v>378</v>
      </c>
      <c r="C69" t="s">
        <v>1957</v>
      </c>
      <c r="D69">
        <v>4</v>
      </c>
    </row>
    <row r="70" spans="1:4" x14ac:dyDescent="0.25">
      <c r="A70" t="s">
        <v>123</v>
      </c>
      <c r="B70" t="s">
        <v>225</v>
      </c>
      <c r="C70" t="s">
        <v>2457</v>
      </c>
      <c r="D70">
        <v>6</v>
      </c>
    </row>
    <row r="71" spans="1:4" x14ac:dyDescent="0.25">
      <c r="A71" t="s">
        <v>123</v>
      </c>
      <c r="B71" t="s">
        <v>196</v>
      </c>
      <c r="C71" t="s">
        <v>1174</v>
      </c>
      <c r="D71">
        <v>3</v>
      </c>
    </row>
    <row r="72" spans="1:4" x14ac:dyDescent="0.25">
      <c r="A72" t="s">
        <v>123</v>
      </c>
      <c r="B72" t="s">
        <v>389</v>
      </c>
      <c r="C72" t="s">
        <v>2554</v>
      </c>
      <c r="D72">
        <v>5</v>
      </c>
    </row>
    <row r="73" spans="1:4" x14ac:dyDescent="0.25">
      <c r="A73" t="s">
        <v>123</v>
      </c>
      <c r="B73" t="s">
        <v>2147</v>
      </c>
      <c r="C73" t="s">
        <v>2555</v>
      </c>
      <c r="D73">
        <v>4</v>
      </c>
    </row>
    <row r="74" spans="1:4" x14ac:dyDescent="0.25">
      <c r="A74" t="s">
        <v>123</v>
      </c>
      <c r="B74" t="s">
        <v>2147</v>
      </c>
      <c r="C74" t="s">
        <v>1176</v>
      </c>
      <c r="D74">
        <v>3</v>
      </c>
    </row>
    <row r="75" spans="1:4" x14ac:dyDescent="0.25">
      <c r="A75" t="s">
        <v>123</v>
      </c>
      <c r="B75" t="s">
        <v>72</v>
      </c>
      <c r="C75" t="s">
        <v>1179</v>
      </c>
      <c r="D75">
        <v>6</v>
      </c>
    </row>
    <row r="76" spans="1:4" x14ac:dyDescent="0.25">
      <c r="A76" t="s">
        <v>123</v>
      </c>
      <c r="B76" t="s">
        <v>582</v>
      </c>
      <c r="C76" t="s">
        <v>410</v>
      </c>
      <c r="D76">
        <v>5</v>
      </c>
    </row>
    <row r="77" spans="1:4" x14ac:dyDescent="0.25">
      <c r="A77" t="s">
        <v>123</v>
      </c>
      <c r="B77" t="s">
        <v>582</v>
      </c>
      <c r="C77" t="s">
        <v>3068</v>
      </c>
      <c r="D77">
        <v>4</v>
      </c>
    </row>
    <row r="78" spans="1:4" x14ac:dyDescent="0.25">
      <c r="A78" t="s">
        <v>123</v>
      </c>
      <c r="B78" t="s">
        <v>1002</v>
      </c>
      <c r="C78" t="s">
        <v>660</v>
      </c>
      <c r="D78">
        <v>1</v>
      </c>
    </row>
    <row r="79" spans="1:4" x14ac:dyDescent="0.25">
      <c r="A79" t="s">
        <v>123</v>
      </c>
      <c r="B79" t="s">
        <v>772</v>
      </c>
      <c r="C79" t="s">
        <v>1963</v>
      </c>
      <c r="D79">
        <v>2</v>
      </c>
    </row>
    <row r="80" spans="1:4" x14ac:dyDescent="0.25">
      <c r="A80" t="s">
        <v>123</v>
      </c>
      <c r="B80" t="s">
        <v>772</v>
      </c>
      <c r="C80" t="s">
        <v>2734</v>
      </c>
      <c r="D80">
        <v>3</v>
      </c>
    </row>
    <row r="81" spans="1:4" x14ac:dyDescent="0.25">
      <c r="A81" t="s">
        <v>123</v>
      </c>
      <c r="B81" t="s">
        <v>1276</v>
      </c>
      <c r="C81" t="s">
        <v>3578</v>
      </c>
      <c r="D81">
        <v>2</v>
      </c>
    </row>
    <row r="82" spans="1:4" x14ac:dyDescent="0.25">
      <c r="A82" t="s">
        <v>123</v>
      </c>
      <c r="B82" t="s">
        <v>1276</v>
      </c>
      <c r="C82" t="s">
        <v>665</v>
      </c>
      <c r="D82">
        <v>1</v>
      </c>
    </row>
    <row r="83" spans="1:4" x14ac:dyDescent="0.25">
      <c r="A83" t="s">
        <v>123</v>
      </c>
      <c r="B83" t="s">
        <v>508</v>
      </c>
      <c r="C83" t="s">
        <v>3964</v>
      </c>
      <c r="D83">
        <v>2</v>
      </c>
    </row>
    <row r="84" spans="1:4" x14ac:dyDescent="0.25">
      <c r="A84" t="s">
        <v>123</v>
      </c>
      <c r="B84" t="s">
        <v>38</v>
      </c>
      <c r="C84" t="s">
        <v>3035</v>
      </c>
      <c r="D84">
        <v>0</v>
      </c>
    </row>
    <row r="85" spans="1:4" x14ac:dyDescent="0.25">
      <c r="A85" t="s">
        <v>4</v>
      </c>
      <c r="B85" t="s">
        <v>1230</v>
      </c>
      <c r="C85" t="s">
        <v>3459</v>
      </c>
      <c r="D85">
        <v>-3</v>
      </c>
    </row>
    <row r="86" spans="1:4" x14ac:dyDescent="0.25">
      <c r="A86" t="s">
        <v>4</v>
      </c>
      <c r="B86" t="s">
        <v>519</v>
      </c>
      <c r="C86" t="s">
        <v>530</v>
      </c>
      <c r="D86">
        <v>-2</v>
      </c>
    </row>
    <row r="87" spans="1:4" x14ac:dyDescent="0.25">
      <c r="A87" t="s">
        <v>4</v>
      </c>
      <c r="B87" t="s">
        <v>519</v>
      </c>
      <c r="C87" t="s">
        <v>532</v>
      </c>
      <c r="D87">
        <v>-1</v>
      </c>
    </row>
    <row r="88" spans="1:4" x14ac:dyDescent="0.25">
      <c r="A88" t="s">
        <v>4</v>
      </c>
      <c r="B88" t="s">
        <v>1700</v>
      </c>
      <c r="C88" t="s">
        <v>2346</v>
      </c>
      <c r="D88">
        <v>-4</v>
      </c>
    </row>
    <row r="89" spans="1:4" x14ac:dyDescent="0.25">
      <c r="A89" t="s">
        <v>4</v>
      </c>
      <c r="B89" t="s">
        <v>987</v>
      </c>
      <c r="C89" t="s">
        <v>536</v>
      </c>
      <c r="D89">
        <v>-3</v>
      </c>
    </row>
    <row r="90" spans="1:4" x14ac:dyDescent="0.25">
      <c r="A90" t="s">
        <v>4</v>
      </c>
      <c r="B90" t="s">
        <v>442</v>
      </c>
      <c r="C90" t="s">
        <v>3461</v>
      </c>
      <c r="D90">
        <v>-6</v>
      </c>
    </row>
    <row r="91" spans="1:4" x14ac:dyDescent="0.25">
      <c r="A91" t="s">
        <v>4</v>
      </c>
      <c r="B91" t="s">
        <v>1335</v>
      </c>
      <c r="C91" t="s">
        <v>864</v>
      </c>
      <c r="D91">
        <v>-5</v>
      </c>
    </row>
    <row r="92" spans="1:4" x14ac:dyDescent="0.25">
      <c r="A92" t="s">
        <v>4</v>
      </c>
      <c r="B92" t="s">
        <v>1335</v>
      </c>
      <c r="C92" t="s">
        <v>2624</v>
      </c>
      <c r="D92">
        <v>-4</v>
      </c>
    </row>
    <row r="93" spans="1:4" x14ac:dyDescent="0.25">
      <c r="A93" t="s">
        <v>4</v>
      </c>
      <c r="B93" t="s">
        <v>116</v>
      </c>
      <c r="C93" t="s">
        <v>4336</v>
      </c>
      <c r="D93">
        <v>-6</v>
      </c>
    </row>
    <row r="94" spans="1:4" x14ac:dyDescent="0.25">
      <c r="A94" t="s">
        <v>4</v>
      </c>
      <c r="B94" t="s">
        <v>1640</v>
      </c>
      <c r="C94" t="s">
        <v>3464</v>
      </c>
      <c r="D94">
        <v>-5</v>
      </c>
    </row>
    <row r="95" spans="1:4" x14ac:dyDescent="0.25">
      <c r="A95" t="s">
        <v>4</v>
      </c>
      <c r="B95" t="s">
        <v>1640</v>
      </c>
      <c r="C95" t="s">
        <v>4337</v>
      </c>
      <c r="D95">
        <v>-4</v>
      </c>
    </row>
    <row r="96" spans="1:4" x14ac:dyDescent="0.25">
      <c r="A96" t="s">
        <v>4</v>
      </c>
      <c r="B96" t="s">
        <v>389</v>
      </c>
      <c r="C96" t="s">
        <v>4338</v>
      </c>
      <c r="D96">
        <v>-3</v>
      </c>
    </row>
    <row r="97" spans="1:4" x14ac:dyDescent="0.25">
      <c r="A97" t="s">
        <v>4</v>
      </c>
      <c r="B97" t="s">
        <v>389</v>
      </c>
      <c r="C97" t="s">
        <v>2711</v>
      </c>
      <c r="D97">
        <v>-2</v>
      </c>
    </row>
    <row r="98" spans="1:4" x14ac:dyDescent="0.25">
      <c r="A98" t="s">
        <v>4</v>
      </c>
      <c r="B98" t="s">
        <v>31</v>
      </c>
      <c r="C98" t="s">
        <v>3966</v>
      </c>
      <c r="D98">
        <v>0</v>
      </c>
    </row>
    <row r="99" spans="1:4" x14ac:dyDescent="0.25">
      <c r="A99" t="s">
        <v>4</v>
      </c>
      <c r="B99" t="s">
        <v>817</v>
      </c>
      <c r="C99" t="s">
        <v>1631</v>
      </c>
      <c r="D99">
        <v>2</v>
      </c>
    </row>
    <row r="101" spans="1:4" x14ac:dyDescent="0.25">
      <c r="A101" s="2" t="s">
        <v>157</v>
      </c>
    </row>
    <row r="102" spans="1:4" x14ac:dyDescent="0.25">
      <c r="A102" t="s">
        <v>158</v>
      </c>
      <c r="D102">
        <f>AVERAGE(D2:D99)</f>
        <v>0.88775510204081631</v>
      </c>
    </row>
    <row r="103" spans="1:4" x14ac:dyDescent="0.25">
      <c r="A103" t="s">
        <v>159</v>
      </c>
      <c r="D103">
        <f>MAX(D2:D99)</f>
        <v>11</v>
      </c>
    </row>
    <row r="104" spans="1:4" x14ac:dyDescent="0.25">
      <c r="A104" t="s">
        <v>160</v>
      </c>
      <c r="D104">
        <f>MIN(D2:D99)</f>
        <v>-9</v>
      </c>
    </row>
    <row r="105" spans="1:4" x14ac:dyDescent="0.25">
      <c r="A105" t="s">
        <v>161</v>
      </c>
      <c r="D105">
        <f>COUNTIF(D2:D99,"&gt;0")</f>
        <v>55</v>
      </c>
    </row>
    <row r="106" spans="1:4" x14ac:dyDescent="0.25">
      <c r="A106" t="s">
        <v>162</v>
      </c>
      <c r="D106">
        <f>COUNTIF(D2:D99,"=0")</f>
        <v>7</v>
      </c>
    </row>
    <row r="107" spans="1:4" x14ac:dyDescent="0.25">
      <c r="A107" t="s">
        <v>1103</v>
      </c>
      <c r="D107">
        <f>COUNTIF(D2:D99,"&lt;0")</f>
        <v>36</v>
      </c>
    </row>
    <row r="109" spans="1:4" x14ac:dyDescent="0.25">
      <c r="A109" s="2" t="s">
        <v>164</v>
      </c>
    </row>
    <row r="110" spans="1:4" x14ac:dyDescent="0.25">
      <c r="A110" t="s">
        <v>165</v>
      </c>
      <c r="D110">
        <f>AVERAGE(D2,D3,D4,D5,D6,D7,D8,D9,D10,D11,D12,D13,D14,D15,D16,D17,D18,D19,D20,D21,D22,D23,D24,D85,D86,D87,D88,D89,D90,D91,D92,D93,D94,D95,D96,D97,D98,D99)</f>
        <v>-3.236842105263158</v>
      </c>
    </row>
    <row r="111" spans="1:4" x14ac:dyDescent="0.25">
      <c r="A111" t="s">
        <v>166</v>
      </c>
      <c r="D111">
        <f>AVERAGE(D25,D26,D27,D28,D29,D30,D31,D32,D33,D34,D35,D36,D37,D38,D39,D40,D41,D42)</f>
        <v>1</v>
      </c>
    </row>
    <row r="112" spans="1:4" x14ac:dyDescent="0.25">
      <c r="A112" t="s">
        <v>167</v>
      </c>
      <c r="D112">
        <f>AVERAGE(D43,D44,D45,D46,D47,D48,D49,D50,D51,D52,D53,D54,D55,D56,D57,D58)</f>
        <v>5</v>
      </c>
    </row>
    <row r="113" spans="1:4" x14ac:dyDescent="0.25">
      <c r="A113" t="s">
        <v>168</v>
      </c>
      <c r="D113">
        <f>AVERAGE(D59,D60,D61,D62,D63,D64,D65,D66,D67,D68,D69,D70,D71,D72,D73,D74,D75,D76,D77,D78,D79,D80,D81,D82,D83,D84)</f>
        <v>4.3076923076923075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1022</v>
      </c>
      <c r="C2" t="s">
        <v>1923</v>
      </c>
      <c r="D2">
        <v>1</v>
      </c>
    </row>
    <row r="3" spans="1:4" x14ac:dyDescent="0.25">
      <c r="A3" t="s">
        <v>4</v>
      </c>
      <c r="B3" t="s">
        <v>1022</v>
      </c>
      <c r="C3" t="s">
        <v>6</v>
      </c>
      <c r="D3">
        <v>2</v>
      </c>
    </row>
    <row r="4" spans="1:4" x14ac:dyDescent="0.25">
      <c r="A4" t="s">
        <v>4</v>
      </c>
      <c r="B4" t="s">
        <v>428</v>
      </c>
      <c r="C4" t="s">
        <v>306</v>
      </c>
      <c r="D4">
        <v>-1</v>
      </c>
    </row>
    <row r="5" spans="1:4" x14ac:dyDescent="0.25">
      <c r="A5" t="s">
        <v>4</v>
      </c>
      <c r="B5" t="s">
        <v>691</v>
      </c>
      <c r="C5" t="s">
        <v>1191</v>
      </c>
      <c r="D5">
        <v>0</v>
      </c>
    </row>
    <row r="6" spans="1:4" x14ac:dyDescent="0.25">
      <c r="A6" t="s">
        <v>4</v>
      </c>
      <c r="B6" t="s">
        <v>862</v>
      </c>
      <c r="C6" t="s">
        <v>429</v>
      </c>
      <c r="D6">
        <v>2</v>
      </c>
    </row>
    <row r="7" spans="1:4" x14ac:dyDescent="0.25">
      <c r="A7" t="s">
        <v>4</v>
      </c>
      <c r="B7" t="s">
        <v>1280</v>
      </c>
      <c r="C7" t="s">
        <v>1107</v>
      </c>
      <c r="D7">
        <v>-1</v>
      </c>
    </row>
    <row r="8" spans="1:4" x14ac:dyDescent="0.25">
      <c r="A8" t="s">
        <v>4</v>
      </c>
      <c r="B8" t="s">
        <v>335</v>
      </c>
      <c r="C8" t="s">
        <v>1109</v>
      </c>
      <c r="D8">
        <v>-3</v>
      </c>
    </row>
    <row r="9" spans="1:4" x14ac:dyDescent="0.25">
      <c r="A9" t="s">
        <v>4</v>
      </c>
      <c r="B9" t="s">
        <v>215</v>
      </c>
      <c r="C9" t="s">
        <v>18</v>
      </c>
      <c r="D9">
        <v>-2</v>
      </c>
    </row>
    <row r="10" spans="1:4" x14ac:dyDescent="0.25">
      <c r="A10" t="s">
        <v>4</v>
      </c>
      <c r="B10" t="s">
        <v>215</v>
      </c>
      <c r="C10" t="s">
        <v>434</v>
      </c>
      <c r="D10">
        <v>-1</v>
      </c>
    </row>
    <row r="11" spans="1:4" x14ac:dyDescent="0.25">
      <c r="A11" t="s">
        <v>4</v>
      </c>
      <c r="B11" t="s">
        <v>312</v>
      </c>
      <c r="C11" t="s">
        <v>1497</v>
      </c>
      <c r="D11">
        <v>-2</v>
      </c>
    </row>
    <row r="12" spans="1:4" x14ac:dyDescent="0.25">
      <c r="A12" t="s">
        <v>4</v>
      </c>
      <c r="B12" t="s">
        <v>312</v>
      </c>
      <c r="C12" t="s">
        <v>436</v>
      </c>
      <c r="D12">
        <v>-3</v>
      </c>
    </row>
    <row r="13" spans="1:4" x14ac:dyDescent="0.25">
      <c r="A13" t="s">
        <v>4</v>
      </c>
      <c r="B13" t="s">
        <v>2962</v>
      </c>
      <c r="C13" t="s">
        <v>1499</v>
      </c>
      <c r="D13">
        <v>-5</v>
      </c>
    </row>
    <row r="14" spans="1:4" x14ac:dyDescent="0.25">
      <c r="A14" t="s">
        <v>4</v>
      </c>
      <c r="B14" t="s">
        <v>285</v>
      </c>
      <c r="C14" t="s">
        <v>1699</v>
      </c>
      <c r="D14">
        <v>-4</v>
      </c>
    </row>
    <row r="15" spans="1:4" x14ac:dyDescent="0.25">
      <c r="A15" t="s">
        <v>4</v>
      </c>
      <c r="B15" t="s">
        <v>1398</v>
      </c>
      <c r="C15" t="s">
        <v>1500</v>
      </c>
      <c r="D15">
        <v>-2</v>
      </c>
    </row>
    <row r="16" spans="1:4" x14ac:dyDescent="0.25">
      <c r="A16" t="s">
        <v>4</v>
      </c>
      <c r="B16" t="s">
        <v>552</v>
      </c>
      <c r="C16" t="s">
        <v>1501</v>
      </c>
      <c r="D16">
        <v>-4</v>
      </c>
    </row>
    <row r="17" spans="1:4" x14ac:dyDescent="0.25">
      <c r="A17" t="s">
        <v>4</v>
      </c>
      <c r="B17" t="s">
        <v>154</v>
      </c>
      <c r="C17" t="s">
        <v>2607</v>
      </c>
      <c r="D17">
        <v>-6</v>
      </c>
    </row>
    <row r="18" spans="1:4" x14ac:dyDescent="0.25">
      <c r="A18" t="s">
        <v>4</v>
      </c>
      <c r="B18" t="s">
        <v>154</v>
      </c>
      <c r="C18" t="s">
        <v>1502</v>
      </c>
      <c r="D18">
        <v>-7</v>
      </c>
    </row>
    <row r="19" spans="1:4" x14ac:dyDescent="0.25">
      <c r="A19" t="s">
        <v>4</v>
      </c>
      <c r="B19" t="s">
        <v>38</v>
      </c>
      <c r="C19" t="s">
        <v>2203</v>
      </c>
      <c r="D19">
        <v>-5</v>
      </c>
    </row>
    <row r="20" spans="1:4" x14ac:dyDescent="0.25">
      <c r="A20" t="s">
        <v>40</v>
      </c>
      <c r="B20" t="s">
        <v>1007</v>
      </c>
      <c r="C20" t="s">
        <v>1505</v>
      </c>
      <c r="D20">
        <v>-2</v>
      </c>
    </row>
    <row r="21" spans="1:4" x14ac:dyDescent="0.25">
      <c r="A21" t="s">
        <v>40</v>
      </c>
      <c r="B21" t="s">
        <v>1266</v>
      </c>
      <c r="C21" t="s">
        <v>2699</v>
      </c>
      <c r="D21">
        <v>-4</v>
      </c>
    </row>
    <row r="22" spans="1:4" x14ac:dyDescent="0.25">
      <c r="A22" t="s">
        <v>40</v>
      </c>
      <c r="B22" t="s">
        <v>719</v>
      </c>
      <c r="C22" t="s">
        <v>1821</v>
      </c>
      <c r="D22">
        <v>-2</v>
      </c>
    </row>
    <row r="23" spans="1:4" x14ac:dyDescent="0.25">
      <c r="A23" t="s">
        <v>40</v>
      </c>
      <c r="B23" t="s">
        <v>797</v>
      </c>
      <c r="C23" t="s">
        <v>42</v>
      </c>
      <c r="D23">
        <v>-4</v>
      </c>
    </row>
    <row r="24" spans="1:4" x14ac:dyDescent="0.25">
      <c r="A24" t="s">
        <v>40</v>
      </c>
      <c r="B24" t="s">
        <v>1768</v>
      </c>
      <c r="C24" t="s">
        <v>794</v>
      </c>
      <c r="D24">
        <v>-1</v>
      </c>
    </row>
    <row r="25" spans="1:4" x14ac:dyDescent="0.25">
      <c r="A25" t="s">
        <v>40</v>
      </c>
      <c r="B25" t="s">
        <v>87</v>
      </c>
      <c r="C25" t="s">
        <v>454</v>
      </c>
      <c r="D25">
        <v>-2</v>
      </c>
    </row>
    <row r="26" spans="1:4" x14ac:dyDescent="0.25">
      <c r="A26" t="s">
        <v>40</v>
      </c>
      <c r="B26" t="s">
        <v>87</v>
      </c>
      <c r="C26" t="s">
        <v>1878</v>
      </c>
      <c r="D26">
        <v>-3</v>
      </c>
    </row>
    <row r="27" spans="1:4" x14ac:dyDescent="0.25">
      <c r="A27" t="s">
        <v>40</v>
      </c>
      <c r="B27" t="s">
        <v>359</v>
      </c>
      <c r="C27" t="s">
        <v>3721</v>
      </c>
      <c r="D27">
        <v>0</v>
      </c>
    </row>
    <row r="28" spans="1:4" x14ac:dyDescent="0.25">
      <c r="A28" t="s">
        <v>40</v>
      </c>
      <c r="B28" t="s">
        <v>645</v>
      </c>
      <c r="C28" t="s">
        <v>591</v>
      </c>
      <c r="D28">
        <v>1</v>
      </c>
    </row>
    <row r="29" spans="1:4" x14ac:dyDescent="0.25">
      <c r="A29" t="s">
        <v>40</v>
      </c>
      <c r="B29" t="s">
        <v>56</v>
      </c>
      <c r="C29" t="s">
        <v>2780</v>
      </c>
      <c r="D29">
        <v>0</v>
      </c>
    </row>
    <row r="30" spans="1:4" x14ac:dyDescent="0.25">
      <c r="A30" t="s">
        <v>40</v>
      </c>
      <c r="B30" t="s">
        <v>804</v>
      </c>
      <c r="C30" t="s">
        <v>592</v>
      </c>
      <c r="D30">
        <v>-2</v>
      </c>
    </row>
    <row r="31" spans="1:4" x14ac:dyDescent="0.25">
      <c r="A31" t="s">
        <v>40</v>
      </c>
      <c r="B31" t="s">
        <v>2032</v>
      </c>
      <c r="C31" t="s">
        <v>2331</v>
      </c>
      <c r="D31">
        <v>0</v>
      </c>
    </row>
    <row r="32" spans="1:4" x14ac:dyDescent="0.25">
      <c r="A32" t="s">
        <v>40</v>
      </c>
      <c r="B32" t="s">
        <v>62</v>
      </c>
      <c r="C32" t="s">
        <v>597</v>
      </c>
      <c r="D32">
        <v>-2</v>
      </c>
    </row>
    <row r="33" spans="1:4" x14ac:dyDescent="0.25">
      <c r="A33" t="s">
        <v>40</v>
      </c>
      <c r="B33" t="s">
        <v>943</v>
      </c>
      <c r="C33" t="s">
        <v>342</v>
      </c>
      <c r="D33">
        <v>0</v>
      </c>
    </row>
    <row r="34" spans="1:4" x14ac:dyDescent="0.25">
      <c r="A34" t="s">
        <v>40</v>
      </c>
      <c r="B34" t="s">
        <v>541</v>
      </c>
      <c r="C34" t="s">
        <v>463</v>
      </c>
      <c r="D34">
        <v>-2</v>
      </c>
    </row>
    <row r="35" spans="1:4" x14ac:dyDescent="0.25">
      <c r="A35" t="s">
        <v>40</v>
      </c>
      <c r="B35" t="s">
        <v>190</v>
      </c>
      <c r="C35" t="s">
        <v>464</v>
      </c>
      <c r="D35">
        <v>0</v>
      </c>
    </row>
    <row r="36" spans="1:4" x14ac:dyDescent="0.25">
      <c r="A36" t="s">
        <v>40</v>
      </c>
      <c r="B36" t="s">
        <v>766</v>
      </c>
      <c r="C36" t="s">
        <v>1130</v>
      </c>
      <c r="D36">
        <v>2</v>
      </c>
    </row>
    <row r="37" spans="1:4" x14ac:dyDescent="0.25">
      <c r="A37" t="s">
        <v>40</v>
      </c>
      <c r="B37" t="s">
        <v>894</v>
      </c>
      <c r="C37" t="s">
        <v>2361</v>
      </c>
      <c r="D37">
        <v>4</v>
      </c>
    </row>
    <row r="38" spans="1:4" x14ac:dyDescent="0.25">
      <c r="A38" t="s">
        <v>40</v>
      </c>
      <c r="B38" t="s">
        <v>996</v>
      </c>
      <c r="C38" t="s">
        <v>1444</v>
      </c>
      <c r="D38">
        <v>5</v>
      </c>
    </row>
    <row r="39" spans="1:4" x14ac:dyDescent="0.25">
      <c r="A39" t="s">
        <v>40</v>
      </c>
      <c r="B39" t="s">
        <v>996</v>
      </c>
      <c r="C39" t="s">
        <v>227</v>
      </c>
      <c r="D39">
        <v>6</v>
      </c>
    </row>
    <row r="40" spans="1:4" x14ac:dyDescent="0.25">
      <c r="A40" t="s">
        <v>40</v>
      </c>
      <c r="B40" t="s">
        <v>1002</v>
      </c>
      <c r="C40" t="s">
        <v>229</v>
      </c>
      <c r="D40">
        <v>4</v>
      </c>
    </row>
    <row r="41" spans="1:4" x14ac:dyDescent="0.25">
      <c r="A41" t="s">
        <v>80</v>
      </c>
      <c r="B41" t="s">
        <v>352</v>
      </c>
      <c r="C41" t="s">
        <v>230</v>
      </c>
      <c r="D41">
        <v>2</v>
      </c>
    </row>
    <row r="42" spans="1:4" x14ac:dyDescent="0.25">
      <c r="A42" t="s">
        <v>80</v>
      </c>
      <c r="B42" t="s">
        <v>170</v>
      </c>
      <c r="C42" t="s">
        <v>354</v>
      </c>
      <c r="D42">
        <v>1</v>
      </c>
    </row>
    <row r="43" spans="1:4" x14ac:dyDescent="0.25">
      <c r="A43" t="s">
        <v>80</v>
      </c>
      <c r="B43" t="s">
        <v>170</v>
      </c>
      <c r="C43" t="s">
        <v>232</v>
      </c>
      <c r="D43">
        <v>0</v>
      </c>
    </row>
    <row r="44" spans="1:4" x14ac:dyDescent="0.25">
      <c r="A44" t="s">
        <v>80</v>
      </c>
      <c r="B44" t="s">
        <v>933</v>
      </c>
      <c r="C44" t="s">
        <v>2486</v>
      </c>
      <c r="D44">
        <v>1</v>
      </c>
    </row>
    <row r="45" spans="1:4" x14ac:dyDescent="0.25">
      <c r="A45" t="s">
        <v>80</v>
      </c>
      <c r="B45" t="s">
        <v>933</v>
      </c>
      <c r="C45" t="s">
        <v>474</v>
      </c>
      <c r="D45">
        <v>2</v>
      </c>
    </row>
    <row r="46" spans="1:4" x14ac:dyDescent="0.25">
      <c r="A46" t="s">
        <v>80</v>
      </c>
      <c r="B46" t="s">
        <v>2443</v>
      </c>
      <c r="C46" t="s">
        <v>1519</v>
      </c>
      <c r="D46">
        <v>-1</v>
      </c>
    </row>
    <row r="47" spans="1:4" x14ac:dyDescent="0.25">
      <c r="A47" t="s">
        <v>80</v>
      </c>
      <c r="B47" t="s">
        <v>719</v>
      </c>
      <c r="C47" t="s">
        <v>1760</v>
      </c>
      <c r="D47">
        <v>1</v>
      </c>
    </row>
    <row r="48" spans="1:4" x14ac:dyDescent="0.25">
      <c r="A48" t="s">
        <v>80</v>
      </c>
      <c r="B48" t="s">
        <v>935</v>
      </c>
      <c r="C48" t="s">
        <v>2134</v>
      </c>
      <c r="D48">
        <v>-2</v>
      </c>
    </row>
    <row r="49" spans="1:4" x14ac:dyDescent="0.25">
      <c r="A49" t="s">
        <v>80</v>
      </c>
      <c r="B49" t="s">
        <v>357</v>
      </c>
      <c r="C49" t="s">
        <v>1833</v>
      </c>
      <c r="D49">
        <v>-5</v>
      </c>
    </row>
    <row r="50" spans="1:4" x14ac:dyDescent="0.25">
      <c r="A50" t="s">
        <v>80</v>
      </c>
      <c r="B50" t="s">
        <v>132</v>
      </c>
      <c r="C50" t="s">
        <v>249</v>
      </c>
      <c r="D50">
        <v>-3</v>
      </c>
    </row>
    <row r="51" spans="1:4" x14ac:dyDescent="0.25">
      <c r="A51" t="s">
        <v>80</v>
      </c>
      <c r="B51" t="s">
        <v>1755</v>
      </c>
      <c r="C51" t="s">
        <v>252</v>
      </c>
      <c r="D51">
        <v>-1</v>
      </c>
    </row>
    <row r="52" spans="1:4" x14ac:dyDescent="0.25">
      <c r="A52" t="s">
        <v>80</v>
      </c>
      <c r="B52" t="s">
        <v>1755</v>
      </c>
      <c r="C52" t="s">
        <v>253</v>
      </c>
      <c r="D52">
        <v>0</v>
      </c>
    </row>
    <row r="53" spans="1:4" x14ac:dyDescent="0.25">
      <c r="A53" t="s">
        <v>80</v>
      </c>
      <c r="B53" t="s">
        <v>462</v>
      </c>
      <c r="C53" t="s">
        <v>255</v>
      </c>
      <c r="D53">
        <v>-3</v>
      </c>
    </row>
    <row r="54" spans="1:4" x14ac:dyDescent="0.25">
      <c r="A54" t="s">
        <v>80</v>
      </c>
      <c r="B54" t="s">
        <v>648</v>
      </c>
      <c r="C54" t="s">
        <v>257</v>
      </c>
      <c r="D54">
        <v>-2</v>
      </c>
    </row>
    <row r="55" spans="1:4" x14ac:dyDescent="0.25">
      <c r="A55" t="s">
        <v>80</v>
      </c>
      <c r="B55" t="s">
        <v>648</v>
      </c>
      <c r="C55" t="s">
        <v>258</v>
      </c>
      <c r="D55">
        <v>-1</v>
      </c>
    </row>
    <row r="56" spans="1:4" x14ac:dyDescent="0.25">
      <c r="A56" t="s">
        <v>80</v>
      </c>
      <c r="B56" t="s">
        <v>284</v>
      </c>
      <c r="C56" t="s">
        <v>375</v>
      </c>
      <c r="D56">
        <v>1</v>
      </c>
    </row>
    <row r="57" spans="1:4" x14ac:dyDescent="0.25">
      <c r="A57" t="s">
        <v>80</v>
      </c>
      <c r="B57" t="s">
        <v>108</v>
      </c>
      <c r="C57" t="s">
        <v>262</v>
      </c>
      <c r="D57">
        <v>-1</v>
      </c>
    </row>
    <row r="58" spans="1:4" x14ac:dyDescent="0.25">
      <c r="A58" t="s">
        <v>80</v>
      </c>
      <c r="B58" t="s">
        <v>629</v>
      </c>
      <c r="C58" t="s">
        <v>1834</v>
      </c>
      <c r="D58">
        <v>2</v>
      </c>
    </row>
    <row r="59" spans="1:4" x14ac:dyDescent="0.25">
      <c r="A59" t="s">
        <v>80</v>
      </c>
      <c r="B59" t="s">
        <v>148</v>
      </c>
      <c r="C59" t="s">
        <v>1835</v>
      </c>
      <c r="D59">
        <v>4</v>
      </c>
    </row>
    <row r="60" spans="1:4" x14ac:dyDescent="0.25">
      <c r="A60" t="s">
        <v>80</v>
      </c>
      <c r="B60" t="s">
        <v>1402</v>
      </c>
      <c r="C60" t="s">
        <v>1837</v>
      </c>
      <c r="D60">
        <v>6</v>
      </c>
    </row>
    <row r="61" spans="1:4" x14ac:dyDescent="0.25">
      <c r="A61" t="s">
        <v>80</v>
      </c>
      <c r="B61" t="s">
        <v>673</v>
      </c>
      <c r="C61" t="s">
        <v>2275</v>
      </c>
      <c r="D61">
        <v>7</v>
      </c>
    </row>
    <row r="62" spans="1:4" x14ac:dyDescent="0.25">
      <c r="A62" t="s">
        <v>80</v>
      </c>
      <c r="B62" t="s">
        <v>673</v>
      </c>
      <c r="C62" t="s">
        <v>1159</v>
      </c>
      <c r="D62">
        <v>8</v>
      </c>
    </row>
    <row r="63" spans="1:4" x14ac:dyDescent="0.25">
      <c r="A63" t="s">
        <v>123</v>
      </c>
      <c r="B63" t="s">
        <v>453</v>
      </c>
      <c r="C63" t="s">
        <v>2450</v>
      </c>
      <c r="D63">
        <v>5</v>
      </c>
    </row>
    <row r="64" spans="1:4" x14ac:dyDescent="0.25">
      <c r="A64" t="s">
        <v>123</v>
      </c>
      <c r="B64" t="s">
        <v>329</v>
      </c>
      <c r="C64" t="s">
        <v>498</v>
      </c>
      <c r="D64">
        <v>3</v>
      </c>
    </row>
    <row r="65" spans="1:4" x14ac:dyDescent="0.25">
      <c r="A65" t="s">
        <v>123</v>
      </c>
      <c r="B65" t="s">
        <v>1190</v>
      </c>
      <c r="C65" t="s">
        <v>2340</v>
      </c>
      <c r="D65">
        <v>4</v>
      </c>
    </row>
    <row r="66" spans="1:4" x14ac:dyDescent="0.25">
      <c r="A66" t="s">
        <v>123</v>
      </c>
      <c r="B66" t="s">
        <v>1190</v>
      </c>
      <c r="C66" t="s">
        <v>500</v>
      </c>
      <c r="D66">
        <v>5</v>
      </c>
    </row>
    <row r="67" spans="1:4" x14ac:dyDescent="0.25">
      <c r="A67" t="s">
        <v>123</v>
      </c>
      <c r="B67" t="s">
        <v>1493</v>
      </c>
      <c r="C67" t="s">
        <v>1166</v>
      </c>
      <c r="D67">
        <v>7</v>
      </c>
    </row>
    <row r="68" spans="1:4" x14ac:dyDescent="0.25">
      <c r="A68" t="s">
        <v>123</v>
      </c>
      <c r="B68" t="s">
        <v>175</v>
      </c>
      <c r="C68" t="s">
        <v>638</v>
      </c>
      <c r="D68">
        <v>4</v>
      </c>
    </row>
    <row r="69" spans="1:4" x14ac:dyDescent="0.25">
      <c r="A69" t="s">
        <v>123</v>
      </c>
      <c r="B69" t="s">
        <v>1958</v>
      </c>
      <c r="C69" t="s">
        <v>639</v>
      </c>
      <c r="D69">
        <v>2</v>
      </c>
    </row>
    <row r="70" spans="1:4" x14ac:dyDescent="0.25">
      <c r="A70" t="s">
        <v>123</v>
      </c>
      <c r="B70" t="s">
        <v>1958</v>
      </c>
      <c r="C70" t="s">
        <v>3199</v>
      </c>
      <c r="D70">
        <v>1</v>
      </c>
    </row>
    <row r="71" spans="1:4" x14ac:dyDescent="0.25">
      <c r="A71" t="s">
        <v>123</v>
      </c>
      <c r="B71" t="s">
        <v>217</v>
      </c>
      <c r="C71" t="s">
        <v>1957</v>
      </c>
      <c r="D71">
        <v>4</v>
      </c>
    </row>
    <row r="72" spans="1:4" x14ac:dyDescent="0.25">
      <c r="A72" t="s">
        <v>123</v>
      </c>
      <c r="B72" t="s">
        <v>1228</v>
      </c>
      <c r="C72" t="s">
        <v>1172</v>
      </c>
      <c r="D72">
        <v>3</v>
      </c>
    </row>
    <row r="73" spans="1:4" x14ac:dyDescent="0.25">
      <c r="A73" t="s">
        <v>123</v>
      </c>
      <c r="B73" t="s">
        <v>943</v>
      </c>
      <c r="C73" t="s">
        <v>1173</v>
      </c>
      <c r="D73">
        <v>5</v>
      </c>
    </row>
    <row r="74" spans="1:4" x14ac:dyDescent="0.25">
      <c r="A74" t="s">
        <v>123</v>
      </c>
      <c r="B74" t="s">
        <v>114</v>
      </c>
      <c r="C74" t="s">
        <v>2185</v>
      </c>
      <c r="D74">
        <v>7</v>
      </c>
    </row>
    <row r="75" spans="1:4" x14ac:dyDescent="0.25">
      <c r="A75" t="s">
        <v>123</v>
      </c>
      <c r="B75" t="s">
        <v>417</v>
      </c>
      <c r="C75" t="s">
        <v>2186</v>
      </c>
      <c r="D75">
        <v>10</v>
      </c>
    </row>
    <row r="76" spans="1:4" x14ac:dyDescent="0.25">
      <c r="A76" t="s">
        <v>123</v>
      </c>
      <c r="B76" t="s">
        <v>732</v>
      </c>
      <c r="C76" t="s">
        <v>3453</v>
      </c>
      <c r="D76">
        <v>8</v>
      </c>
    </row>
    <row r="77" spans="1:4" x14ac:dyDescent="0.25">
      <c r="A77" t="s">
        <v>123</v>
      </c>
      <c r="B77" t="s">
        <v>554</v>
      </c>
      <c r="C77" t="s">
        <v>1179</v>
      </c>
      <c r="D77">
        <v>6</v>
      </c>
    </row>
    <row r="78" spans="1:4" x14ac:dyDescent="0.25">
      <c r="A78" t="s">
        <v>123</v>
      </c>
      <c r="B78" t="s">
        <v>930</v>
      </c>
      <c r="C78" t="s">
        <v>3702</v>
      </c>
      <c r="D78">
        <v>8</v>
      </c>
    </row>
    <row r="79" spans="1:4" x14ac:dyDescent="0.25">
      <c r="A79" t="s">
        <v>123</v>
      </c>
      <c r="B79" t="s">
        <v>537</v>
      </c>
      <c r="C79" t="s">
        <v>767</v>
      </c>
      <c r="D79">
        <v>9</v>
      </c>
    </row>
    <row r="80" spans="1:4" x14ac:dyDescent="0.25">
      <c r="A80" t="s">
        <v>123</v>
      </c>
      <c r="B80" t="s">
        <v>350</v>
      </c>
      <c r="C80" t="s">
        <v>768</v>
      </c>
      <c r="D80">
        <v>6</v>
      </c>
    </row>
    <row r="81" spans="1:4" x14ac:dyDescent="0.25">
      <c r="A81" t="s">
        <v>123</v>
      </c>
      <c r="B81" t="s">
        <v>1276</v>
      </c>
      <c r="C81" t="s">
        <v>1182</v>
      </c>
      <c r="D81">
        <v>7</v>
      </c>
    </row>
    <row r="82" spans="1:4" x14ac:dyDescent="0.25">
      <c r="A82" t="s">
        <v>123</v>
      </c>
      <c r="B82" t="s">
        <v>1276</v>
      </c>
      <c r="C82" t="s">
        <v>418</v>
      </c>
      <c r="D82">
        <v>8</v>
      </c>
    </row>
    <row r="83" spans="1:4" x14ac:dyDescent="0.25">
      <c r="A83" t="s">
        <v>123</v>
      </c>
      <c r="B83" t="s">
        <v>508</v>
      </c>
      <c r="C83" t="s">
        <v>2919</v>
      </c>
      <c r="D83">
        <v>7</v>
      </c>
    </row>
    <row r="84" spans="1:4" x14ac:dyDescent="0.25">
      <c r="A84" t="s">
        <v>123</v>
      </c>
      <c r="B84" t="s">
        <v>508</v>
      </c>
      <c r="C84" t="s">
        <v>1183</v>
      </c>
      <c r="D84">
        <v>6</v>
      </c>
    </row>
    <row r="85" spans="1:4" x14ac:dyDescent="0.25">
      <c r="A85" t="s">
        <v>123</v>
      </c>
      <c r="B85" t="s">
        <v>1568</v>
      </c>
      <c r="C85" t="s">
        <v>1184</v>
      </c>
      <c r="D85">
        <v>7</v>
      </c>
    </row>
    <row r="86" spans="1:4" x14ac:dyDescent="0.25">
      <c r="A86" t="s">
        <v>123</v>
      </c>
      <c r="B86" t="s">
        <v>1568</v>
      </c>
      <c r="C86" t="s">
        <v>1185</v>
      </c>
      <c r="D86">
        <v>8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1.3294117647058823</v>
      </c>
    </row>
    <row r="90" spans="1:4" x14ac:dyDescent="0.25">
      <c r="A90" t="s">
        <v>159</v>
      </c>
      <c r="D90">
        <f>MAX(D2:D86)</f>
        <v>10</v>
      </c>
    </row>
    <row r="91" spans="1:4" x14ac:dyDescent="0.25">
      <c r="A91" t="s">
        <v>160</v>
      </c>
      <c r="D91">
        <f>MIN(D2:D86)</f>
        <v>-7</v>
      </c>
    </row>
    <row r="92" spans="1:4" x14ac:dyDescent="0.25">
      <c r="A92" t="s">
        <v>161</v>
      </c>
      <c r="D92">
        <f>COUNTIF(D2:D86,"&gt;0")</f>
        <v>44</v>
      </c>
    </row>
    <row r="93" spans="1:4" x14ac:dyDescent="0.25">
      <c r="A93" t="s">
        <v>162</v>
      </c>
      <c r="D93">
        <f>COUNTIF(D2:D86,"=0")</f>
        <v>8</v>
      </c>
    </row>
    <row r="94" spans="1:4" x14ac:dyDescent="0.25">
      <c r="A94" t="s">
        <v>2920</v>
      </c>
      <c r="D94">
        <f>COUNTIF(D2:D86,"&lt;0")</f>
        <v>33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AVERAGE(D2,D3,D4,D5,D6,D7,D8,D9,D10,D11,D12,D13,D14,D15,D16,D17,D18,D19)</f>
        <v>-2.2777777777777777</v>
      </c>
    </row>
    <row r="98" spans="1:4" x14ac:dyDescent="0.25">
      <c r="A98" t="s">
        <v>166</v>
      </c>
      <c r="D98">
        <f>AVERAGE(D20,D21,D22,D23,D24,D25,D26,D27,D28,D29,D30,D31,D32,D33,D34,D35,D36,D37,D38,D39,D40)</f>
        <v>-9.5238095238095233E-2</v>
      </c>
    </row>
    <row r="99" spans="1:4" x14ac:dyDescent="0.25">
      <c r="A99" t="s">
        <v>167</v>
      </c>
      <c r="D99">
        <f>AVERAGE(D41,D42,D43,D44,D45,D46,D47,D48,D49,D50,D51,D52,D53,D54,D55,D56,D57,D58,D59,D60,D61,D62)</f>
        <v>0.72727272727272729</v>
      </c>
    </row>
    <row r="100" spans="1:4" x14ac:dyDescent="0.25">
      <c r="A100" t="s">
        <v>168</v>
      </c>
      <c r="D100">
        <f>AVERAGE(D63,D64,D65,D66,D67,D68,D69,D70,D71,D72,D73,D74,D75,D76,D77,D78,D79,D80,D81,D82,D83,D84,D85,D86)</f>
        <v>5.833333333333333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D9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1704</v>
      </c>
      <c r="C2" t="s">
        <v>6</v>
      </c>
      <c r="D2">
        <v>2</v>
      </c>
    </row>
    <row r="3" spans="1:4" x14ac:dyDescent="0.25">
      <c r="A3" t="s">
        <v>4</v>
      </c>
      <c r="B3" t="s">
        <v>689</v>
      </c>
      <c r="C3" t="s">
        <v>1572</v>
      </c>
      <c r="D3">
        <v>5</v>
      </c>
    </row>
    <row r="4" spans="1:4" x14ac:dyDescent="0.25">
      <c r="A4" t="s">
        <v>4</v>
      </c>
      <c r="B4" t="s">
        <v>244</v>
      </c>
      <c r="C4" t="s">
        <v>2643</v>
      </c>
      <c r="D4">
        <v>7</v>
      </c>
    </row>
    <row r="5" spans="1:4" x14ac:dyDescent="0.25">
      <c r="A5" t="s">
        <v>4</v>
      </c>
      <c r="B5" t="s">
        <v>797</v>
      </c>
      <c r="C5" t="s">
        <v>2592</v>
      </c>
      <c r="D5">
        <v>5</v>
      </c>
    </row>
    <row r="6" spans="1:4" x14ac:dyDescent="0.25">
      <c r="A6" t="s">
        <v>4</v>
      </c>
      <c r="B6" t="s">
        <v>1851</v>
      </c>
      <c r="C6" t="s">
        <v>1348</v>
      </c>
      <c r="D6">
        <v>3</v>
      </c>
    </row>
    <row r="7" spans="1:4" x14ac:dyDescent="0.25">
      <c r="A7" t="s">
        <v>4</v>
      </c>
      <c r="B7" t="s">
        <v>246</v>
      </c>
      <c r="C7" t="s">
        <v>182</v>
      </c>
      <c r="D7">
        <v>5</v>
      </c>
    </row>
    <row r="8" spans="1:4" x14ac:dyDescent="0.25">
      <c r="A8" t="s">
        <v>4</v>
      </c>
      <c r="B8" t="s">
        <v>1824</v>
      </c>
      <c r="C8" t="s">
        <v>2645</v>
      </c>
      <c r="D8">
        <v>7</v>
      </c>
    </row>
    <row r="9" spans="1:4" x14ac:dyDescent="0.25">
      <c r="A9" t="s">
        <v>4</v>
      </c>
      <c r="B9" t="s">
        <v>2118</v>
      </c>
      <c r="C9" t="s">
        <v>1352</v>
      </c>
      <c r="D9">
        <v>4</v>
      </c>
    </row>
    <row r="10" spans="1:4" x14ac:dyDescent="0.25">
      <c r="A10" t="s">
        <v>4</v>
      </c>
      <c r="B10" t="s">
        <v>832</v>
      </c>
      <c r="C10" t="s">
        <v>2647</v>
      </c>
      <c r="D10">
        <v>6</v>
      </c>
    </row>
    <row r="11" spans="1:4" x14ac:dyDescent="0.25">
      <c r="A11" t="s">
        <v>4</v>
      </c>
      <c r="B11" t="s">
        <v>517</v>
      </c>
      <c r="C11" t="s">
        <v>1196</v>
      </c>
      <c r="D11">
        <v>7</v>
      </c>
    </row>
    <row r="12" spans="1:4" x14ac:dyDescent="0.25">
      <c r="A12" t="s">
        <v>4</v>
      </c>
      <c r="B12" t="s">
        <v>517</v>
      </c>
      <c r="C12" t="s">
        <v>1014</v>
      </c>
      <c r="D12">
        <v>8</v>
      </c>
    </row>
    <row r="13" spans="1:4" x14ac:dyDescent="0.25">
      <c r="A13" t="s">
        <v>4</v>
      </c>
      <c r="B13" t="s">
        <v>368</v>
      </c>
      <c r="C13" t="s">
        <v>4014</v>
      </c>
      <c r="D13">
        <v>11</v>
      </c>
    </row>
    <row r="14" spans="1:4" x14ac:dyDescent="0.25">
      <c r="A14" t="s">
        <v>4</v>
      </c>
      <c r="B14" t="s">
        <v>99</v>
      </c>
      <c r="C14" t="s">
        <v>194</v>
      </c>
      <c r="D14">
        <v>9</v>
      </c>
    </row>
    <row r="15" spans="1:4" x14ac:dyDescent="0.25">
      <c r="A15" t="s">
        <v>4</v>
      </c>
      <c r="B15" t="s">
        <v>284</v>
      </c>
      <c r="C15" t="s">
        <v>3680</v>
      </c>
      <c r="D15">
        <v>11</v>
      </c>
    </row>
    <row r="16" spans="1:4" x14ac:dyDescent="0.25">
      <c r="A16" t="s">
        <v>4</v>
      </c>
      <c r="B16" t="s">
        <v>887</v>
      </c>
      <c r="C16" t="s">
        <v>1357</v>
      </c>
      <c r="D16">
        <v>9</v>
      </c>
    </row>
    <row r="17" spans="1:4" x14ac:dyDescent="0.25">
      <c r="A17" t="s">
        <v>4</v>
      </c>
      <c r="B17" t="s">
        <v>110</v>
      </c>
      <c r="C17" t="s">
        <v>2539</v>
      </c>
      <c r="D17">
        <v>6</v>
      </c>
    </row>
    <row r="18" spans="1:4" x14ac:dyDescent="0.25">
      <c r="A18" t="s">
        <v>4</v>
      </c>
      <c r="B18" t="s">
        <v>544</v>
      </c>
      <c r="C18" t="s">
        <v>328</v>
      </c>
      <c r="D18">
        <v>7</v>
      </c>
    </row>
    <row r="19" spans="1:4" x14ac:dyDescent="0.25">
      <c r="A19" t="s">
        <v>4</v>
      </c>
      <c r="B19" t="s">
        <v>667</v>
      </c>
      <c r="C19" t="s">
        <v>1360</v>
      </c>
      <c r="D19">
        <v>9</v>
      </c>
    </row>
    <row r="20" spans="1:4" x14ac:dyDescent="0.25">
      <c r="A20" t="s">
        <v>4</v>
      </c>
      <c r="B20" t="s">
        <v>667</v>
      </c>
      <c r="C20" t="s">
        <v>2924</v>
      </c>
      <c r="D20">
        <v>10</v>
      </c>
    </row>
    <row r="21" spans="1:4" x14ac:dyDescent="0.25">
      <c r="A21" t="s">
        <v>4</v>
      </c>
      <c r="B21" t="s">
        <v>709</v>
      </c>
      <c r="C21" t="s">
        <v>3227</v>
      </c>
      <c r="D21">
        <v>13</v>
      </c>
    </row>
    <row r="22" spans="1:4" x14ac:dyDescent="0.25">
      <c r="A22" t="s">
        <v>4</v>
      </c>
      <c r="B22" t="s">
        <v>817</v>
      </c>
      <c r="C22" t="s">
        <v>3389</v>
      </c>
      <c r="D22">
        <v>10</v>
      </c>
    </row>
    <row r="23" spans="1:4" x14ac:dyDescent="0.25">
      <c r="A23" t="s">
        <v>40</v>
      </c>
      <c r="B23" t="s">
        <v>242</v>
      </c>
      <c r="C23" t="s">
        <v>2481</v>
      </c>
      <c r="D23">
        <v>8</v>
      </c>
    </row>
    <row r="24" spans="1:4" x14ac:dyDescent="0.25">
      <c r="A24" t="s">
        <v>40</v>
      </c>
      <c r="B24" t="s">
        <v>1666</v>
      </c>
      <c r="C24" t="s">
        <v>2482</v>
      </c>
      <c r="D24">
        <v>6</v>
      </c>
    </row>
    <row r="25" spans="1:4" x14ac:dyDescent="0.25">
      <c r="A25" t="s">
        <v>40</v>
      </c>
      <c r="B25" t="s">
        <v>332</v>
      </c>
      <c r="C25" t="s">
        <v>717</v>
      </c>
      <c r="D25">
        <v>4</v>
      </c>
    </row>
    <row r="26" spans="1:4" x14ac:dyDescent="0.25">
      <c r="A26" t="s">
        <v>40</v>
      </c>
      <c r="B26" t="s">
        <v>250</v>
      </c>
      <c r="C26" t="s">
        <v>216</v>
      </c>
      <c r="D26">
        <v>6</v>
      </c>
    </row>
    <row r="27" spans="1:4" x14ac:dyDescent="0.25">
      <c r="A27" t="s">
        <v>40</v>
      </c>
      <c r="B27" t="s">
        <v>364</v>
      </c>
      <c r="C27" t="s">
        <v>1583</v>
      </c>
      <c r="D27">
        <v>7</v>
      </c>
    </row>
    <row r="28" spans="1:4" x14ac:dyDescent="0.25">
      <c r="A28" t="s">
        <v>40</v>
      </c>
      <c r="B28" t="s">
        <v>364</v>
      </c>
      <c r="C28" t="s">
        <v>2159</v>
      </c>
      <c r="D28">
        <v>8</v>
      </c>
    </row>
    <row r="29" spans="1:4" x14ac:dyDescent="0.25">
      <c r="A29" t="s">
        <v>40</v>
      </c>
      <c r="B29" t="s">
        <v>217</v>
      </c>
      <c r="C29" t="s">
        <v>934</v>
      </c>
      <c r="D29">
        <v>5</v>
      </c>
    </row>
    <row r="30" spans="1:4" x14ac:dyDescent="0.25">
      <c r="A30" t="s">
        <v>40</v>
      </c>
      <c r="B30" t="s">
        <v>1349</v>
      </c>
      <c r="C30" t="s">
        <v>2360</v>
      </c>
      <c r="D30">
        <v>4</v>
      </c>
    </row>
    <row r="31" spans="1:4" x14ac:dyDescent="0.25">
      <c r="A31" t="s">
        <v>40</v>
      </c>
      <c r="B31" t="s">
        <v>628</v>
      </c>
      <c r="C31" t="s">
        <v>1128</v>
      </c>
      <c r="D31">
        <v>1</v>
      </c>
    </row>
    <row r="32" spans="1:4" x14ac:dyDescent="0.25">
      <c r="A32" t="s">
        <v>40</v>
      </c>
      <c r="B32" t="s">
        <v>376</v>
      </c>
      <c r="C32" t="s">
        <v>2127</v>
      </c>
      <c r="D32">
        <v>-1</v>
      </c>
    </row>
    <row r="33" spans="1:4" x14ac:dyDescent="0.25">
      <c r="A33" t="s">
        <v>40</v>
      </c>
      <c r="B33" t="s">
        <v>341</v>
      </c>
      <c r="C33" t="s">
        <v>1515</v>
      </c>
      <c r="D33">
        <v>-3</v>
      </c>
    </row>
    <row r="34" spans="1:4" x14ac:dyDescent="0.25">
      <c r="A34" t="s">
        <v>40</v>
      </c>
      <c r="B34" t="s">
        <v>2120</v>
      </c>
      <c r="C34" t="s">
        <v>2333</v>
      </c>
      <c r="D34">
        <v>-4</v>
      </c>
    </row>
    <row r="35" spans="1:4" x14ac:dyDescent="0.25">
      <c r="A35" t="s">
        <v>40</v>
      </c>
      <c r="B35" t="s">
        <v>503</v>
      </c>
      <c r="C35" t="s">
        <v>2334</v>
      </c>
      <c r="D35">
        <v>-6</v>
      </c>
    </row>
    <row r="36" spans="1:4" x14ac:dyDescent="0.25">
      <c r="A36" t="s">
        <v>40</v>
      </c>
      <c r="B36" t="s">
        <v>1339</v>
      </c>
      <c r="C36" t="s">
        <v>2875</v>
      </c>
      <c r="D36">
        <v>-4</v>
      </c>
    </row>
    <row r="37" spans="1:4" x14ac:dyDescent="0.25">
      <c r="A37" t="s">
        <v>40</v>
      </c>
      <c r="B37" t="s">
        <v>531</v>
      </c>
      <c r="C37" t="s">
        <v>2362</v>
      </c>
      <c r="D37">
        <v>-3</v>
      </c>
    </row>
    <row r="38" spans="1:4" x14ac:dyDescent="0.25">
      <c r="A38" t="s">
        <v>40</v>
      </c>
      <c r="B38" t="s">
        <v>531</v>
      </c>
      <c r="C38" t="s">
        <v>731</v>
      </c>
      <c r="D38">
        <v>-2</v>
      </c>
    </row>
    <row r="39" spans="1:4" x14ac:dyDescent="0.25">
      <c r="A39" t="s">
        <v>40</v>
      </c>
      <c r="B39" t="s">
        <v>202</v>
      </c>
      <c r="C39" t="s">
        <v>2131</v>
      </c>
      <c r="D39">
        <v>-4</v>
      </c>
    </row>
    <row r="40" spans="1:4" x14ac:dyDescent="0.25">
      <c r="A40" t="s">
        <v>80</v>
      </c>
      <c r="B40" t="s">
        <v>907</v>
      </c>
      <c r="C40" t="s">
        <v>4064</v>
      </c>
      <c r="D40">
        <v>-2</v>
      </c>
    </row>
    <row r="41" spans="1:4" x14ac:dyDescent="0.25">
      <c r="A41" t="s">
        <v>80</v>
      </c>
      <c r="B41" t="s">
        <v>244</v>
      </c>
      <c r="C41" t="s">
        <v>1760</v>
      </c>
      <c r="D41">
        <v>1</v>
      </c>
    </row>
    <row r="42" spans="1:4" x14ac:dyDescent="0.25">
      <c r="A42" t="s">
        <v>80</v>
      </c>
      <c r="B42" t="s">
        <v>1735</v>
      </c>
      <c r="C42" t="s">
        <v>2134</v>
      </c>
      <c r="D42">
        <v>-2</v>
      </c>
    </row>
    <row r="43" spans="1:4" x14ac:dyDescent="0.25">
      <c r="A43" t="s">
        <v>80</v>
      </c>
      <c r="B43" t="s">
        <v>9</v>
      </c>
      <c r="C43" t="s">
        <v>245</v>
      </c>
      <c r="D43">
        <v>0</v>
      </c>
    </row>
    <row r="44" spans="1:4" x14ac:dyDescent="0.25">
      <c r="A44" t="s">
        <v>80</v>
      </c>
      <c r="B44" t="s">
        <v>827</v>
      </c>
      <c r="C44" t="s">
        <v>249</v>
      </c>
      <c r="D44">
        <v>-3</v>
      </c>
    </row>
    <row r="45" spans="1:4" x14ac:dyDescent="0.25">
      <c r="A45" t="s">
        <v>80</v>
      </c>
      <c r="B45" t="s">
        <v>1725</v>
      </c>
      <c r="C45" t="s">
        <v>251</v>
      </c>
      <c r="D45">
        <v>-2</v>
      </c>
    </row>
    <row r="46" spans="1:4" x14ac:dyDescent="0.25">
      <c r="A46" t="s">
        <v>80</v>
      </c>
      <c r="B46" t="s">
        <v>1725</v>
      </c>
      <c r="C46" t="s">
        <v>252</v>
      </c>
      <c r="D46">
        <v>-1</v>
      </c>
    </row>
    <row r="47" spans="1:4" x14ac:dyDescent="0.25">
      <c r="A47" t="s">
        <v>80</v>
      </c>
      <c r="B47" t="s">
        <v>628</v>
      </c>
      <c r="C47" t="s">
        <v>2489</v>
      </c>
      <c r="D47">
        <v>1</v>
      </c>
    </row>
    <row r="48" spans="1:4" x14ac:dyDescent="0.25">
      <c r="A48" t="s">
        <v>80</v>
      </c>
      <c r="B48" t="s">
        <v>1695</v>
      </c>
      <c r="C48" t="s">
        <v>2878</v>
      </c>
      <c r="D48">
        <v>-1</v>
      </c>
    </row>
    <row r="49" spans="1:4" x14ac:dyDescent="0.25">
      <c r="A49" t="s">
        <v>80</v>
      </c>
      <c r="B49" t="s">
        <v>339</v>
      </c>
      <c r="C49" t="s">
        <v>3028</v>
      </c>
      <c r="D49">
        <v>2</v>
      </c>
    </row>
    <row r="50" spans="1:4" x14ac:dyDescent="0.25">
      <c r="A50" t="s">
        <v>80</v>
      </c>
      <c r="B50" t="s">
        <v>1040</v>
      </c>
      <c r="C50" t="s">
        <v>262</v>
      </c>
      <c r="D50">
        <v>-1</v>
      </c>
    </row>
    <row r="51" spans="1:4" x14ac:dyDescent="0.25">
      <c r="A51" t="s">
        <v>80</v>
      </c>
      <c r="B51" t="s">
        <v>384</v>
      </c>
      <c r="C51" t="s">
        <v>377</v>
      </c>
      <c r="D51">
        <v>-2</v>
      </c>
    </row>
    <row r="52" spans="1:4" x14ac:dyDescent="0.25">
      <c r="A52" t="s">
        <v>80</v>
      </c>
      <c r="B52" t="s">
        <v>444</v>
      </c>
      <c r="C52" t="s">
        <v>1229</v>
      </c>
      <c r="D52">
        <v>-4</v>
      </c>
    </row>
    <row r="53" spans="1:4" x14ac:dyDescent="0.25">
      <c r="A53" t="s">
        <v>80</v>
      </c>
      <c r="B53" t="s">
        <v>475</v>
      </c>
      <c r="C53" t="s">
        <v>2612</v>
      </c>
      <c r="D53">
        <v>-2</v>
      </c>
    </row>
    <row r="54" spans="1:4" x14ac:dyDescent="0.25">
      <c r="A54" t="s">
        <v>80</v>
      </c>
      <c r="B54" t="s">
        <v>1750</v>
      </c>
      <c r="C54" t="s">
        <v>381</v>
      </c>
      <c r="D54">
        <v>-1</v>
      </c>
    </row>
    <row r="55" spans="1:4" x14ac:dyDescent="0.25">
      <c r="A55" t="s">
        <v>80</v>
      </c>
      <c r="B55" t="s">
        <v>1750</v>
      </c>
      <c r="C55" t="s">
        <v>2448</v>
      </c>
      <c r="D55">
        <v>0</v>
      </c>
    </row>
    <row r="56" spans="1:4" x14ac:dyDescent="0.25">
      <c r="A56" t="s">
        <v>80</v>
      </c>
      <c r="B56" t="s">
        <v>900</v>
      </c>
      <c r="C56" t="s">
        <v>382</v>
      </c>
      <c r="D56">
        <v>1</v>
      </c>
    </row>
    <row r="57" spans="1:4" x14ac:dyDescent="0.25">
      <c r="A57" t="s">
        <v>80</v>
      </c>
      <c r="B57" t="s">
        <v>900</v>
      </c>
      <c r="C57" t="s">
        <v>383</v>
      </c>
      <c r="D57">
        <v>2</v>
      </c>
    </row>
    <row r="58" spans="1:4" x14ac:dyDescent="0.25">
      <c r="A58" t="s">
        <v>123</v>
      </c>
      <c r="B58" t="s">
        <v>237</v>
      </c>
      <c r="C58" t="s">
        <v>2450</v>
      </c>
      <c r="D58">
        <v>5</v>
      </c>
    </row>
    <row r="59" spans="1:4" x14ac:dyDescent="0.25">
      <c r="A59" t="s">
        <v>123</v>
      </c>
      <c r="B59" t="s">
        <v>2052</v>
      </c>
      <c r="C59" t="s">
        <v>2551</v>
      </c>
      <c r="D59">
        <v>2</v>
      </c>
    </row>
    <row r="60" spans="1:4" x14ac:dyDescent="0.25">
      <c r="A60" t="s">
        <v>123</v>
      </c>
      <c r="B60" t="s">
        <v>427</v>
      </c>
      <c r="C60" t="s">
        <v>2179</v>
      </c>
      <c r="D60">
        <v>4</v>
      </c>
    </row>
    <row r="61" spans="1:4" x14ac:dyDescent="0.25">
      <c r="A61" t="s">
        <v>123</v>
      </c>
      <c r="B61" t="s">
        <v>1666</v>
      </c>
      <c r="C61" t="s">
        <v>2533</v>
      </c>
      <c r="D61">
        <v>1</v>
      </c>
    </row>
    <row r="62" spans="1:4" x14ac:dyDescent="0.25">
      <c r="A62" t="s">
        <v>123</v>
      </c>
      <c r="B62" t="s">
        <v>827</v>
      </c>
      <c r="C62" t="s">
        <v>842</v>
      </c>
      <c r="D62">
        <v>-1</v>
      </c>
    </row>
    <row r="63" spans="1:4" x14ac:dyDescent="0.25">
      <c r="A63" t="s">
        <v>123</v>
      </c>
      <c r="B63" t="s">
        <v>1246</v>
      </c>
      <c r="C63" t="s">
        <v>3199</v>
      </c>
      <c r="D63">
        <v>1</v>
      </c>
    </row>
    <row r="64" spans="1:4" x14ac:dyDescent="0.25">
      <c r="A64" t="s">
        <v>123</v>
      </c>
      <c r="B64" t="s">
        <v>1227</v>
      </c>
      <c r="C64" t="s">
        <v>2915</v>
      </c>
      <c r="D64">
        <v>3</v>
      </c>
    </row>
    <row r="65" spans="1:4" x14ac:dyDescent="0.25">
      <c r="A65" t="s">
        <v>123</v>
      </c>
      <c r="B65" t="s">
        <v>1105</v>
      </c>
      <c r="C65" t="s">
        <v>2916</v>
      </c>
      <c r="D65">
        <v>1</v>
      </c>
    </row>
    <row r="66" spans="1:4" x14ac:dyDescent="0.25">
      <c r="A66" t="s">
        <v>123</v>
      </c>
      <c r="B66" t="s">
        <v>106</v>
      </c>
      <c r="C66" t="s">
        <v>760</v>
      </c>
      <c r="D66">
        <v>3</v>
      </c>
    </row>
    <row r="67" spans="1:4" x14ac:dyDescent="0.25">
      <c r="A67" t="s">
        <v>123</v>
      </c>
      <c r="B67" t="s">
        <v>1153</v>
      </c>
      <c r="C67" t="s">
        <v>3086</v>
      </c>
      <c r="D67">
        <v>0</v>
      </c>
    </row>
    <row r="68" spans="1:4" x14ac:dyDescent="0.25">
      <c r="A68" t="s">
        <v>123</v>
      </c>
      <c r="B68" t="s">
        <v>924</v>
      </c>
      <c r="C68" t="s">
        <v>650</v>
      </c>
      <c r="D68">
        <v>2</v>
      </c>
    </row>
    <row r="69" spans="1:4" x14ac:dyDescent="0.25">
      <c r="A69" t="s">
        <v>123</v>
      </c>
      <c r="B69" t="s">
        <v>414</v>
      </c>
      <c r="C69" t="s">
        <v>653</v>
      </c>
      <c r="D69">
        <v>0</v>
      </c>
    </row>
    <row r="70" spans="1:4" x14ac:dyDescent="0.25">
      <c r="A70" t="s">
        <v>123</v>
      </c>
      <c r="B70" t="s">
        <v>529</v>
      </c>
      <c r="C70" t="s">
        <v>851</v>
      </c>
      <c r="D70">
        <v>-3</v>
      </c>
    </row>
    <row r="71" spans="1:4" x14ac:dyDescent="0.25">
      <c r="A71" t="s">
        <v>123</v>
      </c>
      <c r="B71" t="s">
        <v>815</v>
      </c>
      <c r="C71" t="s">
        <v>659</v>
      </c>
      <c r="D71">
        <v>0</v>
      </c>
    </row>
    <row r="72" spans="1:4" x14ac:dyDescent="0.25">
      <c r="A72" t="s">
        <v>123</v>
      </c>
      <c r="B72" t="s">
        <v>999</v>
      </c>
      <c r="C72" t="s">
        <v>2343</v>
      </c>
      <c r="D72">
        <v>-2</v>
      </c>
    </row>
    <row r="73" spans="1:4" x14ac:dyDescent="0.25">
      <c r="A73" t="s">
        <v>123</v>
      </c>
      <c r="B73" t="s">
        <v>1261</v>
      </c>
      <c r="C73" t="s">
        <v>665</v>
      </c>
      <c r="D73">
        <v>1</v>
      </c>
    </row>
    <row r="74" spans="1:4" x14ac:dyDescent="0.25">
      <c r="A74" t="s">
        <v>123</v>
      </c>
      <c r="B74" t="s">
        <v>1627</v>
      </c>
      <c r="C74" t="s">
        <v>2245</v>
      </c>
      <c r="D74">
        <v>0</v>
      </c>
    </row>
    <row r="75" spans="1:4" x14ac:dyDescent="0.25">
      <c r="A75" t="s">
        <v>123</v>
      </c>
      <c r="B75" t="s">
        <v>1627</v>
      </c>
      <c r="C75" t="s">
        <v>526</v>
      </c>
      <c r="D75">
        <v>-1</v>
      </c>
    </row>
    <row r="76" spans="1:4" x14ac:dyDescent="0.25">
      <c r="A76" t="s">
        <v>123</v>
      </c>
      <c r="B76" t="s">
        <v>584</v>
      </c>
      <c r="C76" t="s">
        <v>3998</v>
      </c>
      <c r="D76">
        <v>1</v>
      </c>
    </row>
    <row r="78" spans="1:4" x14ac:dyDescent="0.25">
      <c r="A78" s="2" t="s">
        <v>157</v>
      </c>
    </row>
    <row r="79" spans="1:4" x14ac:dyDescent="0.25">
      <c r="A79" t="s">
        <v>158</v>
      </c>
      <c r="D79">
        <f>AVERAGE(D2:D76)</f>
        <v>2.3866666666666667</v>
      </c>
    </row>
    <row r="80" spans="1:4" x14ac:dyDescent="0.25">
      <c r="A80" t="s">
        <v>159</v>
      </c>
      <c r="D80">
        <f>MAX(D2:D76)</f>
        <v>13</v>
      </c>
    </row>
    <row r="81" spans="1:4" x14ac:dyDescent="0.25">
      <c r="A81" t="s">
        <v>160</v>
      </c>
      <c r="D81">
        <f>MIN(D2:D76)</f>
        <v>-6</v>
      </c>
    </row>
    <row r="82" spans="1:4" x14ac:dyDescent="0.25">
      <c r="A82" t="s">
        <v>161</v>
      </c>
      <c r="D82">
        <f>COUNTIF(D2:D76,"&gt;0")</f>
        <v>46</v>
      </c>
    </row>
    <row r="83" spans="1:4" x14ac:dyDescent="0.25">
      <c r="A83" t="s">
        <v>162</v>
      </c>
      <c r="D83">
        <f>COUNTIF(D2:D76,"=0")</f>
        <v>6</v>
      </c>
    </row>
    <row r="84" spans="1:4" x14ac:dyDescent="0.25">
      <c r="A84" t="s">
        <v>1491</v>
      </c>
      <c r="D84">
        <f>COUNTIF(D2:D76,"&lt;0")</f>
        <v>23</v>
      </c>
    </row>
    <row r="86" spans="1:4" x14ac:dyDescent="0.25">
      <c r="A86" s="2" t="s">
        <v>164</v>
      </c>
    </row>
    <row r="87" spans="1:4" x14ac:dyDescent="0.25">
      <c r="A87" t="s">
        <v>165</v>
      </c>
      <c r="D87">
        <f>AVERAGE(D2,D3,D4,D5,D6,D7,D8,D9,D10,D11,D12,D13,D14,D15,D16,D17,D18,D19,D20,D21,D22)</f>
        <v>7.333333333333333</v>
      </c>
    </row>
    <row r="88" spans="1:4" x14ac:dyDescent="0.25">
      <c r="A88" t="s">
        <v>166</v>
      </c>
      <c r="D88">
        <f>AVERAGE(D23,D24,D25,D26,D27,D28,D29,D30,D31,D32,D33,D34,D35,D36,D37,D38,D39)</f>
        <v>1.2941176470588236</v>
      </c>
    </row>
    <row r="89" spans="1:4" x14ac:dyDescent="0.25">
      <c r="A89" t="s">
        <v>167</v>
      </c>
      <c r="D89">
        <f>AVERAGE(D40,D41,D42,D43,D44,D45,D46,D47,D48,D49,D50,D51,D52,D53,D54,D55,D56,D57)</f>
        <v>-0.77777777777777779</v>
      </c>
    </row>
    <row r="90" spans="1:4" x14ac:dyDescent="0.25">
      <c r="A90" t="s">
        <v>168</v>
      </c>
      <c r="D90">
        <f>AVERAGE(D58,D59,D60,D61,D62,D63,D64,D65,D66,D67,D68,D69,D70,D71,D72,D73,D74,D75,D76)</f>
        <v>0.89473684210526316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932</v>
      </c>
      <c r="C2" t="s">
        <v>171</v>
      </c>
      <c r="D2">
        <v>3</v>
      </c>
    </row>
    <row r="3" spans="1:4" x14ac:dyDescent="0.25">
      <c r="A3" t="s">
        <v>4</v>
      </c>
      <c r="B3" t="s">
        <v>1665</v>
      </c>
      <c r="C3" t="s">
        <v>1572</v>
      </c>
      <c r="D3">
        <v>5</v>
      </c>
    </row>
    <row r="4" spans="1:4" x14ac:dyDescent="0.25">
      <c r="A4" t="s">
        <v>4</v>
      </c>
      <c r="B4" t="s">
        <v>618</v>
      </c>
      <c r="C4" t="s">
        <v>4340</v>
      </c>
      <c r="D4">
        <v>4</v>
      </c>
    </row>
    <row r="5" spans="1:4" x14ac:dyDescent="0.25">
      <c r="A5" t="s">
        <v>4</v>
      </c>
      <c r="B5" t="s">
        <v>618</v>
      </c>
      <c r="C5" t="s">
        <v>1347</v>
      </c>
      <c r="D5">
        <v>3</v>
      </c>
    </row>
    <row r="6" spans="1:4" x14ac:dyDescent="0.25">
      <c r="A6" t="s">
        <v>4</v>
      </c>
      <c r="B6" t="s">
        <v>1169</v>
      </c>
      <c r="C6" t="s">
        <v>1972</v>
      </c>
      <c r="D6">
        <v>6</v>
      </c>
    </row>
    <row r="7" spans="1:4" x14ac:dyDescent="0.25">
      <c r="A7" t="s">
        <v>4</v>
      </c>
      <c r="B7" t="s">
        <v>621</v>
      </c>
      <c r="C7" t="s">
        <v>695</v>
      </c>
      <c r="D7">
        <v>3</v>
      </c>
    </row>
    <row r="8" spans="1:4" x14ac:dyDescent="0.25">
      <c r="A8" t="s">
        <v>4</v>
      </c>
      <c r="B8" t="s">
        <v>1011</v>
      </c>
      <c r="C8" t="s">
        <v>1012</v>
      </c>
      <c r="D8">
        <v>4</v>
      </c>
    </row>
    <row r="9" spans="1:4" x14ac:dyDescent="0.25">
      <c r="A9" t="s">
        <v>4</v>
      </c>
      <c r="B9" t="s">
        <v>1011</v>
      </c>
      <c r="C9" t="s">
        <v>1974</v>
      </c>
      <c r="D9">
        <v>5</v>
      </c>
    </row>
    <row r="10" spans="1:4" x14ac:dyDescent="0.25">
      <c r="A10" t="s">
        <v>4</v>
      </c>
      <c r="B10" t="s">
        <v>2842</v>
      </c>
      <c r="C10" t="s">
        <v>2594</v>
      </c>
      <c r="D10">
        <v>6</v>
      </c>
    </row>
    <row r="11" spans="1:4" x14ac:dyDescent="0.25">
      <c r="A11" t="s">
        <v>4</v>
      </c>
      <c r="B11" t="s">
        <v>366</v>
      </c>
      <c r="C11" t="s">
        <v>783</v>
      </c>
      <c r="D11">
        <v>7</v>
      </c>
    </row>
    <row r="12" spans="1:4" x14ac:dyDescent="0.25">
      <c r="A12" t="s">
        <v>4</v>
      </c>
      <c r="B12" t="s">
        <v>366</v>
      </c>
      <c r="C12" t="s">
        <v>1271</v>
      </c>
      <c r="D12">
        <v>8</v>
      </c>
    </row>
    <row r="13" spans="1:4" x14ac:dyDescent="0.25">
      <c r="A13" t="s">
        <v>4</v>
      </c>
      <c r="B13" t="s">
        <v>1695</v>
      </c>
      <c r="C13" t="s">
        <v>2647</v>
      </c>
      <c r="D13">
        <v>6</v>
      </c>
    </row>
    <row r="14" spans="1:4" x14ac:dyDescent="0.25">
      <c r="A14" t="s">
        <v>4</v>
      </c>
      <c r="B14" t="s">
        <v>807</v>
      </c>
      <c r="C14" t="s">
        <v>1014</v>
      </c>
      <c r="D14">
        <v>8</v>
      </c>
    </row>
    <row r="15" spans="1:4" x14ac:dyDescent="0.25">
      <c r="A15" t="s">
        <v>4</v>
      </c>
      <c r="B15" t="s">
        <v>1481</v>
      </c>
      <c r="C15" t="s">
        <v>1355</v>
      </c>
      <c r="D15">
        <v>6</v>
      </c>
    </row>
    <row r="16" spans="1:4" x14ac:dyDescent="0.25">
      <c r="A16" t="s">
        <v>4</v>
      </c>
      <c r="B16" t="s">
        <v>815</v>
      </c>
      <c r="C16" t="s">
        <v>194</v>
      </c>
      <c r="D16">
        <v>9</v>
      </c>
    </row>
    <row r="17" spans="1:4" x14ac:dyDescent="0.25">
      <c r="A17" t="s">
        <v>4</v>
      </c>
      <c r="B17" t="s">
        <v>1437</v>
      </c>
      <c r="C17" t="s">
        <v>195</v>
      </c>
      <c r="D17">
        <v>8</v>
      </c>
    </row>
    <row r="18" spans="1:4" x14ac:dyDescent="0.25">
      <c r="A18" t="s">
        <v>4</v>
      </c>
      <c r="B18" t="s">
        <v>1437</v>
      </c>
      <c r="C18" t="s">
        <v>787</v>
      </c>
      <c r="D18">
        <v>7</v>
      </c>
    </row>
    <row r="19" spans="1:4" x14ac:dyDescent="0.25">
      <c r="A19" t="s">
        <v>4</v>
      </c>
      <c r="B19" t="s">
        <v>346</v>
      </c>
      <c r="C19" t="s">
        <v>2921</v>
      </c>
      <c r="D19">
        <v>8</v>
      </c>
    </row>
    <row r="20" spans="1:4" x14ac:dyDescent="0.25">
      <c r="A20" t="s">
        <v>4</v>
      </c>
      <c r="B20" t="s">
        <v>346</v>
      </c>
      <c r="C20" t="s">
        <v>1357</v>
      </c>
      <c r="D20">
        <v>9</v>
      </c>
    </row>
    <row r="21" spans="1:4" x14ac:dyDescent="0.25">
      <c r="A21" t="s">
        <v>4</v>
      </c>
      <c r="B21" t="s">
        <v>1809</v>
      </c>
      <c r="C21" t="s">
        <v>326</v>
      </c>
      <c r="D21">
        <v>8</v>
      </c>
    </row>
    <row r="22" spans="1:4" x14ac:dyDescent="0.25">
      <c r="A22" t="s">
        <v>4</v>
      </c>
      <c r="B22" t="s">
        <v>350</v>
      </c>
      <c r="C22" t="s">
        <v>2539</v>
      </c>
      <c r="D22">
        <v>6</v>
      </c>
    </row>
    <row r="23" spans="1:4" x14ac:dyDescent="0.25">
      <c r="A23" t="s">
        <v>4</v>
      </c>
      <c r="B23" t="s">
        <v>396</v>
      </c>
      <c r="C23" t="s">
        <v>1360</v>
      </c>
      <c r="D23">
        <v>9</v>
      </c>
    </row>
    <row r="24" spans="1:4" x14ac:dyDescent="0.25">
      <c r="A24" t="s">
        <v>40</v>
      </c>
      <c r="B24" t="s">
        <v>857</v>
      </c>
      <c r="C24" t="s">
        <v>923</v>
      </c>
      <c r="D24">
        <v>7</v>
      </c>
    </row>
    <row r="25" spans="1:4" x14ac:dyDescent="0.25">
      <c r="A25" t="s">
        <v>40</v>
      </c>
      <c r="B25" t="s">
        <v>1146</v>
      </c>
      <c r="C25" t="s">
        <v>1207</v>
      </c>
      <c r="D25">
        <v>5</v>
      </c>
    </row>
    <row r="26" spans="1:4" x14ac:dyDescent="0.25">
      <c r="A26" t="s">
        <v>40</v>
      </c>
      <c r="B26" t="s">
        <v>462</v>
      </c>
      <c r="C26" t="s">
        <v>1581</v>
      </c>
      <c r="D26">
        <v>7</v>
      </c>
    </row>
    <row r="27" spans="1:4" x14ac:dyDescent="0.25">
      <c r="A27" t="s">
        <v>40</v>
      </c>
      <c r="B27" t="s">
        <v>138</v>
      </c>
      <c r="C27" t="s">
        <v>1439</v>
      </c>
      <c r="D27">
        <v>4</v>
      </c>
    </row>
    <row r="28" spans="1:4" x14ac:dyDescent="0.25">
      <c r="A28" t="s">
        <v>40</v>
      </c>
      <c r="B28" t="s">
        <v>186</v>
      </c>
      <c r="C28" t="s">
        <v>2482</v>
      </c>
      <c r="D28">
        <v>6</v>
      </c>
    </row>
    <row r="29" spans="1:4" x14ac:dyDescent="0.25">
      <c r="A29" t="s">
        <v>40</v>
      </c>
      <c r="B29" t="s">
        <v>1228</v>
      </c>
      <c r="C29" t="s">
        <v>717</v>
      </c>
      <c r="D29">
        <v>4</v>
      </c>
    </row>
    <row r="30" spans="1:4" x14ac:dyDescent="0.25">
      <c r="A30" t="s">
        <v>40</v>
      </c>
      <c r="B30" t="s">
        <v>1350</v>
      </c>
      <c r="C30" t="s">
        <v>718</v>
      </c>
      <c r="D30">
        <v>1</v>
      </c>
    </row>
    <row r="31" spans="1:4" x14ac:dyDescent="0.25">
      <c r="A31" t="s">
        <v>40</v>
      </c>
      <c r="B31" t="s">
        <v>108</v>
      </c>
      <c r="C31" t="s">
        <v>3207</v>
      </c>
      <c r="D31">
        <v>0</v>
      </c>
    </row>
    <row r="32" spans="1:4" x14ac:dyDescent="0.25">
      <c r="A32" t="s">
        <v>40</v>
      </c>
      <c r="B32" t="s">
        <v>108</v>
      </c>
      <c r="C32" t="s">
        <v>3962</v>
      </c>
      <c r="D32">
        <v>-1</v>
      </c>
    </row>
    <row r="33" spans="1:4" x14ac:dyDescent="0.25">
      <c r="A33" t="s">
        <v>40</v>
      </c>
      <c r="B33" t="s">
        <v>1698</v>
      </c>
      <c r="C33" t="s">
        <v>343</v>
      </c>
      <c r="D33">
        <v>2</v>
      </c>
    </row>
    <row r="34" spans="1:4" x14ac:dyDescent="0.25">
      <c r="A34" t="s">
        <v>40</v>
      </c>
      <c r="B34" t="s">
        <v>440</v>
      </c>
      <c r="C34" t="s">
        <v>464</v>
      </c>
      <c r="D34">
        <v>0</v>
      </c>
    </row>
    <row r="35" spans="1:4" x14ac:dyDescent="0.25">
      <c r="A35" t="s">
        <v>40</v>
      </c>
      <c r="B35" t="s">
        <v>579</v>
      </c>
      <c r="C35" t="s">
        <v>1131</v>
      </c>
      <c r="D35">
        <v>3</v>
      </c>
    </row>
    <row r="36" spans="1:4" x14ac:dyDescent="0.25">
      <c r="A36" t="s">
        <v>40</v>
      </c>
      <c r="B36" t="s">
        <v>148</v>
      </c>
      <c r="C36" t="s">
        <v>1133</v>
      </c>
      <c r="D36">
        <v>1</v>
      </c>
    </row>
    <row r="37" spans="1:4" x14ac:dyDescent="0.25">
      <c r="A37" t="s">
        <v>40</v>
      </c>
      <c r="B37" t="s">
        <v>611</v>
      </c>
      <c r="C37" t="s">
        <v>229</v>
      </c>
      <c r="D37">
        <v>4</v>
      </c>
    </row>
    <row r="38" spans="1:4" x14ac:dyDescent="0.25">
      <c r="A38" t="s">
        <v>40</v>
      </c>
      <c r="B38" t="s">
        <v>1180</v>
      </c>
      <c r="C38" t="s">
        <v>354</v>
      </c>
      <c r="D38">
        <v>1</v>
      </c>
    </row>
    <row r="39" spans="1:4" x14ac:dyDescent="0.25">
      <c r="A39" t="s">
        <v>40</v>
      </c>
      <c r="B39" t="s">
        <v>1733</v>
      </c>
      <c r="C39" t="s">
        <v>1757</v>
      </c>
      <c r="D39">
        <v>3</v>
      </c>
    </row>
    <row r="40" spans="1:4" x14ac:dyDescent="0.25">
      <c r="A40" t="s">
        <v>40</v>
      </c>
      <c r="B40" t="s">
        <v>1568</v>
      </c>
      <c r="C40" t="s">
        <v>476</v>
      </c>
      <c r="D40">
        <v>1</v>
      </c>
    </row>
    <row r="41" spans="1:4" x14ac:dyDescent="0.25">
      <c r="A41" t="s">
        <v>80</v>
      </c>
      <c r="B41" t="s">
        <v>563</v>
      </c>
      <c r="C41" t="s">
        <v>478</v>
      </c>
      <c r="D41">
        <v>4</v>
      </c>
    </row>
    <row r="42" spans="1:4" x14ac:dyDescent="0.25">
      <c r="A42" t="s">
        <v>80</v>
      </c>
      <c r="B42" t="s">
        <v>1973</v>
      </c>
      <c r="C42" t="s">
        <v>2166</v>
      </c>
      <c r="D42">
        <v>6</v>
      </c>
    </row>
    <row r="43" spans="1:4" x14ac:dyDescent="0.25">
      <c r="A43" t="s">
        <v>80</v>
      </c>
      <c r="B43" t="s">
        <v>1143</v>
      </c>
      <c r="C43" t="s">
        <v>2167</v>
      </c>
      <c r="D43">
        <v>9</v>
      </c>
    </row>
    <row r="44" spans="1:4" x14ac:dyDescent="0.25">
      <c r="A44" t="s">
        <v>80</v>
      </c>
      <c r="B44" t="s">
        <v>1169</v>
      </c>
      <c r="C44" t="s">
        <v>2168</v>
      </c>
      <c r="D44">
        <v>7</v>
      </c>
    </row>
    <row r="45" spans="1:4" x14ac:dyDescent="0.25">
      <c r="A45" t="s">
        <v>80</v>
      </c>
      <c r="B45" t="s">
        <v>1755</v>
      </c>
      <c r="C45" t="s">
        <v>1596</v>
      </c>
      <c r="D45">
        <v>10</v>
      </c>
    </row>
    <row r="46" spans="1:4" x14ac:dyDescent="0.25">
      <c r="A46" t="s">
        <v>80</v>
      </c>
      <c r="B46" t="s">
        <v>335</v>
      </c>
      <c r="C46" t="s">
        <v>3343</v>
      </c>
      <c r="D46">
        <v>13</v>
      </c>
    </row>
    <row r="47" spans="1:4" x14ac:dyDescent="0.25">
      <c r="A47" t="s">
        <v>80</v>
      </c>
      <c r="B47" t="s">
        <v>836</v>
      </c>
      <c r="C47" t="s">
        <v>1599</v>
      </c>
      <c r="D47">
        <v>11</v>
      </c>
    </row>
    <row r="48" spans="1:4" x14ac:dyDescent="0.25">
      <c r="A48" t="s">
        <v>80</v>
      </c>
      <c r="B48" t="s">
        <v>836</v>
      </c>
      <c r="C48" t="s">
        <v>3834</v>
      </c>
      <c r="D48">
        <v>10</v>
      </c>
    </row>
    <row r="49" spans="1:4" x14ac:dyDescent="0.25">
      <c r="A49" t="s">
        <v>80</v>
      </c>
      <c r="B49" t="s">
        <v>870</v>
      </c>
      <c r="C49" t="s">
        <v>1152</v>
      </c>
      <c r="D49">
        <v>12</v>
      </c>
    </row>
    <row r="50" spans="1:4" x14ac:dyDescent="0.25">
      <c r="A50" t="s">
        <v>80</v>
      </c>
      <c r="B50" t="s">
        <v>1349</v>
      </c>
      <c r="C50" t="s">
        <v>3996</v>
      </c>
      <c r="D50">
        <v>14</v>
      </c>
    </row>
    <row r="51" spans="1:4" x14ac:dyDescent="0.25">
      <c r="A51" t="s">
        <v>80</v>
      </c>
      <c r="B51" t="s">
        <v>1090</v>
      </c>
      <c r="C51" t="s">
        <v>2936</v>
      </c>
      <c r="D51">
        <v>12</v>
      </c>
    </row>
    <row r="52" spans="1:4" x14ac:dyDescent="0.25">
      <c r="A52" t="s">
        <v>80</v>
      </c>
      <c r="B52" t="s">
        <v>663</v>
      </c>
      <c r="C52" t="s">
        <v>1156</v>
      </c>
      <c r="D52">
        <v>10</v>
      </c>
    </row>
    <row r="53" spans="1:4" x14ac:dyDescent="0.25">
      <c r="A53" t="s">
        <v>80</v>
      </c>
      <c r="B53" t="s">
        <v>223</v>
      </c>
      <c r="C53" t="s">
        <v>1157</v>
      </c>
      <c r="D53">
        <v>12</v>
      </c>
    </row>
    <row r="54" spans="1:4" x14ac:dyDescent="0.25">
      <c r="A54" t="s">
        <v>80</v>
      </c>
      <c r="B54" t="s">
        <v>110</v>
      </c>
      <c r="C54" t="s">
        <v>3018</v>
      </c>
      <c r="D54">
        <v>11</v>
      </c>
    </row>
    <row r="55" spans="1:4" x14ac:dyDescent="0.25">
      <c r="A55" t="s">
        <v>80</v>
      </c>
      <c r="B55" t="s">
        <v>112</v>
      </c>
      <c r="C55" t="s">
        <v>1158</v>
      </c>
      <c r="D55">
        <v>10</v>
      </c>
    </row>
    <row r="56" spans="1:4" x14ac:dyDescent="0.25">
      <c r="A56" t="s">
        <v>80</v>
      </c>
      <c r="B56" t="s">
        <v>629</v>
      </c>
      <c r="C56" t="s">
        <v>3722</v>
      </c>
      <c r="D56">
        <v>12</v>
      </c>
    </row>
    <row r="57" spans="1:4" x14ac:dyDescent="0.25">
      <c r="A57" t="s">
        <v>80</v>
      </c>
      <c r="B57" t="s">
        <v>629</v>
      </c>
      <c r="C57" t="s">
        <v>1686</v>
      </c>
      <c r="D57">
        <v>13</v>
      </c>
    </row>
    <row r="58" spans="1:4" x14ac:dyDescent="0.25">
      <c r="A58" t="s">
        <v>80</v>
      </c>
      <c r="B58" t="s">
        <v>1177</v>
      </c>
      <c r="C58" t="s">
        <v>4016</v>
      </c>
      <c r="D58">
        <v>16</v>
      </c>
    </row>
    <row r="59" spans="1:4" x14ac:dyDescent="0.25">
      <c r="A59" t="s">
        <v>80</v>
      </c>
      <c r="B59" t="s">
        <v>996</v>
      </c>
      <c r="C59" t="s">
        <v>4144</v>
      </c>
      <c r="D59">
        <v>15</v>
      </c>
    </row>
    <row r="60" spans="1:4" x14ac:dyDescent="0.25">
      <c r="A60" t="s">
        <v>80</v>
      </c>
      <c r="B60" t="s">
        <v>996</v>
      </c>
      <c r="C60" t="s">
        <v>2793</v>
      </c>
      <c r="D60">
        <v>14</v>
      </c>
    </row>
    <row r="61" spans="1:4" x14ac:dyDescent="0.25">
      <c r="A61" t="s">
        <v>80</v>
      </c>
      <c r="B61" t="s">
        <v>673</v>
      </c>
      <c r="C61" t="s">
        <v>2671</v>
      </c>
      <c r="D61">
        <v>16</v>
      </c>
    </row>
    <row r="62" spans="1:4" x14ac:dyDescent="0.25">
      <c r="A62" t="s">
        <v>80</v>
      </c>
      <c r="B62" t="s">
        <v>33</v>
      </c>
      <c r="C62" t="s">
        <v>2866</v>
      </c>
      <c r="D62">
        <v>14</v>
      </c>
    </row>
    <row r="63" spans="1:4" x14ac:dyDescent="0.25">
      <c r="A63" t="s">
        <v>80</v>
      </c>
      <c r="B63" t="s">
        <v>422</v>
      </c>
      <c r="C63" t="s">
        <v>2795</v>
      </c>
      <c r="D63">
        <v>15</v>
      </c>
    </row>
    <row r="64" spans="1:4" x14ac:dyDescent="0.25">
      <c r="A64" t="s">
        <v>80</v>
      </c>
      <c r="B64" t="s">
        <v>422</v>
      </c>
      <c r="C64" t="s">
        <v>4018</v>
      </c>
      <c r="D64">
        <v>16</v>
      </c>
    </row>
    <row r="65" spans="1:4" x14ac:dyDescent="0.25">
      <c r="A65" t="s">
        <v>80</v>
      </c>
      <c r="B65" t="s">
        <v>817</v>
      </c>
      <c r="C65" t="s">
        <v>3734</v>
      </c>
      <c r="D65">
        <v>14</v>
      </c>
    </row>
    <row r="66" spans="1:4" x14ac:dyDescent="0.25">
      <c r="A66" t="s">
        <v>123</v>
      </c>
      <c r="B66" t="s">
        <v>453</v>
      </c>
      <c r="C66" t="s">
        <v>3940</v>
      </c>
      <c r="D66">
        <v>13</v>
      </c>
    </row>
    <row r="67" spans="1:4" x14ac:dyDescent="0.25">
      <c r="A67" t="s">
        <v>123</v>
      </c>
      <c r="B67" t="s">
        <v>453</v>
      </c>
      <c r="C67" t="s">
        <v>2868</v>
      </c>
      <c r="D67">
        <v>12</v>
      </c>
    </row>
    <row r="68" spans="1:4" x14ac:dyDescent="0.25">
      <c r="A68" t="s">
        <v>123</v>
      </c>
      <c r="B68" t="s">
        <v>2421</v>
      </c>
      <c r="C68" t="s">
        <v>1612</v>
      </c>
      <c r="D68">
        <v>9</v>
      </c>
    </row>
    <row r="69" spans="1:4" x14ac:dyDescent="0.25">
      <c r="A69" t="s">
        <v>123</v>
      </c>
      <c r="B69" t="s">
        <v>273</v>
      </c>
      <c r="C69" t="s">
        <v>1614</v>
      </c>
      <c r="D69">
        <v>7</v>
      </c>
    </row>
    <row r="70" spans="1:4" x14ac:dyDescent="0.25">
      <c r="A70" t="s">
        <v>123</v>
      </c>
      <c r="B70" t="s">
        <v>935</v>
      </c>
      <c r="C70" t="s">
        <v>761</v>
      </c>
      <c r="D70">
        <v>5</v>
      </c>
    </row>
    <row r="71" spans="1:4" x14ac:dyDescent="0.25">
      <c r="A71" t="s">
        <v>123</v>
      </c>
      <c r="B71" t="s">
        <v>1851</v>
      </c>
      <c r="C71" t="s">
        <v>404</v>
      </c>
      <c r="D71">
        <v>7</v>
      </c>
    </row>
    <row r="72" spans="1:4" x14ac:dyDescent="0.25">
      <c r="A72" t="s">
        <v>123</v>
      </c>
      <c r="B72" t="s">
        <v>132</v>
      </c>
      <c r="C72" t="s">
        <v>407</v>
      </c>
      <c r="D72">
        <v>9</v>
      </c>
    </row>
    <row r="73" spans="1:4" x14ac:dyDescent="0.25">
      <c r="A73" t="s">
        <v>123</v>
      </c>
      <c r="B73" t="s">
        <v>1248</v>
      </c>
      <c r="C73" t="s">
        <v>409</v>
      </c>
      <c r="D73">
        <v>7</v>
      </c>
    </row>
    <row r="74" spans="1:4" x14ac:dyDescent="0.25">
      <c r="A74" t="s">
        <v>123</v>
      </c>
      <c r="B74" t="s">
        <v>54</v>
      </c>
      <c r="C74" t="s">
        <v>1616</v>
      </c>
      <c r="D74">
        <v>9</v>
      </c>
    </row>
    <row r="75" spans="1:4" x14ac:dyDescent="0.25">
      <c r="A75" t="s">
        <v>123</v>
      </c>
      <c r="B75" t="s">
        <v>1498</v>
      </c>
      <c r="C75" t="s">
        <v>3707</v>
      </c>
      <c r="D75">
        <v>6</v>
      </c>
    </row>
    <row r="76" spans="1:4" x14ac:dyDescent="0.25">
      <c r="A76" t="s">
        <v>123</v>
      </c>
      <c r="B76" t="s">
        <v>1230</v>
      </c>
      <c r="C76" t="s">
        <v>3836</v>
      </c>
      <c r="D76">
        <v>4</v>
      </c>
    </row>
    <row r="77" spans="1:4" x14ac:dyDescent="0.25">
      <c r="A77" t="s">
        <v>123</v>
      </c>
      <c r="B77" t="s">
        <v>661</v>
      </c>
      <c r="C77" t="s">
        <v>3578</v>
      </c>
      <c r="D77">
        <v>2</v>
      </c>
    </row>
    <row r="78" spans="1:4" x14ac:dyDescent="0.25">
      <c r="A78" t="s">
        <v>123</v>
      </c>
      <c r="B78" t="s">
        <v>337</v>
      </c>
      <c r="C78" t="s">
        <v>769</v>
      </c>
      <c r="D78">
        <v>3</v>
      </c>
    </row>
    <row r="79" spans="1:4" x14ac:dyDescent="0.25">
      <c r="A79" t="s">
        <v>123</v>
      </c>
      <c r="B79" t="s">
        <v>337</v>
      </c>
      <c r="C79" t="s">
        <v>1965</v>
      </c>
      <c r="D79">
        <v>4</v>
      </c>
    </row>
    <row r="80" spans="1:4" x14ac:dyDescent="0.25">
      <c r="A80" t="s">
        <v>123</v>
      </c>
      <c r="B80" t="s">
        <v>1339</v>
      </c>
      <c r="C80" t="s">
        <v>1621</v>
      </c>
      <c r="D80">
        <v>6</v>
      </c>
    </row>
    <row r="81" spans="1:4" x14ac:dyDescent="0.25">
      <c r="A81" t="s">
        <v>123</v>
      </c>
      <c r="B81" t="s">
        <v>231</v>
      </c>
      <c r="C81" t="s">
        <v>3203</v>
      </c>
      <c r="D81">
        <v>5</v>
      </c>
    </row>
    <row r="82" spans="1:4" x14ac:dyDescent="0.25">
      <c r="A82" t="s">
        <v>123</v>
      </c>
      <c r="B82" t="s">
        <v>231</v>
      </c>
      <c r="C82" t="s">
        <v>670</v>
      </c>
      <c r="D82">
        <v>4</v>
      </c>
    </row>
    <row r="83" spans="1:4" x14ac:dyDescent="0.25">
      <c r="A83" t="s">
        <v>123</v>
      </c>
      <c r="B83" t="s">
        <v>1675</v>
      </c>
      <c r="C83" t="s">
        <v>3837</v>
      </c>
      <c r="D83">
        <v>5</v>
      </c>
    </row>
    <row r="84" spans="1:4" x14ac:dyDescent="0.25">
      <c r="A84" t="s">
        <v>123</v>
      </c>
      <c r="B84" t="s">
        <v>927</v>
      </c>
      <c r="C84" t="s">
        <v>3725</v>
      </c>
      <c r="D84">
        <v>7</v>
      </c>
    </row>
    <row r="85" spans="1:4" x14ac:dyDescent="0.25">
      <c r="A85" t="s">
        <v>123</v>
      </c>
      <c r="B85" t="s">
        <v>927</v>
      </c>
      <c r="C85" t="s">
        <v>4341</v>
      </c>
      <c r="D85">
        <v>8</v>
      </c>
    </row>
    <row r="86" spans="1:4" x14ac:dyDescent="0.25">
      <c r="A86" t="s">
        <v>123</v>
      </c>
      <c r="B86" t="s">
        <v>451</v>
      </c>
      <c r="C86" t="s">
        <v>2680</v>
      </c>
      <c r="D86">
        <v>9</v>
      </c>
    </row>
    <row r="87" spans="1:4" x14ac:dyDescent="0.25">
      <c r="A87" t="s">
        <v>123</v>
      </c>
      <c r="B87" t="s">
        <v>451</v>
      </c>
      <c r="C87" t="s">
        <v>4342</v>
      </c>
      <c r="D87">
        <v>10</v>
      </c>
    </row>
    <row r="88" spans="1:4" x14ac:dyDescent="0.25">
      <c r="A88" t="s">
        <v>123</v>
      </c>
      <c r="B88" t="s">
        <v>38</v>
      </c>
      <c r="C88" t="s">
        <v>679</v>
      </c>
      <c r="D88">
        <v>8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7.3678160919540234</v>
      </c>
    </row>
    <row r="92" spans="1:4" x14ac:dyDescent="0.25">
      <c r="A92" t="s">
        <v>159</v>
      </c>
      <c r="D92">
        <f>MAX(D2:D88)</f>
        <v>16</v>
      </c>
    </row>
    <row r="93" spans="1:4" x14ac:dyDescent="0.25">
      <c r="A93" t="s">
        <v>160</v>
      </c>
      <c r="D93">
        <f>MIN(D2:D88)</f>
        <v>-1</v>
      </c>
    </row>
    <row r="94" spans="1:4" x14ac:dyDescent="0.25">
      <c r="A94" t="s">
        <v>161</v>
      </c>
      <c r="D94">
        <f>COUNTIF(D2:D88,"&gt;0")</f>
        <v>84</v>
      </c>
    </row>
    <row r="95" spans="1:4" x14ac:dyDescent="0.25">
      <c r="A95" t="s">
        <v>162</v>
      </c>
      <c r="D95">
        <f>COUNTIF(D2:D88,"=0")</f>
        <v>2</v>
      </c>
    </row>
    <row r="96" spans="1:4" x14ac:dyDescent="0.25">
      <c r="A96" t="s">
        <v>4343</v>
      </c>
      <c r="D96">
        <f>COUNTIF(D2:D88,"&lt;0")</f>
        <v>1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AVERAGE(D2,D3,D4,D5,D6,D7,D8,D9,D10,D11,D12,D13,D14,D15,D16,D17,D18,D19,D20,D21,D22,D23)</f>
        <v>6.2727272727272725</v>
      </c>
    </row>
    <row r="100" spans="1:4" x14ac:dyDescent="0.25">
      <c r="A100" t="s">
        <v>166</v>
      </c>
      <c r="D100">
        <f>AVERAGE(D24,D25,D26,D27,D28,D29,D30,D31,D32,D33,D34,D35,D36,D37,D38,D39,D40)</f>
        <v>2.8235294117647061</v>
      </c>
    </row>
    <row r="101" spans="1:4" x14ac:dyDescent="0.25">
      <c r="A101" t="s">
        <v>167</v>
      </c>
      <c r="D101">
        <f>AVERAGE(D41,D42,D43,D44,D45,D46,D47,D48,D49,D50,D51,D52,D53,D54,D55,D56,D57,D58,D59,D60,D61,D62,D63,D64,D65)</f>
        <v>11.84</v>
      </c>
    </row>
    <row r="102" spans="1:4" x14ac:dyDescent="0.25">
      <c r="A102" t="s">
        <v>168</v>
      </c>
      <c r="D102">
        <f>AVERAGE(D66,D67,D68,D69,D70,D71,D72,D73,D74,D75,D76,D77,D78,D79,D80,D81,D82,D83,D84,D85,D86,D87,D88)</f>
        <v>6.9130434782608692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487</v>
      </c>
      <c r="C2" t="s">
        <v>908</v>
      </c>
      <c r="D2">
        <v>-2</v>
      </c>
    </row>
    <row r="3" spans="1:4" x14ac:dyDescent="0.25">
      <c r="A3" t="s">
        <v>4</v>
      </c>
      <c r="B3" t="s">
        <v>1431</v>
      </c>
      <c r="C3" t="s">
        <v>8</v>
      </c>
      <c r="D3">
        <v>0</v>
      </c>
    </row>
    <row r="4" spans="1:4" x14ac:dyDescent="0.25">
      <c r="A4" t="s">
        <v>4</v>
      </c>
      <c r="B4" t="s">
        <v>693</v>
      </c>
      <c r="C4" t="s">
        <v>306</v>
      </c>
      <c r="D4">
        <v>-1</v>
      </c>
    </row>
    <row r="5" spans="1:4" x14ac:dyDescent="0.25">
      <c r="A5" t="s">
        <v>4</v>
      </c>
      <c r="B5" t="s">
        <v>87</v>
      </c>
      <c r="C5" t="s">
        <v>1869</v>
      </c>
      <c r="D5">
        <v>-3</v>
      </c>
    </row>
    <row r="6" spans="1:4" x14ac:dyDescent="0.25">
      <c r="A6" t="s">
        <v>4</v>
      </c>
      <c r="B6" t="s">
        <v>332</v>
      </c>
      <c r="C6" t="s">
        <v>1870</v>
      </c>
      <c r="D6">
        <v>-5</v>
      </c>
    </row>
    <row r="7" spans="1:4" x14ac:dyDescent="0.25">
      <c r="A7" t="s">
        <v>4</v>
      </c>
      <c r="B7" t="s">
        <v>132</v>
      </c>
      <c r="C7" t="s">
        <v>4327</v>
      </c>
      <c r="D7">
        <v>-7</v>
      </c>
    </row>
    <row r="8" spans="1:4" x14ac:dyDescent="0.25">
      <c r="A8" t="s">
        <v>4</v>
      </c>
      <c r="B8" t="s">
        <v>431</v>
      </c>
      <c r="C8" t="s">
        <v>4274</v>
      </c>
      <c r="D8">
        <v>-5</v>
      </c>
    </row>
    <row r="9" spans="1:4" x14ac:dyDescent="0.25">
      <c r="A9" t="s">
        <v>4</v>
      </c>
      <c r="B9" t="s">
        <v>832</v>
      </c>
      <c r="C9" t="s">
        <v>1497</v>
      </c>
      <c r="D9">
        <v>-2</v>
      </c>
    </row>
    <row r="10" spans="1:4" x14ac:dyDescent="0.25">
      <c r="A10" t="s">
        <v>4</v>
      </c>
      <c r="B10" t="s">
        <v>802</v>
      </c>
      <c r="C10" t="s">
        <v>699</v>
      </c>
      <c r="D10">
        <v>1</v>
      </c>
    </row>
    <row r="11" spans="1:4" x14ac:dyDescent="0.25">
      <c r="A11" t="s">
        <v>4</v>
      </c>
      <c r="B11" t="s">
        <v>654</v>
      </c>
      <c r="C11" t="s">
        <v>1110</v>
      </c>
      <c r="D11">
        <v>0</v>
      </c>
    </row>
    <row r="12" spans="1:4" x14ac:dyDescent="0.25">
      <c r="A12" t="s">
        <v>4</v>
      </c>
      <c r="B12" t="s">
        <v>99</v>
      </c>
      <c r="C12" t="s">
        <v>918</v>
      </c>
      <c r="D12">
        <v>3</v>
      </c>
    </row>
    <row r="13" spans="1:4" x14ac:dyDescent="0.25">
      <c r="A13" t="s">
        <v>4</v>
      </c>
      <c r="B13" t="s">
        <v>1350</v>
      </c>
      <c r="C13" t="s">
        <v>919</v>
      </c>
      <c r="D13">
        <v>1</v>
      </c>
    </row>
    <row r="14" spans="1:4" x14ac:dyDescent="0.25">
      <c r="A14" t="s">
        <v>4</v>
      </c>
      <c r="B14" t="s">
        <v>104</v>
      </c>
      <c r="C14" t="s">
        <v>443</v>
      </c>
      <c r="D14">
        <v>0</v>
      </c>
    </row>
    <row r="15" spans="1:4" x14ac:dyDescent="0.25">
      <c r="A15" t="s">
        <v>4</v>
      </c>
      <c r="B15" t="s">
        <v>104</v>
      </c>
      <c r="C15" t="s">
        <v>1435</v>
      </c>
      <c r="D15">
        <v>-1</v>
      </c>
    </row>
    <row r="16" spans="1:4" x14ac:dyDescent="0.25">
      <c r="A16" t="s">
        <v>4</v>
      </c>
      <c r="B16" t="s">
        <v>23</v>
      </c>
      <c r="C16" t="s">
        <v>921</v>
      </c>
      <c r="D16">
        <v>1</v>
      </c>
    </row>
    <row r="17" spans="1:4" x14ac:dyDescent="0.25">
      <c r="A17" t="s">
        <v>4</v>
      </c>
      <c r="B17" t="s">
        <v>924</v>
      </c>
      <c r="C17" t="s">
        <v>2538</v>
      </c>
      <c r="D17">
        <v>3</v>
      </c>
    </row>
    <row r="18" spans="1:4" x14ac:dyDescent="0.25">
      <c r="A18" t="s">
        <v>4</v>
      </c>
      <c r="B18" t="s">
        <v>114</v>
      </c>
      <c r="C18" t="s">
        <v>4224</v>
      </c>
      <c r="D18">
        <v>2</v>
      </c>
    </row>
    <row r="19" spans="1:4" x14ac:dyDescent="0.25">
      <c r="A19" t="s">
        <v>4</v>
      </c>
      <c r="B19" t="s">
        <v>876</v>
      </c>
      <c r="C19" t="s">
        <v>1201</v>
      </c>
      <c r="D19">
        <v>4</v>
      </c>
    </row>
    <row r="20" spans="1:4" x14ac:dyDescent="0.25">
      <c r="A20" t="s">
        <v>4</v>
      </c>
      <c r="B20" t="s">
        <v>475</v>
      </c>
      <c r="C20" t="s">
        <v>708</v>
      </c>
      <c r="D20">
        <v>3</v>
      </c>
    </row>
    <row r="21" spans="1:4" x14ac:dyDescent="0.25">
      <c r="A21" t="s">
        <v>4</v>
      </c>
      <c r="B21" t="s">
        <v>1180</v>
      </c>
      <c r="C21" t="s">
        <v>790</v>
      </c>
      <c r="D21">
        <v>4</v>
      </c>
    </row>
    <row r="22" spans="1:4" x14ac:dyDescent="0.25">
      <c r="A22" t="s">
        <v>4</v>
      </c>
      <c r="B22" t="s">
        <v>1180</v>
      </c>
      <c r="C22" t="s">
        <v>330</v>
      </c>
      <c r="D22">
        <v>5</v>
      </c>
    </row>
    <row r="23" spans="1:4" x14ac:dyDescent="0.25">
      <c r="A23" t="s">
        <v>4</v>
      </c>
      <c r="B23" t="s">
        <v>1568</v>
      </c>
      <c r="C23" t="s">
        <v>2480</v>
      </c>
      <c r="D23">
        <v>4</v>
      </c>
    </row>
    <row r="24" spans="1:4" x14ac:dyDescent="0.25">
      <c r="A24" t="s">
        <v>40</v>
      </c>
      <c r="B24" t="s">
        <v>1024</v>
      </c>
      <c r="C24" t="s">
        <v>1822</v>
      </c>
      <c r="D24">
        <v>2</v>
      </c>
    </row>
    <row r="25" spans="1:4" x14ac:dyDescent="0.25">
      <c r="A25" t="s">
        <v>40</v>
      </c>
      <c r="B25" t="s">
        <v>49</v>
      </c>
      <c r="C25" t="s">
        <v>711</v>
      </c>
      <c r="D25">
        <v>1</v>
      </c>
    </row>
    <row r="26" spans="1:4" x14ac:dyDescent="0.25">
      <c r="A26" t="s">
        <v>40</v>
      </c>
      <c r="B26" t="s">
        <v>460</v>
      </c>
      <c r="C26" t="s">
        <v>2265</v>
      </c>
      <c r="D26">
        <v>-1</v>
      </c>
    </row>
    <row r="27" spans="1:4" x14ac:dyDescent="0.25">
      <c r="A27" t="s">
        <v>40</v>
      </c>
      <c r="B27" t="s">
        <v>832</v>
      </c>
      <c r="C27" t="s">
        <v>48</v>
      </c>
      <c r="D27">
        <v>-3</v>
      </c>
    </row>
    <row r="28" spans="1:4" x14ac:dyDescent="0.25">
      <c r="A28" t="s">
        <v>40</v>
      </c>
      <c r="B28" t="s">
        <v>625</v>
      </c>
      <c r="C28" t="s">
        <v>2702</v>
      </c>
      <c r="D28">
        <v>-1</v>
      </c>
    </row>
    <row r="29" spans="1:4" x14ac:dyDescent="0.25">
      <c r="A29" t="s">
        <v>40</v>
      </c>
      <c r="B29" t="s">
        <v>1284</v>
      </c>
      <c r="C29" t="s">
        <v>2703</v>
      </c>
      <c r="D29">
        <v>1</v>
      </c>
    </row>
    <row r="30" spans="1:4" x14ac:dyDescent="0.25">
      <c r="A30" t="s">
        <v>40</v>
      </c>
      <c r="B30" t="s">
        <v>1284</v>
      </c>
      <c r="C30" t="s">
        <v>336</v>
      </c>
      <c r="D30">
        <v>2</v>
      </c>
    </row>
    <row r="31" spans="1:4" x14ac:dyDescent="0.25">
      <c r="A31" t="s">
        <v>40</v>
      </c>
      <c r="B31" t="s">
        <v>872</v>
      </c>
      <c r="C31" t="s">
        <v>1714</v>
      </c>
      <c r="D31">
        <v>-1</v>
      </c>
    </row>
    <row r="32" spans="1:4" x14ac:dyDescent="0.25">
      <c r="A32" t="s">
        <v>40</v>
      </c>
      <c r="B32" t="s">
        <v>941</v>
      </c>
      <c r="C32" t="s">
        <v>2125</v>
      </c>
      <c r="D32">
        <v>1</v>
      </c>
    </row>
    <row r="33" spans="1:4" x14ac:dyDescent="0.25">
      <c r="A33" t="s">
        <v>40</v>
      </c>
      <c r="B33" t="s">
        <v>1350</v>
      </c>
      <c r="C33" t="s">
        <v>59</v>
      </c>
      <c r="D33">
        <v>-1</v>
      </c>
    </row>
    <row r="34" spans="1:4" x14ac:dyDescent="0.25">
      <c r="A34" t="s">
        <v>40</v>
      </c>
      <c r="B34" t="s">
        <v>1602</v>
      </c>
      <c r="C34" t="s">
        <v>1825</v>
      </c>
      <c r="D34">
        <v>0</v>
      </c>
    </row>
    <row r="35" spans="1:4" x14ac:dyDescent="0.25">
      <c r="A35" t="s">
        <v>40</v>
      </c>
      <c r="B35" t="s">
        <v>1638</v>
      </c>
      <c r="C35" t="s">
        <v>1514</v>
      </c>
      <c r="D35">
        <v>-2</v>
      </c>
    </row>
    <row r="36" spans="1:4" x14ac:dyDescent="0.25">
      <c r="A36" t="s">
        <v>40</v>
      </c>
      <c r="B36" t="s">
        <v>414</v>
      </c>
      <c r="C36" t="s">
        <v>2485</v>
      </c>
      <c r="D36">
        <v>-5</v>
      </c>
    </row>
    <row r="37" spans="1:4" x14ac:dyDescent="0.25">
      <c r="A37" t="s">
        <v>40</v>
      </c>
      <c r="B37" t="s">
        <v>1129</v>
      </c>
      <c r="C37" t="s">
        <v>1515</v>
      </c>
      <c r="D37">
        <v>-3</v>
      </c>
    </row>
    <row r="38" spans="1:4" x14ac:dyDescent="0.25">
      <c r="A38" t="s">
        <v>40</v>
      </c>
      <c r="B38" t="s">
        <v>1844</v>
      </c>
      <c r="C38" t="s">
        <v>470</v>
      </c>
      <c r="D38">
        <v>0</v>
      </c>
    </row>
    <row r="39" spans="1:4" x14ac:dyDescent="0.25">
      <c r="A39" t="s">
        <v>40</v>
      </c>
      <c r="B39" t="s">
        <v>1356</v>
      </c>
      <c r="C39" t="s">
        <v>2303</v>
      </c>
      <c r="D39">
        <v>-1</v>
      </c>
    </row>
    <row r="40" spans="1:4" x14ac:dyDescent="0.25">
      <c r="A40" t="s">
        <v>40</v>
      </c>
      <c r="B40" t="s">
        <v>673</v>
      </c>
      <c r="C40" t="s">
        <v>730</v>
      </c>
      <c r="D40">
        <v>0</v>
      </c>
    </row>
    <row r="41" spans="1:4" x14ac:dyDescent="0.25">
      <c r="A41" t="s">
        <v>40</v>
      </c>
      <c r="B41" t="s">
        <v>673</v>
      </c>
      <c r="C41" t="s">
        <v>354</v>
      </c>
      <c r="D41">
        <v>1</v>
      </c>
    </row>
    <row r="42" spans="1:4" x14ac:dyDescent="0.25">
      <c r="A42" t="s">
        <v>40</v>
      </c>
      <c r="B42" t="s">
        <v>673</v>
      </c>
      <c r="C42" t="s">
        <v>1218</v>
      </c>
      <c r="D42">
        <v>2</v>
      </c>
    </row>
    <row r="43" spans="1:4" x14ac:dyDescent="0.25">
      <c r="A43" t="s">
        <v>40</v>
      </c>
      <c r="B43" t="s">
        <v>322</v>
      </c>
      <c r="C43" t="s">
        <v>2486</v>
      </c>
      <c r="D43">
        <v>1</v>
      </c>
    </row>
    <row r="44" spans="1:4" x14ac:dyDescent="0.25">
      <c r="A44" t="s">
        <v>40</v>
      </c>
      <c r="B44" t="s">
        <v>322</v>
      </c>
      <c r="C44" t="s">
        <v>2304</v>
      </c>
      <c r="D44">
        <v>0</v>
      </c>
    </row>
    <row r="45" spans="1:4" x14ac:dyDescent="0.25">
      <c r="A45" t="s">
        <v>40</v>
      </c>
      <c r="B45" t="s">
        <v>1874</v>
      </c>
      <c r="C45" t="s">
        <v>1220</v>
      </c>
      <c r="D45">
        <v>2</v>
      </c>
    </row>
    <row r="46" spans="1:4" x14ac:dyDescent="0.25">
      <c r="A46" t="s">
        <v>80</v>
      </c>
      <c r="B46" t="s">
        <v>41</v>
      </c>
      <c r="C46" t="s">
        <v>1758</v>
      </c>
      <c r="D46">
        <v>3</v>
      </c>
    </row>
    <row r="47" spans="1:4" x14ac:dyDescent="0.25">
      <c r="A47" t="s">
        <v>80</v>
      </c>
      <c r="B47" t="s">
        <v>41</v>
      </c>
      <c r="C47" t="s">
        <v>478</v>
      </c>
      <c r="D47">
        <v>4</v>
      </c>
    </row>
    <row r="48" spans="1:4" x14ac:dyDescent="0.25">
      <c r="A48" t="s">
        <v>80</v>
      </c>
      <c r="B48" t="s">
        <v>5</v>
      </c>
      <c r="C48" t="s">
        <v>362</v>
      </c>
      <c r="D48">
        <v>1</v>
      </c>
    </row>
    <row r="49" spans="1:4" x14ac:dyDescent="0.25">
      <c r="A49" t="s">
        <v>80</v>
      </c>
      <c r="B49" t="s">
        <v>1543</v>
      </c>
      <c r="C49" t="s">
        <v>243</v>
      </c>
      <c r="D49">
        <v>-1</v>
      </c>
    </row>
    <row r="50" spans="1:4" x14ac:dyDescent="0.25">
      <c r="A50" t="s">
        <v>80</v>
      </c>
      <c r="B50" t="s">
        <v>329</v>
      </c>
      <c r="C50" t="s">
        <v>3706</v>
      </c>
      <c r="D50">
        <v>-3</v>
      </c>
    </row>
    <row r="51" spans="1:4" x14ac:dyDescent="0.25">
      <c r="A51" t="s">
        <v>80</v>
      </c>
      <c r="B51" t="s">
        <v>246</v>
      </c>
      <c r="C51" t="s">
        <v>2308</v>
      </c>
      <c r="D51">
        <v>-1</v>
      </c>
    </row>
    <row r="52" spans="1:4" x14ac:dyDescent="0.25">
      <c r="A52" t="s">
        <v>80</v>
      </c>
      <c r="B52" t="s">
        <v>175</v>
      </c>
      <c r="C52" t="s">
        <v>1763</v>
      </c>
      <c r="D52">
        <v>-3</v>
      </c>
    </row>
    <row r="53" spans="1:4" x14ac:dyDescent="0.25">
      <c r="A53" t="s">
        <v>80</v>
      </c>
      <c r="B53" t="s">
        <v>275</v>
      </c>
      <c r="C53" t="s">
        <v>822</v>
      </c>
      <c r="D53">
        <v>-5</v>
      </c>
    </row>
    <row r="54" spans="1:4" x14ac:dyDescent="0.25">
      <c r="A54" t="s">
        <v>80</v>
      </c>
      <c r="B54" t="s">
        <v>275</v>
      </c>
      <c r="C54" t="s">
        <v>1764</v>
      </c>
      <c r="D54">
        <v>-6</v>
      </c>
    </row>
    <row r="55" spans="1:4" x14ac:dyDescent="0.25">
      <c r="A55" t="s">
        <v>80</v>
      </c>
      <c r="B55" t="s">
        <v>737</v>
      </c>
      <c r="C55" t="s">
        <v>741</v>
      </c>
      <c r="D55">
        <v>-3</v>
      </c>
    </row>
    <row r="56" spans="1:4" x14ac:dyDescent="0.25">
      <c r="A56" t="s">
        <v>80</v>
      </c>
      <c r="B56" t="s">
        <v>135</v>
      </c>
      <c r="C56" t="s">
        <v>744</v>
      </c>
      <c r="D56">
        <v>-1</v>
      </c>
    </row>
    <row r="57" spans="1:4" x14ac:dyDescent="0.25">
      <c r="A57" t="s">
        <v>80</v>
      </c>
      <c r="B57" t="s">
        <v>370</v>
      </c>
      <c r="C57" t="s">
        <v>745</v>
      </c>
      <c r="D57">
        <v>0</v>
      </c>
    </row>
    <row r="58" spans="1:4" x14ac:dyDescent="0.25">
      <c r="A58" t="s">
        <v>80</v>
      </c>
      <c r="B58" t="s">
        <v>1819</v>
      </c>
      <c r="C58" t="s">
        <v>377</v>
      </c>
      <c r="D58">
        <v>-2</v>
      </c>
    </row>
    <row r="59" spans="1:4" x14ac:dyDescent="0.25">
      <c r="A59" t="s">
        <v>80</v>
      </c>
      <c r="B59" t="s">
        <v>284</v>
      </c>
      <c r="C59" t="s">
        <v>379</v>
      </c>
      <c r="D59">
        <v>1</v>
      </c>
    </row>
    <row r="60" spans="1:4" x14ac:dyDescent="0.25">
      <c r="A60" t="s">
        <v>80</v>
      </c>
      <c r="B60" t="s">
        <v>1038</v>
      </c>
      <c r="C60" t="s">
        <v>381</v>
      </c>
      <c r="D60">
        <v>-1</v>
      </c>
    </row>
    <row r="61" spans="1:4" x14ac:dyDescent="0.25">
      <c r="A61" t="s">
        <v>80</v>
      </c>
      <c r="B61" t="s">
        <v>25</v>
      </c>
      <c r="C61" t="s">
        <v>383</v>
      </c>
      <c r="D61">
        <v>2</v>
      </c>
    </row>
    <row r="62" spans="1:4" x14ac:dyDescent="0.25">
      <c r="A62" t="s">
        <v>80</v>
      </c>
      <c r="B62" t="s">
        <v>990</v>
      </c>
      <c r="C62" t="s">
        <v>2449</v>
      </c>
      <c r="D62">
        <v>3</v>
      </c>
    </row>
    <row r="63" spans="1:4" x14ac:dyDescent="0.25">
      <c r="A63" t="s">
        <v>80</v>
      </c>
      <c r="B63" t="s">
        <v>972</v>
      </c>
      <c r="C63" t="s">
        <v>2450</v>
      </c>
      <c r="D63">
        <v>5</v>
      </c>
    </row>
    <row r="64" spans="1:4" x14ac:dyDescent="0.25">
      <c r="A64" t="s">
        <v>80</v>
      </c>
      <c r="B64" t="s">
        <v>1276</v>
      </c>
      <c r="C64" t="s">
        <v>498</v>
      </c>
      <c r="D64">
        <v>3</v>
      </c>
    </row>
    <row r="65" spans="1:4" x14ac:dyDescent="0.25">
      <c r="A65" t="s">
        <v>80</v>
      </c>
      <c r="B65" t="s">
        <v>78</v>
      </c>
      <c r="C65" t="s">
        <v>501</v>
      </c>
      <c r="D65">
        <v>6</v>
      </c>
    </row>
    <row r="66" spans="1:4" x14ac:dyDescent="0.25">
      <c r="A66" t="s">
        <v>123</v>
      </c>
      <c r="B66" t="s">
        <v>242</v>
      </c>
      <c r="C66" t="s">
        <v>2452</v>
      </c>
      <c r="D66">
        <v>9</v>
      </c>
    </row>
    <row r="67" spans="1:4" x14ac:dyDescent="0.25">
      <c r="A67" t="s">
        <v>123</v>
      </c>
      <c r="B67" t="s">
        <v>45</v>
      </c>
      <c r="C67" t="s">
        <v>4344</v>
      </c>
      <c r="D67">
        <v>11</v>
      </c>
    </row>
    <row r="68" spans="1:4" x14ac:dyDescent="0.25">
      <c r="A68" t="s">
        <v>123</v>
      </c>
      <c r="B68" t="s">
        <v>1057</v>
      </c>
      <c r="C68" t="s">
        <v>1468</v>
      </c>
      <c r="D68">
        <v>9</v>
      </c>
    </row>
    <row r="69" spans="1:4" x14ac:dyDescent="0.25">
      <c r="A69" t="s">
        <v>123</v>
      </c>
      <c r="B69" t="s">
        <v>1190</v>
      </c>
      <c r="C69" t="s">
        <v>1611</v>
      </c>
      <c r="D69">
        <v>7</v>
      </c>
    </row>
    <row r="70" spans="1:4" x14ac:dyDescent="0.25">
      <c r="A70" t="s">
        <v>123</v>
      </c>
      <c r="B70" t="s">
        <v>2152</v>
      </c>
      <c r="C70" t="s">
        <v>2455</v>
      </c>
      <c r="D70">
        <v>8</v>
      </c>
    </row>
    <row r="71" spans="1:4" x14ac:dyDescent="0.25">
      <c r="A71" t="s">
        <v>123</v>
      </c>
      <c r="B71" t="s">
        <v>912</v>
      </c>
      <c r="C71" t="s">
        <v>2457</v>
      </c>
      <c r="D71">
        <v>6</v>
      </c>
    </row>
    <row r="72" spans="1:4" x14ac:dyDescent="0.25">
      <c r="A72" t="s">
        <v>123</v>
      </c>
      <c r="B72" t="s">
        <v>2842</v>
      </c>
      <c r="C72" t="s">
        <v>2730</v>
      </c>
      <c r="D72">
        <v>8</v>
      </c>
    </row>
    <row r="73" spans="1:4" x14ac:dyDescent="0.25">
      <c r="A73" t="s">
        <v>123</v>
      </c>
      <c r="B73" t="s">
        <v>1498</v>
      </c>
      <c r="C73" t="s">
        <v>403</v>
      </c>
      <c r="D73">
        <v>9</v>
      </c>
    </row>
    <row r="74" spans="1:4" x14ac:dyDescent="0.25">
      <c r="A74" t="s">
        <v>123</v>
      </c>
      <c r="B74" t="s">
        <v>836</v>
      </c>
      <c r="C74" t="s">
        <v>3443</v>
      </c>
      <c r="D74">
        <v>12</v>
      </c>
    </row>
    <row r="75" spans="1:4" x14ac:dyDescent="0.25">
      <c r="A75" t="s">
        <v>123</v>
      </c>
      <c r="B75" t="s">
        <v>1817</v>
      </c>
      <c r="C75" t="s">
        <v>2888</v>
      </c>
      <c r="D75">
        <v>14</v>
      </c>
    </row>
    <row r="76" spans="1:4" x14ac:dyDescent="0.25">
      <c r="A76" t="s">
        <v>123</v>
      </c>
      <c r="B76" t="s">
        <v>1817</v>
      </c>
      <c r="C76" t="s">
        <v>3444</v>
      </c>
      <c r="D76">
        <v>15</v>
      </c>
    </row>
    <row r="77" spans="1:4" x14ac:dyDescent="0.25">
      <c r="A77" t="s">
        <v>123</v>
      </c>
      <c r="B77" t="s">
        <v>221</v>
      </c>
      <c r="C77" t="s">
        <v>3386</v>
      </c>
      <c r="D77">
        <v>17</v>
      </c>
    </row>
    <row r="78" spans="1:4" x14ac:dyDescent="0.25">
      <c r="A78" t="s">
        <v>123</v>
      </c>
      <c r="B78" t="s">
        <v>378</v>
      </c>
      <c r="C78" t="s">
        <v>4345</v>
      </c>
      <c r="D78">
        <v>14</v>
      </c>
    </row>
    <row r="79" spans="1:4" x14ac:dyDescent="0.25">
      <c r="A79" t="s">
        <v>123</v>
      </c>
      <c r="B79" t="s">
        <v>749</v>
      </c>
      <c r="C79" t="s">
        <v>2997</v>
      </c>
      <c r="D79">
        <v>12</v>
      </c>
    </row>
    <row r="80" spans="1:4" x14ac:dyDescent="0.25">
      <c r="A80" t="s">
        <v>123</v>
      </c>
      <c r="B80" t="s">
        <v>414</v>
      </c>
      <c r="C80" t="s">
        <v>2678</v>
      </c>
      <c r="D80">
        <v>10</v>
      </c>
    </row>
    <row r="81" spans="1:4" x14ac:dyDescent="0.25">
      <c r="A81" t="s">
        <v>123</v>
      </c>
      <c r="B81" t="s">
        <v>198</v>
      </c>
      <c r="C81" t="s">
        <v>3358</v>
      </c>
      <c r="D81">
        <v>12</v>
      </c>
    </row>
    <row r="82" spans="1:4" x14ac:dyDescent="0.25">
      <c r="A82" t="s">
        <v>123</v>
      </c>
      <c r="B82" t="s">
        <v>29</v>
      </c>
      <c r="C82" t="s">
        <v>989</v>
      </c>
      <c r="D82">
        <v>14</v>
      </c>
    </row>
    <row r="83" spans="1:4" x14ac:dyDescent="0.25">
      <c r="A83" t="s">
        <v>123</v>
      </c>
      <c r="B83" t="s">
        <v>815</v>
      </c>
      <c r="C83" t="s">
        <v>992</v>
      </c>
      <c r="D83">
        <v>12</v>
      </c>
    </row>
    <row r="84" spans="1:4" x14ac:dyDescent="0.25">
      <c r="A84" t="s">
        <v>123</v>
      </c>
      <c r="B84" t="s">
        <v>2608</v>
      </c>
      <c r="C84" t="s">
        <v>994</v>
      </c>
      <c r="D84">
        <v>14</v>
      </c>
    </row>
    <row r="85" spans="1:4" x14ac:dyDescent="0.25">
      <c r="A85" t="s">
        <v>123</v>
      </c>
      <c r="B85" t="s">
        <v>396</v>
      </c>
      <c r="C85" t="s">
        <v>4346</v>
      </c>
      <c r="D85">
        <v>16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2.75</v>
      </c>
    </row>
    <row r="89" spans="1:4" x14ac:dyDescent="0.25">
      <c r="A89" t="s">
        <v>159</v>
      </c>
      <c r="D89">
        <f>MAX(D2:D85)</f>
        <v>17</v>
      </c>
    </row>
    <row r="90" spans="1:4" x14ac:dyDescent="0.25">
      <c r="A90" t="s">
        <v>160</v>
      </c>
      <c r="D90">
        <f>MIN(D2:D85)</f>
        <v>-7</v>
      </c>
    </row>
    <row r="91" spans="1:4" x14ac:dyDescent="0.25">
      <c r="A91" t="s">
        <v>161</v>
      </c>
      <c r="D91">
        <f>COUNTIF(D2:D85,"&gt;0")</f>
        <v>49</v>
      </c>
    </row>
    <row r="92" spans="1:4" x14ac:dyDescent="0.25">
      <c r="A92" t="s">
        <v>162</v>
      </c>
      <c r="D92">
        <f>COUNTIF(D2:D85,"=0")</f>
        <v>8</v>
      </c>
    </row>
    <row r="93" spans="1:4" x14ac:dyDescent="0.25">
      <c r="A93" t="s">
        <v>561</v>
      </c>
      <c r="D93">
        <f>COUNTIF(D2:D85,"&lt;0")</f>
        <v>27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AVERAGE(D2,D3,D4,D5,D6,D7,D8,D9,D10,D11,D12,D13,D14,D15,D16,D17,D18,D19,D20,D21,D22,D23)</f>
        <v>0.22727272727272727</v>
      </c>
    </row>
    <row r="97" spans="1:4" x14ac:dyDescent="0.25">
      <c r="A97" t="s">
        <v>166</v>
      </c>
      <c r="D97">
        <f>AVERAGE(D24,D25,D26,D27,D28,D29,D30,D31,D32,D33,D34,D35,D36,D37,D38,D39,D40,D41,D42,D43,D44,D45)</f>
        <v>-0.22727272727272727</v>
      </c>
    </row>
    <row r="98" spans="1:4" x14ac:dyDescent="0.25">
      <c r="A98" t="s">
        <v>167</v>
      </c>
      <c r="D98">
        <f>AVERAGE(D46,D47,D48,D49,D50,D51,D52,D53,D54,D55,D56,D57,D58,D59,D60,D61,D62,D63,D64,D65)</f>
        <v>0.1</v>
      </c>
    </row>
    <row r="99" spans="1:4" x14ac:dyDescent="0.25">
      <c r="A99" t="s">
        <v>168</v>
      </c>
      <c r="D99">
        <f>AVERAGE(D66,D67,D68,D69,D70,D71,D72,D73,D74,D75,D76,D77,D78,D79,D80,D81,D82,D83,D84,D85)</f>
        <v>11.45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1265</v>
      </c>
    </row>
    <row r="2" spans="1:4" x14ac:dyDescent="0.25">
      <c r="A2" t="s">
        <v>4</v>
      </c>
      <c r="B2" t="s">
        <v>1664</v>
      </c>
      <c r="C2" t="s">
        <v>2536</v>
      </c>
      <c r="D2">
        <v>-1</v>
      </c>
    </row>
    <row r="3" spans="1:4" x14ac:dyDescent="0.25">
      <c r="A3" t="s">
        <v>4</v>
      </c>
      <c r="B3" t="s">
        <v>1664</v>
      </c>
      <c r="C3" t="s">
        <v>908</v>
      </c>
      <c r="D3">
        <v>-2</v>
      </c>
    </row>
    <row r="4" spans="1:4" x14ac:dyDescent="0.25">
      <c r="A4" t="s">
        <v>4</v>
      </c>
      <c r="B4" t="s">
        <v>1664</v>
      </c>
      <c r="C4" t="s">
        <v>1008</v>
      </c>
      <c r="D4">
        <v>-3</v>
      </c>
    </row>
    <row r="5" spans="1:4" x14ac:dyDescent="0.25">
      <c r="A5" t="s">
        <v>4</v>
      </c>
      <c r="B5" t="s">
        <v>1680</v>
      </c>
      <c r="C5" t="s">
        <v>1191</v>
      </c>
      <c r="D5">
        <v>0</v>
      </c>
    </row>
    <row r="6" spans="1:4" x14ac:dyDescent="0.25">
      <c r="A6" t="s">
        <v>4</v>
      </c>
      <c r="B6" t="s">
        <v>1665</v>
      </c>
      <c r="C6" t="s">
        <v>692</v>
      </c>
      <c r="D6">
        <v>3</v>
      </c>
    </row>
    <row r="7" spans="1:4" x14ac:dyDescent="0.25">
      <c r="A7" t="s">
        <v>4</v>
      </c>
      <c r="B7" t="s">
        <v>1027</v>
      </c>
      <c r="C7" t="s">
        <v>694</v>
      </c>
      <c r="D7">
        <v>5</v>
      </c>
    </row>
    <row r="8" spans="1:4" x14ac:dyDescent="0.25">
      <c r="A8" t="s">
        <v>4</v>
      </c>
      <c r="B8" t="s">
        <v>1851</v>
      </c>
      <c r="C8" t="s">
        <v>2999</v>
      </c>
      <c r="D8">
        <v>8</v>
      </c>
    </row>
    <row r="9" spans="1:4" x14ac:dyDescent="0.25">
      <c r="A9" t="s">
        <v>4</v>
      </c>
      <c r="B9" t="s">
        <v>405</v>
      </c>
      <c r="C9" t="s">
        <v>1270</v>
      </c>
      <c r="D9">
        <v>10</v>
      </c>
    </row>
    <row r="10" spans="1:4" x14ac:dyDescent="0.25">
      <c r="A10" t="s">
        <v>4</v>
      </c>
      <c r="B10" t="s">
        <v>465</v>
      </c>
      <c r="C10" t="s">
        <v>2646</v>
      </c>
      <c r="D10">
        <v>9</v>
      </c>
    </row>
    <row r="11" spans="1:4" x14ac:dyDescent="0.25">
      <c r="A11" t="s">
        <v>4</v>
      </c>
      <c r="B11" t="s">
        <v>465</v>
      </c>
      <c r="C11" t="s">
        <v>1271</v>
      </c>
      <c r="D11">
        <v>8</v>
      </c>
    </row>
    <row r="12" spans="1:4" x14ac:dyDescent="0.25">
      <c r="A12" t="s">
        <v>4</v>
      </c>
      <c r="B12" t="s">
        <v>1441</v>
      </c>
      <c r="C12" t="s">
        <v>1272</v>
      </c>
      <c r="D12">
        <v>10</v>
      </c>
    </row>
    <row r="13" spans="1:4" x14ac:dyDescent="0.25">
      <c r="A13" t="s">
        <v>4</v>
      </c>
      <c r="B13" t="s">
        <v>60</v>
      </c>
      <c r="C13" t="s">
        <v>1014</v>
      </c>
      <c r="D13">
        <v>8</v>
      </c>
    </row>
    <row r="14" spans="1:4" x14ac:dyDescent="0.25">
      <c r="A14" t="s">
        <v>4</v>
      </c>
      <c r="B14" t="s">
        <v>101</v>
      </c>
      <c r="C14" t="s">
        <v>1111</v>
      </c>
      <c r="D14">
        <v>5</v>
      </c>
    </row>
    <row r="15" spans="1:4" x14ac:dyDescent="0.25">
      <c r="A15" t="s">
        <v>4</v>
      </c>
      <c r="B15" t="s">
        <v>743</v>
      </c>
      <c r="C15" t="s">
        <v>1576</v>
      </c>
      <c r="D15">
        <v>7</v>
      </c>
    </row>
    <row r="16" spans="1:4" x14ac:dyDescent="0.25">
      <c r="A16" t="s">
        <v>4</v>
      </c>
      <c r="B16" t="s">
        <v>1016</v>
      </c>
      <c r="C16" t="s">
        <v>1578</v>
      </c>
      <c r="D16">
        <v>4</v>
      </c>
    </row>
    <row r="17" spans="1:4" x14ac:dyDescent="0.25">
      <c r="A17" t="s">
        <v>4</v>
      </c>
      <c r="B17" t="s">
        <v>467</v>
      </c>
      <c r="C17" t="s">
        <v>1579</v>
      </c>
      <c r="D17">
        <v>6</v>
      </c>
    </row>
    <row r="18" spans="1:4" x14ac:dyDescent="0.25">
      <c r="A18" t="s">
        <v>4</v>
      </c>
      <c r="B18" t="s">
        <v>1040</v>
      </c>
      <c r="C18" t="s">
        <v>708</v>
      </c>
      <c r="D18">
        <v>3</v>
      </c>
    </row>
    <row r="19" spans="1:4" x14ac:dyDescent="0.25">
      <c r="A19" t="s">
        <v>4</v>
      </c>
      <c r="B19" t="s">
        <v>144</v>
      </c>
      <c r="C19" t="s">
        <v>330</v>
      </c>
      <c r="D19">
        <v>5</v>
      </c>
    </row>
    <row r="20" spans="1:4" x14ac:dyDescent="0.25">
      <c r="A20" t="s">
        <v>4</v>
      </c>
      <c r="B20" t="s">
        <v>1043</v>
      </c>
      <c r="C20" t="s">
        <v>1822</v>
      </c>
      <c r="D20">
        <v>2</v>
      </c>
    </row>
    <row r="21" spans="1:4" x14ac:dyDescent="0.25">
      <c r="A21" t="s">
        <v>4</v>
      </c>
      <c r="B21" t="s">
        <v>1640</v>
      </c>
      <c r="C21" t="s">
        <v>586</v>
      </c>
      <c r="D21">
        <v>3</v>
      </c>
    </row>
    <row r="22" spans="1:4" x14ac:dyDescent="0.25">
      <c r="A22" t="s">
        <v>4</v>
      </c>
      <c r="B22" t="s">
        <v>1640</v>
      </c>
      <c r="C22" t="s">
        <v>925</v>
      </c>
      <c r="D22">
        <v>4</v>
      </c>
    </row>
    <row r="23" spans="1:4" x14ac:dyDescent="0.25">
      <c r="A23" t="s">
        <v>4</v>
      </c>
      <c r="B23" t="s">
        <v>2608</v>
      </c>
      <c r="C23" t="s">
        <v>209</v>
      </c>
      <c r="D23">
        <v>6</v>
      </c>
    </row>
    <row r="24" spans="1:4" x14ac:dyDescent="0.25">
      <c r="A24" t="s">
        <v>4</v>
      </c>
      <c r="B24" t="s">
        <v>1874</v>
      </c>
      <c r="C24" t="s">
        <v>210</v>
      </c>
      <c r="D24">
        <v>7</v>
      </c>
    </row>
    <row r="25" spans="1:4" x14ac:dyDescent="0.25">
      <c r="A25" t="s">
        <v>4</v>
      </c>
      <c r="B25" t="s">
        <v>1874</v>
      </c>
      <c r="C25" t="s">
        <v>2481</v>
      </c>
      <c r="D25">
        <v>8</v>
      </c>
    </row>
    <row r="26" spans="1:4" x14ac:dyDescent="0.25">
      <c r="A26" t="s">
        <v>40</v>
      </c>
      <c r="B26" t="s">
        <v>2421</v>
      </c>
      <c r="C26" t="s">
        <v>2482</v>
      </c>
      <c r="D26">
        <v>6</v>
      </c>
    </row>
    <row r="27" spans="1:4" x14ac:dyDescent="0.25">
      <c r="A27" t="s">
        <v>40</v>
      </c>
      <c r="B27" t="s">
        <v>242</v>
      </c>
      <c r="C27" t="s">
        <v>1932</v>
      </c>
      <c r="D27">
        <v>9</v>
      </c>
    </row>
    <row r="28" spans="1:4" x14ac:dyDescent="0.25">
      <c r="A28" t="s">
        <v>40</v>
      </c>
      <c r="B28" t="s">
        <v>1545</v>
      </c>
      <c r="C28" t="s">
        <v>1933</v>
      </c>
      <c r="D28">
        <v>12</v>
      </c>
    </row>
    <row r="29" spans="1:4" x14ac:dyDescent="0.25">
      <c r="A29" t="s">
        <v>40</v>
      </c>
      <c r="B29" t="s">
        <v>305</v>
      </c>
      <c r="C29" t="s">
        <v>3006</v>
      </c>
      <c r="D29">
        <v>14</v>
      </c>
    </row>
    <row r="30" spans="1:4" x14ac:dyDescent="0.25">
      <c r="A30" t="s">
        <v>40</v>
      </c>
      <c r="B30" t="s">
        <v>305</v>
      </c>
      <c r="C30" t="s">
        <v>3865</v>
      </c>
      <c r="D30">
        <v>15</v>
      </c>
    </row>
    <row r="31" spans="1:4" x14ac:dyDescent="0.25">
      <c r="A31" t="s">
        <v>40</v>
      </c>
      <c r="B31" t="s">
        <v>305</v>
      </c>
      <c r="C31" t="s">
        <v>3392</v>
      </c>
      <c r="D31">
        <v>16</v>
      </c>
    </row>
    <row r="32" spans="1:4" x14ac:dyDescent="0.25">
      <c r="A32" t="s">
        <v>40</v>
      </c>
      <c r="B32" t="s">
        <v>1613</v>
      </c>
      <c r="C32" t="s">
        <v>4347</v>
      </c>
      <c r="D32">
        <v>18</v>
      </c>
    </row>
    <row r="33" spans="1:4" x14ac:dyDescent="0.25">
      <c r="A33" t="s">
        <v>40</v>
      </c>
      <c r="B33" t="s">
        <v>590</v>
      </c>
      <c r="C33" t="s">
        <v>4348</v>
      </c>
      <c r="D33">
        <v>20</v>
      </c>
    </row>
    <row r="34" spans="1:4" x14ac:dyDescent="0.25">
      <c r="A34" t="s">
        <v>40</v>
      </c>
      <c r="B34" t="s">
        <v>277</v>
      </c>
      <c r="C34" t="s">
        <v>3234</v>
      </c>
      <c r="D34">
        <v>22</v>
      </c>
    </row>
    <row r="35" spans="1:4" x14ac:dyDescent="0.25">
      <c r="A35" t="s">
        <v>40</v>
      </c>
      <c r="B35" t="s">
        <v>802</v>
      </c>
      <c r="C35" t="s">
        <v>4349</v>
      </c>
      <c r="D35">
        <v>23</v>
      </c>
    </row>
    <row r="36" spans="1:4" x14ac:dyDescent="0.25">
      <c r="A36" t="s">
        <v>40</v>
      </c>
      <c r="B36" t="s">
        <v>186</v>
      </c>
      <c r="C36" t="s">
        <v>1039</v>
      </c>
      <c r="D36">
        <v>22</v>
      </c>
    </row>
    <row r="37" spans="1:4" x14ac:dyDescent="0.25">
      <c r="A37" t="s">
        <v>40</v>
      </c>
      <c r="B37" t="s">
        <v>1228</v>
      </c>
      <c r="C37" t="s">
        <v>3160</v>
      </c>
      <c r="D37">
        <v>23</v>
      </c>
    </row>
    <row r="38" spans="1:4" x14ac:dyDescent="0.25">
      <c r="A38" t="s">
        <v>40</v>
      </c>
      <c r="B38" t="s">
        <v>2629</v>
      </c>
      <c r="C38" t="s">
        <v>4350</v>
      </c>
      <c r="D38">
        <v>21</v>
      </c>
    </row>
    <row r="39" spans="1:4" x14ac:dyDescent="0.25">
      <c r="A39" t="s">
        <v>40</v>
      </c>
      <c r="B39" t="s">
        <v>223</v>
      </c>
      <c r="C39" t="s">
        <v>1042</v>
      </c>
      <c r="D39">
        <v>22</v>
      </c>
    </row>
    <row r="40" spans="1:4" x14ac:dyDescent="0.25">
      <c r="A40" t="s">
        <v>40</v>
      </c>
      <c r="B40" t="s">
        <v>766</v>
      </c>
      <c r="C40" t="s">
        <v>3237</v>
      </c>
      <c r="D40">
        <v>20</v>
      </c>
    </row>
    <row r="41" spans="1:4" x14ac:dyDescent="0.25">
      <c r="A41" t="s">
        <v>40</v>
      </c>
      <c r="B41" t="s">
        <v>766</v>
      </c>
      <c r="C41" t="s">
        <v>2062</v>
      </c>
      <c r="D41">
        <v>19</v>
      </c>
    </row>
    <row r="42" spans="1:4" x14ac:dyDescent="0.25">
      <c r="A42" t="s">
        <v>40</v>
      </c>
      <c r="B42" t="s">
        <v>319</v>
      </c>
      <c r="C42" t="s">
        <v>3163</v>
      </c>
      <c r="D42">
        <v>20</v>
      </c>
    </row>
    <row r="43" spans="1:4" x14ac:dyDescent="0.25">
      <c r="A43" t="s">
        <v>40</v>
      </c>
      <c r="B43" t="s">
        <v>472</v>
      </c>
      <c r="C43" t="s">
        <v>4351</v>
      </c>
      <c r="D43">
        <v>21</v>
      </c>
    </row>
    <row r="44" spans="1:4" x14ac:dyDescent="0.25">
      <c r="A44" t="s">
        <v>40</v>
      </c>
      <c r="B44" t="s">
        <v>472</v>
      </c>
      <c r="C44" t="s">
        <v>4352</v>
      </c>
      <c r="D44">
        <v>22</v>
      </c>
    </row>
    <row r="45" spans="1:4" x14ac:dyDescent="0.25">
      <c r="A45" t="s">
        <v>40</v>
      </c>
      <c r="B45" t="s">
        <v>894</v>
      </c>
      <c r="C45" t="s">
        <v>4353</v>
      </c>
      <c r="D45">
        <v>20</v>
      </c>
    </row>
    <row r="46" spans="1:4" x14ac:dyDescent="0.25">
      <c r="A46" t="s">
        <v>40</v>
      </c>
      <c r="B46" t="s">
        <v>894</v>
      </c>
      <c r="C46" t="s">
        <v>3166</v>
      </c>
      <c r="D46">
        <v>19</v>
      </c>
    </row>
    <row r="47" spans="1:4" x14ac:dyDescent="0.25">
      <c r="A47" t="s">
        <v>40</v>
      </c>
      <c r="B47" t="s">
        <v>198</v>
      </c>
      <c r="C47" t="s">
        <v>3738</v>
      </c>
      <c r="D47">
        <v>18</v>
      </c>
    </row>
    <row r="48" spans="1:4" x14ac:dyDescent="0.25">
      <c r="A48" t="s">
        <v>40</v>
      </c>
      <c r="B48" t="s">
        <v>198</v>
      </c>
      <c r="C48" t="s">
        <v>2063</v>
      </c>
      <c r="D48">
        <v>17</v>
      </c>
    </row>
    <row r="49" spans="1:4" x14ac:dyDescent="0.25">
      <c r="A49" t="s">
        <v>40</v>
      </c>
      <c r="B49" t="s">
        <v>732</v>
      </c>
      <c r="C49" t="s">
        <v>2817</v>
      </c>
      <c r="D49">
        <v>15</v>
      </c>
    </row>
    <row r="50" spans="1:4" x14ac:dyDescent="0.25">
      <c r="A50" t="s">
        <v>40</v>
      </c>
      <c r="B50" t="s">
        <v>1437</v>
      </c>
      <c r="C50" t="s">
        <v>4354</v>
      </c>
      <c r="D50">
        <v>17</v>
      </c>
    </row>
    <row r="51" spans="1:4" x14ac:dyDescent="0.25">
      <c r="A51" t="s">
        <v>40</v>
      </c>
      <c r="B51" t="s">
        <v>880</v>
      </c>
      <c r="C51" t="s">
        <v>3995</v>
      </c>
      <c r="D51">
        <v>14</v>
      </c>
    </row>
    <row r="52" spans="1:4" x14ac:dyDescent="0.25">
      <c r="A52" t="s">
        <v>40</v>
      </c>
      <c r="B52" t="s">
        <v>1845</v>
      </c>
      <c r="C52" t="s">
        <v>1456</v>
      </c>
      <c r="D52">
        <v>16</v>
      </c>
    </row>
    <row r="53" spans="1:4" x14ac:dyDescent="0.25">
      <c r="A53" t="s">
        <v>40</v>
      </c>
      <c r="B53" t="s">
        <v>76</v>
      </c>
      <c r="C53" t="s">
        <v>1457</v>
      </c>
      <c r="D53">
        <v>14</v>
      </c>
    </row>
    <row r="54" spans="1:4" x14ac:dyDescent="0.25">
      <c r="A54" t="s">
        <v>80</v>
      </c>
      <c r="B54" t="s">
        <v>1116</v>
      </c>
      <c r="C54" t="s">
        <v>3129</v>
      </c>
      <c r="D54">
        <v>16</v>
      </c>
    </row>
    <row r="55" spans="1:4" x14ac:dyDescent="0.25">
      <c r="A55" t="s">
        <v>80</v>
      </c>
      <c r="B55" t="s">
        <v>205</v>
      </c>
      <c r="C55" t="s">
        <v>1459</v>
      </c>
      <c r="D55">
        <v>13</v>
      </c>
    </row>
    <row r="56" spans="1:4" x14ac:dyDescent="0.25">
      <c r="A56" t="s">
        <v>80</v>
      </c>
      <c r="B56" t="s">
        <v>1735</v>
      </c>
      <c r="C56" t="s">
        <v>2863</v>
      </c>
      <c r="D56">
        <v>15</v>
      </c>
    </row>
    <row r="57" spans="1:4" x14ac:dyDescent="0.25">
      <c r="A57" t="s">
        <v>80</v>
      </c>
      <c r="B57" t="s">
        <v>1771</v>
      </c>
      <c r="C57" t="s">
        <v>1461</v>
      </c>
      <c r="D57">
        <v>12</v>
      </c>
    </row>
    <row r="58" spans="1:4" x14ac:dyDescent="0.25">
      <c r="A58" t="s">
        <v>80</v>
      </c>
      <c r="B58" t="s">
        <v>1417</v>
      </c>
      <c r="C58" t="s">
        <v>1463</v>
      </c>
      <c r="D58">
        <v>10</v>
      </c>
    </row>
    <row r="59" spans="1:4" x14ac:dyDescent="0.25">
      <c r="A59" t="s">
        <v>80</v>
      </c>
      <c r="B59" t="s">
        <v>91</v>
      </c>
      <c r="C59" t="s">
        <v>2790</v>
      </c>
      <c r="D59">
        <v>13</v>
      </c>
    </row>
    <row r="60" spans="1:4" x14ac:dyDescent="0.25">
      <c r="A60" t="s">
        <v>80</v>
      </c>
      <c r="B60" t="s">
        <v>58</v>
      </c>
      <c r="C60" t="s">
        <v>3379</v>
      </c>
      <c r="D60">
        <v>15</v>
      </c>
    </row>
    <row r="61" spans="1:4" x14ac:dyDescent="0.25">
      <c r="A61" t="s">
        <v>80</v>
      </c>
      <c r="B61" t="s">
        <v>370</v>
      </c>
      <c r="C61" t="s">
        <v>2986</v>
      </c>
      <c r="D61">
        <v>14</v>
      </c>
    </row>
    <row r="62" spans="1:4" x14ac:dyDescent="0.25">
      <c r="A62" t="s">
        <v>80</v>
      </c>
      <c r="B62" t="s">
        <v>221</v>
      </c>
      <c r="C62" t="s">
        <v>4258</v>
      </c>
      <c r="D62">
        <v>17</v>
      </c>
    </row>
    <row r="63" spans="1:4" x14ac:dyDescent="0.25">
      <c r="A63" t="s">
        <v>80</v>
      </c>
      <c r="B63" t="s">
        <v>374</v>
      </c>
      <c r="C63" t="s">
        <v>2670</v>
      </c>
      <c r="D63">
        <v>15</v>
      </c>
    </row>
    <row r="64" spans="1:4" x14ac:dyDescent="0.25">
      <c r="A64" t="s">
        <v>80</v>
      </c>
      <c r="B64" t="s">
        <v>315</v>
      </c>
      <c r="C64" t="s">
        <v>2671</v>
      </c>
      <c r="D64">
        <v>16</v>
      </c>
    </row>
    <row r="65" spans="1:4" x14ac:dyDescent="0.25">
      <c r="A65" t="s">
        <v>80</v>
      </c>
      <c r="B65" t="s">
        <v>315</v>
      </c>
      <c r="C65" t="s">
        <v>4072</v>
      </c>
      <c r="D65">
        <v>17</v>
      </c>
    </row>
    <row r="66" spans="1:4" x14ac:dyDescent="0.25">
      <c r="A66" t="s">
        <v>80</v>
      </c>
      <c r="B66" t="s">
        <v>223</v>
      </c>
      <c r="C66" t="s">
        <v>2795</v>
      </c>
      <c r="D66">
        <v>15</v>
      </c>
    </row>
    <row r="67" spans="1:4" x14ac:dyDescent="0.25">
      <c r="A67" t="s">
        <v>80</v>
      </c>
      <c r="B67" t="s">
        <v>1198</v>
      </c>
      <c r="C67" t="s">
        <v>4355</v>
      </c>
      <c r="D67">
        <v>18</v>
      </c>
    </row>
    <row r="68" spans="1:4" x14ac:dyDescent="0.25">
      <c r="A68" t="s">
        <v>80</v>
      </c>
      <c r="B68" t="s">
        <v>702</v>
      </c>
      <c r="C68" t="s">
        <v>3349</v>
      </c>
      <c r="D68">
        <v>15</v>
      </c>
    </row>
    <row r="69" spans="1:4" x14ac:dyDescent="0.25">
      <c r="A69" t="s">
        <v>80</v>
      </c>
      <c r="B69" t="s">
        <v>1127</v>
      </c>
      <c r="C69" t="s">
        <v>2945</v>
      </c>
      <c r="D69">
        <v>18</v>
      </c>
    </row>
    <row r="70" spans="1:4" x14ac:dyDescent="0.25">
      <c r="A70" t="s">
        <v>80</v>
      </c>
      <c r="B70" t="s">
        <v>2453</v>
      </c>
      <c r="C70" t="s">
        <v>4068</v>
      </c>
      <c r="D70">
        <v>20</v>
      </c>
    </row>
    <row r="71" spans="1:4" x14ac:dyDescent="0.25">
      <c r="A71" t="s">
        <v>80</v>
      </c>
      <c r="B71" t="s">
        <v>1204</v>
      </c>
      <c r="C71" t="s">
        <v>4090</v>
      </c>
      <c r="D71">
        <v>22</v>
      </c>
    </row>
    <row r="72" spans="1:4" x14ac:dyDescent="0.25">
      <c r="A72" t="s">
        <v>80</v>
      </c>
      <c r="B72" t="s">
        <v>233</v>
      </c>
      <c r="C72" t="s">
        <v>4091</v>
      </c>
      <c r="D72">
        <v>24</v>
      </c>
    </row>
    <row r="73" spans="1:4" x14ac:dyDescent="0.25">
      <c r="A73" t="s">
        <v>80</v>
      </c>
      <c r="B73" t="s">
        <v>233</v>
      </c>
      <c r="C73" t="s">
        <v>3874</v>
      </c>
      <c r="D73">
        <v>25</v>
      </c>
    </row>
    <row r="74" spans="1:4" x14ac:dyDescent="0.25">
      <c r="A74" t="s">
        <v>80</v>
      </c>
      <c r="B74" t="s">
        <v>1733</v>
      </c>
      <c r="C74" t="s">
        <v>2027</v>
      </c>
      <c r="D74">
        <v>28</v>
      </c>
    </row>
    <row r="75" spans="1:4" x14ac:dyDescent="0.25">
      <c r="A75" t="s">
        <v>80</v>
      </c>
      <c r="B75" t="s">
        <v>38</v>
      </c>
      <c r="C75" t="s">
        <v>4033</v>
      </c>
      <c r="D75">
        <v>26</v>
      </c>
    </row>
    <row r="76" spans="1:4" x14ac:dyDescent="0.25">
      <c r="A76" t="s">
        <v>123</v>
      </c>
      <c r="B76" t="s">
        <v>1541</v>
      </c>
      <c r="C76" t="s">
        <v>1338</v>
      </c>
      <c r="D76">
        <v>28</v>
      </c>
    </row>
    <row r="77" spans="1:4" x14ac:dyDescent="0.25">
      <c r="A77" t="s">
        <v>123</v>
      </c>
      <c r="B77" t="s">
        <v>1680</v>
      </c>
      <c r="C77" t="s">
        <v>2029</v>
      </c>
      <c r="D77">
        <v>27</v>
      </c>
    </row>
    <row r="78" spans="1:4" x14ac:dyDescent="0.25">
      <c r="A78" t="s">
        <v>123</v>
      </c>
      <c r="B78" t="s">
        <v>487</v>
      </c>
      <c r="C78" t="s">
        <v>3258</v>
      </c>
      <c r="D78">
        <v>29</v>
      </c>
    </row>
    <row r="79" spans="1:4" x14ac:dyDescent="0.25">
      <c r="A79" t="s">
        <v>123</v>
      </c>
      <c r="B79" t="s">
        <v>1009</v>
      </c>
      <c r="C79" t="s">
        <v>3875</v>
      </c>
      <c r="D79">
        <v>30</v>
      </c>
    </row>
    <row r="80" spans="1:4" x14ac:dyDescent="0.25">
      <c r="A80" t="s">
        <v>123</v>
      </c>
      <c r="B80" t="s">
        <v>1009</v>
      </c>
      <c r="C80" t="s">
        <v>1421</v>
      </c>
      <c r="D80">
        <v>31</v>
      </c>
    </row>
    <row r="81" spans="1:4" x14ac:dyDescent="0.25">
      <c r="A81" t="s">
        <v>123</v>
      </c>
      <c r="B81" t="s">
        <v>1246</v>
      </c>
      <c r="C81" t="s">
        <v>1423</v>
      </c>
      <c r="D81">
        <v>33</v>
      </c>
    </row>
    <row r="82" spans="1:4" x14ac:dyDescent="0.25">
      <c r="A82" t="s">
        <v>123</v>
      </c>
      <c r="B82" t="s">
        <v>1118</v>
      </c>
      <c r="C82" t="s">
        <v>4356</v>
      </c>
      <c r="D82">
        <v>34</v>
      </c>
    </row>
    <row r="83" spans="1:4" x14ac:dyDescent="0.25">
      <c r="A83" t="s">
        <v>123</v>
      </c>
      <c r="B83" t="s">
        <v>1118</v>
      </c>
      <c r="C83" t="s">
        <v>4357</v>
      </c>
      <c r="D83">
        <v>35</v>
      </c>
    </row>
    <row r="84" spans="1:4" x14ac:dyDescent="0.25">
      <c r="A84" t="s">
        <v>123</v>
      </c>
      <c r="B84" t="s">
        <v>643</v>
      </c>
      <c r="C84" t="s">
        <v>4358</v>
      </c>
      <c r="D84">
        <v>33</v>
      </c>
    </row>
    <row r="85" spans="1:4" x14ac:dyDescent="0.25">
      <c r="A85" t="s">
        <v>123</v>
      </c>
      <c r="B85" t="s">
        <v>2118</v>
      </c>
      <c r="C85" t="s">
        <v>4359</v>
      </c>
      <c r="D85">
        <v>31</v>
      </c>
    </row>
    <row r="86" spans="1:4" x14ac:dyDescent="0.25">
      <c r="A86" t="s">
        <v>123</v>
      </c>
      <c r="B86" t="s">
        <v>405</v>
      </c>
      <c r="C86" t="s">
        <v>1426</v>
      </c>
      <c r="D86">
        <v>32</v>
      </c>
    </row>
    <row r="87" spans="1:4" x14ac:dyDescent="0.25">
      <c r="A87" t="s">
        <v>123</v>
      </c>
      <c r="B87" t="s">
        <v>2158</v>
      </c>
      <c r="C87" t="s">
        <v>4360</v>
      </c>
      <c r="D87">
        <v>35</v>
      </c>
    </row>
    <row r="88" spans="1:4" x14ac:dyDescent="0.25">
      <c r="A88" t="s">
        <v>123</v>
      </c>
      <c r="B88" t="s">
        <v>223</v>
      </c>
      <c r="C88" t="s">
        <v>3531</v>
      </c>
      <c r="D88">
        <v>38</v>
      </c>
    </row>
    <row r="89" spans="1:4" x14ac:dyDescent="0.25">
      <c r="A89" t="s">
        <v>123</v>
      </c>
      <c r="B89" t="s">
        <v>108</v>
      </c>
      <c r="C89" t="s">
        <v>4361</v>
      </c>
      <c r="D89">
        <v>35</v>
      </c>
    </row>
    <row r="90" spans="1:4" x14ac:dyDescent="0.25">
      <c r="A90" t="s">
        <v>123</v>
      </c>
      <c r="B90" t="s">
        <v>702</v>
      </c>
      <c r="C90" t="s">
        <v>3533</v>
      </c>
      <c r="D90">
        <v>37</v>
      </c>
    </row>
    <row r="91" spans="1:4" x14ac:dyDescent="0.25">
      <c r="A91" t="s">
        <v>123</v>
      </c>
      <c r="B91" t="s">
        <v>524</v>
      </c>
      <c r="C91" t="s">
        <v>4362</v>
      </c>
      <c r="D91">
        <v>34</v>
      </c>
    </row>
    <row r="92" spans="1:4" x14ac:dyDescent="0.25">
      <c r="A92" t="s">
        <v>123</v>
      </c>
      <c r="B92" t="s">
        <v>1127</v>
      </c>
      <c r="C92" t="s">
        <v>4363</v>
      </c>
      <c r="D92">
        <v>37</v>
      </c>
    </row>
    <row r="93" spans="1:4" x14ac:dyDescent="0.25">
      <c r="A93" t="s">
        <v>123</v>
      </c>
      <c r="B93" t="s">
        <v>1422</v>
      </c>
      <c r="C93" t="s">
        <v>4364</v>
      </c>
      <c r="D93">
        <v>34</v>
      </c>
    </row>
    <row r="94" spans="1:4" x14ac:dyDescent="0.25">
      <c r="A94" t="s">
        <v>123</v>
      </c>
      <c r="B94" t="s">
        <v>2453</v>
      </c>
      <c r="C94" t="s">
        <v>4365</v>
      </c>
      <c r="D94">
        <v>37</v>
      </c>
    </row>
    <row r="95" spans="1:4" x14ac:dyDescent="0.25">
      <c r="A95" t="s">
        <v>123</v>
      </c>
      <c r="B95" t="s">
        <v>581</v>
      </c>
      <c r="C95" t="s">
        <v>4366</v>
      </c>
      <c r="D95">
        <v>34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17.638297872340427</v>
      </c>
    </row>
    <row r="99" spans="1:4" x14ac:dyDescent="0.25">
      <c r="A99" t="s">
        <v>159</v>
      </c>
      <c r="D99">
        <f>MAX(D2:D95)</f>
        <v>38</v>
      </c>
    </row>
    <row r="100" spans="1:4" x14ac:dyDescent="0.25">
      <c r="A100" t="s">
        <v>160</v>
      </c>
      <c r="D100">
        <f>MIN(D2:D95)</f>
        <v>-3</v>
      </c>
    </row>
    <row r="101" spans="1:4" x14ac:dyDescent="0.25">
      <c r="A101" t="s">
        <v>161</v>
      </c>
      <c r="D101">
        <f>COUNTIF(D2:D95,"&gt;0")</f>
        <v>90</v>
      </c>
    </row>
    <row r="102" spans="1:4" x14ac:dyDescent="0.25">
      <c r="A102" t="s">
        <v>162</v>
      </c>
      <c r="D102">
        <f>COUNTIF(D2:D95,"=0")</f>
        <v>1</v>
      </c>
    </row>
    <row r="103" spans="1:4" x14ac:dyDescent="0.25">
      <c r="A103" t="s">
        <v>1344</v>
      </c>
      <c r="D103">
        <f>COUNTIF(D2:D95,"&lt;0")</f>
        <v>3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AVERAGE(D2,D3,D4,D5,D6,D7,D8,D9,D10,D11,D12,D13,D14,D15,D16,D17,D18,D19,D20,D21,D22,D23,D24,D25)</f>
        <v>4.791666666666667</v>
      </c>
    </row>
    <row r="107" spans="1:4" x14ac:dyDescent="0.25">
      <c r="A107" t="s">
        <v>166</v>
      </c>
      <c r="D107">
        <f>AVERAGE(D26,D27,D28,D29,D30,D31,D32,D33,D34,D35,D36,D37,D38,D39,D40,D41,D42,D43,D44,D45,D46,D47,D48,D49,D50,D51,D52,D53)</f>
        <v>17.678571428571427</v>
      </c>
    </row>
    <row r="108" spans="1:4" x14ac:dyDescent="0.25">
      <c r="A108" t="s">
        <v>167</v>
      </c>
      <c r="D108">
        <f>AVERAGE(D54,D55,D56,D57,D58,D59,D60,D61,D62,D63,D64,D65,D66,D67,D68,D69,D70,D71,D72,D73,D74,D75)</f>
        <v>17.454545454545453</v>
      </c>
    </row>
    <row r="109" spans="1:4" x14ac:dyDescent="0.25">
      <c r="A109" t="s">
        <v>168</v>
      </c>
      <c r="D109">
        <f>AVERAGE(D76,D77,D78,D79,D80,D81,D82,D83,D84,D85,D86,D87,D88,D89,D90,D91,D92,D93,D94,D95)</f>
        <v>33.200000000000003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3980</v>
      </c>
    </row>
    <row r="2" spans="1:4" x14ac:dyDescent="0.25">
      <c r="A2" t="s">
        <v>4</v>
      </c>
      <c r="B2" t="s">
        <v>1055</v>
      </c>
      <c r="C2" t="s">
        <v>6</v>
      </c>
      <c r="D2">
        <v>2</v>
      </c>
    </row>
    <row r="3" spans="1:4" x14ac:dyDescent="0.25">
      <c r="A3" t="s">
        <v>4</v>
      </c>
      <c r="B3" t="s">
        <v>242</v>
      </c>
      <c r="C3" t="s">
        <v>2353</v>
      </c>
      <c r="D3">
        <v>4</v>
      </c>
    </row>
    <row r="4" spans="1:4" x14ac:dyDescent="0.25">
      <c r="A4" t="s">
        <v>4</v>
      </c>
      <c r="B4" t="s">
        <v>242</v>
      </c>
      <c r="C4" t="s">
        <v>1572</v>
      </c>
      <c r="D4">
        <v>5</v>
      </c>
    </row>
    <row r="5" spans="1:4" x14ac:dyDescent="0.25">
      <c r="A5" t="s">
        <v>4</v>
      </c>
      <c r="B5" t="s">
        <v>1768</v>
      </c>
      <c r="C5" t="s">
        <v>1347</v>
      </c>
      <c r="D5">
        <v>3</v>
      </c>
    </row>
    <row r="6" spans="1:4" x14ac:dyDescent="0.25">
      <c r="A6" t="s">
        <v>4</v>
      </c>
      <c r="B6" t="s">
        <v>246</v>
      </c>
      <c r="C6" t="s">
        <v>2592</v>
      </c>
      <c r="D6">
        <v>5</v>
      </c>
    </row>
    <row r="7" spans="1:4" x14ac:dyDescent="0.25">
      <c r="A7" t="s">
        <v>4</v>
      </c>
      <c r="B7" t="s">
        <v>1453</v>
      </c>
      <c r="C7" t="s">
        <v>1348</v>
      </c>
      <c r="D7">
        <v>3</v>
      </c>
    </row>
    <row r="8" spans="1:4" x14ac:dyDescent="0.25">
      <c r="A8" t="s">
        <v>4</v>
      </c>
      <c r="B8" t="s">
        <v>514</v>
      </c>
      <c r="C8" t="s">
        <v>182</v>
      </c>
      <c r="D8">
        <v>5</v>
      </c>
    </row>
    <row r="9" spans="1:4" x14ac:dyDescent="0.25">
      <c r="A9" t="s">
        <v>4</v>
      </c>
      <c r="B9" t="s">
        <v>1248</v>
      </c>
      <c r="C9" t="s">
        <v>1012</v>
      </c>
      <c r="D9">
        <v>4</v>
      </c>
    </row>
    <row r="10" spans="1:4" x14ac:dyDescent="0.25">
      <c r="A10" t="s">
        <v>4</v>
      </c>
      <c r="B10" t="s">
        <v>1958</v>
      </c>
      <c r="C10" t="s">
        <v>569</v>
      </c>
      <c r="D10">
        <v>2</v>
      </c>
    </row>
    <row r="11" spans="1:4" x14ac:dyDescent="0.25">
      <c r="A11" t="s">
        <v>4</v>
      </c>
      <c r="B11" t="s">
        <v>95</v>
      </c>
      <c r="C11" t="s">
        <v>438</v>
      </c>
      <c r="D11">
        <v>-1</v>
      </c>
    </row>
    <row r="12" spans="1:4" x14ac:dyDescent="0.25">
      <c r="A12" t="s">
        <v>4</v>
      </c>
      <c r="B12" t="s">
        <v>435</v>
      </c>
      <c r="C12" t="s">
        <v>1433</v>
      </c>
      <c r="D12">
        <v>-3</v>
      </c>
    </row>
    <row r="13" spans="1:4" x14ac:dyDescent="0.25">
      <c r="A13" t="s">
        <v>4</v>
      </c>
      <c r="B13" t="s">
        <v>2562</v>
      </c>
      <c r="C13" t="s">
        <v>2155</v>
      </c>
      <c r="D13">
        <v>0</v>
      </c>
    </row>
    <row r="14" spans="1:4" x14ac:dyDescent="0.25">
      <c r="A14" t="s">
        <v>4</v>
      </c>
      <c r="B14" t="s">
        <v>1517</v>
      </c>
      <c r="C14" t="s">
        <v>1746</v>
      </c>
      <c r="D14">
        <v>-3</v>
      </c>
    </row>
    <row r="15" spans="1:4" x14ac:dyDescent="0.25">
      <c r="A15" t="s">
        <v>4</v>
      </c>
      <c r="B15" t="s">
        <v>876</v>
      </c>
      <c r="C15" t="s">
        <v>2121</v>
      </c>
      <c r="D15">
        <v>0</v>
      </c>
    </row>
    <row r="16" spans="1:4" x14ac:dyDescent="0.25">
      <c r="A16" t="s">
        <v>4</v>
      </c>
      <c r="B16" t="s">
        <v>815</v>
      </c>
      <c r="C16" t="s">
        <v>705</v>
      </c>
      <c r="D16">
        <v>-1</v>
      </c>
    </row>
    <row r="17" spans="1:4" x14ac:dyDescent="0.25">
      <c r="A17" t="s">
        <v>4</v>
      </c>
      <c r="B17" t="s">
        <v>900</v>
      </c>
      <c r="C17" t="s">
        <v>707</v>
      </c>
      <c r="D17">
        <v>1</v>
      </c>
    </row>
    <row r="18" spans="1:4" x14ac:dyDescent="0.25">
      <c r="A18" t="s">
        <v>4</v>
      </c>
      <c r="B18" t="s">
        <v>483</v>
      </c>
      <c r="C18" t="s">
        <v>39</v>
      </c>
      <c r="D18">
        <v>-1</v>
      </c>
    </row>
    <row r="19" spans="1:4" x14ac:dyDescent="0.25">
      <c r="A19" t="s">
        <v>4</v>
      </c>
      <c r="B19" t="s">
        <v>1002</v>
      </c>
      <c r="C19" t="s">
        <v>1821</v>
      </c>
      <c r="D19">
        <v>-2</v>
      </c>
    </row>
    <row r="20" spans="1:4" x14ac:dyDescent="0.25">
      <c r="A20" t="s">
        <v>4</v>
      </c>
      <c r="B20" t="s">
        <v>1002</v>
      </c>
      <c r="C20" t="s">
        <v>1507</v>
      </c>
      <c r="D20">
        <v>-3</v>
      </c>
    </row>
    <row r="21" spans="1:4" x14ac:dyDescent="0.25">
      <c r="A21" t="s">
        <v>4</v>
      </c>
      <c r="B21" t="s">
        <v>78</v>
      </c>
      <c r="C21" t="s">
        <v>1508</v>
      </c>
      <c r="D21">
        <v>-1</v>
      </c>
    </row>
    <row r="22" spans="1:4" x14ac:dyDescent="0.25">
      <c r="A22" t="s">
        <v>40</v>
      </c>
      <c r="B22" t="s">
        <v>907</v>
      </c>
      <c r="C22" t="s">
        <v>711</v>
      </c>
      <c r="D22">
        <v>1</v>
      </c>
    </row>
    <row r="23" spans="1:4" x14ac:dyDescent="0.25">
      <c r="A23" t="s">
        <v>40</v>
      </c>
      <c r="B23" t="s">
        <v>935</v>
      </c>
      <c r="C23" t="s">
        <v>2328</v>
      </c>
      <c r="D23">
        <v>-2</v>
      </c>
    </row>
    <row r="24" spans="1:4" x14ac:dyDescent="0.25">
      <c r="A24" t="s">
        <v>40</v>
      </c>
      <c r="B24" t="s">
        <v>172</v>
      </c>
      <c r="C24" t="s">
        <v>2329</v>
      </c>
      <c r="D24">
        <v>-4</v>
      </c>
    </row>
    <row r="25" spans="1:4" x14ac:dyDescent="0.25">
      <c r="A25" t="s">
        <v>40</v>
      </c>
      <c r="B25" t="s">
        <v>250</v>
      </c>
      <c r="C25" t="s">
        <v>456</v>
      </c>
      <c r="D25">
        <v>-2</v>
      </c>
    </row>
    <row r="26" spans="1:4" x14ac:dyDescent="0.25">
      <c r="A26" t="s">
        <v>40</v>
      </c>
      <c r="B26" t="s">
        <v>1771</v>
      </c>
      <c r="C26" t="s">
        <v>53</v>
      </c>
      <c r="D26">
        <v>-3</v>
      </c>
    </row>
    <row r="27" spans="1:4" x14ac:dyDescent="0.25">
      <c r="A27" t="s">
        <v>40</v>
      </c>
      <c r="B27" t="s">
        <v>1549</v>
      </c>
      <c r="C27" t="s">
        <v>593</v>
      </c>
      <c r="D27">
        <v>-1</v>
      </c>
    </row>
    <row r="28" spans="1:4" x14ac:dyDescent="0.25">
      <c r="A28" t="s">
        <v>40</v>
      </c>
      <c r="B28" t="s">
        <v>868</v>
      </c>
      <c r="C28" t="s">
        <v>1753</v>
      </c>
      <c r="D28">
        <v>2</v>
      </c>
    </row>
    <row r="29" spans="1:4" x14ac:dyDescent="0.25">
      <c r="A29" t="s">
        <v>40</v>
      </c>
      <c r="B29" t="s">
        <v>2170</v>
      </c>
      <c r="C29" t="s">
        <v>218</v>
      </c>
      <c r="D29">
        <v>3</v>
      </c>
    </row>
    <row r="30" spans="1:4" x14ac:dyDescent="0.25">
      <c r="A30" t="s">
        <v>40</v>
      </c>
      <c r="B30" t="s">
        <v>2170</v>
      </c>
      <c r="C30" t="s">
        <v>720</v>
      </c>
      <c r="D30">
        <v>4</v>
      </c>
    </row>
    <row r="31" spans="1:4" x14ac:dyDescent="0.25">
      <c r="A31" t="s">
        <v>40</v>
      </c>
      <c r="B31" t="s">
        <v>368</v>
      </c>
      <c r="C31" t="s">
        <v>343</v>
      </c>
      <c r="D31">
        <v>2</v>
      </c>
    </row>
    <row r="32" spans="1:4" x14ac:dyDescent="0.25">
      <c r="A32" t="s">
        <v>40</v>
      </c>
      <c r="B32" t="s">
        <v>872</v>
      </c>
      <c r="C32" t="s">
        <v>464</v>
      </c>
      <c r="D32">
        <v>0</v>
      </c>
    </row>
    <row r="33" spans="1:4" x14ac:dyDescent="0.25">
      <c r="A33" t="s">
        <v>40</v>
      </c>
      <c r="B33" t="s">
        <v>1349</v>
      </c>
      <c r="C33" t="s">
        <v>1128</v>
      </c>
      <c r="D33">
        <v>1</v>
      </c>
    </row>
    <row r="34" spans="1:4" x14ac:dyDescent="0.25">
      <c r="A34" t="s">
        <v>40</v>
      </c>
      <c r="B34" t="s">
        <v>1349</v>
      </c>
      <c r="C34" t="s">
        <v>1130</v>
      </c>
      <c r="D34">
        <v>2</v>
      </c>
    </row>
    <row r="35" spans="1:4" x14ac:dyDescent="0.25">
      <c r="A35" t="s">
        <v>40</v>
      </c>
      <c r="B35" t="s">
        <v>1855</v>
      </c>
      <c r="C35" t="s">
        <v>2361</v>
      </c>
      <c r="D35">
        <v>4</v>
      </c>
    </row>
    <row r="36" spans="1:4" x14ac:dyDescent="0.25">
      <c r="A36" t="s">
        <v>40</v>
      </c>
      <c r="B36" t="s">
        <v>702</v>
      </c>
      <c r="C36" t="s">
        <v>468</v>
      </c>
      <c r="D36">
        <v>2</v>
      </c>
    </row>
    <row r="37" spans="1:4" x14ac:dyDescent="0.25">
      <c r="A37" t="s">
        <v>40</v>
      </c>
      <c r="B37" t="s">
        <v>1200</v>
      </c>
      <c r="C37" t="s">
        <v>470</v>
      </c>
      <c r="D37">
        <v>0</v>
      </c>
    </row>
    <row r="38" spans="1:4" x14ac:dyDescent="0.25">
      <c r="A38" t="s">
        <v>40</v>
      </c>
      <c r="B38" t="s">
        <v>1335</v>
      </c>
      <c r="C38" t="s">
        <v>230</v>
      </c>
      <c r="D38">
        <v>2</v>
      </c>
    </row>
    <row r="39" spans="1:4" x14ac:dyDescent="0.25">
      <c r="A39" t="s">
        <v>40</v>
      </c>
      <c r="B39" t="s">
        <v>579</v>
      </c>
      <c r="C39" t="s">
        <v>354</v>
      </c>
      <c r="D39">
        <v>1</v>
      </c>
    </row>
    <row r="40" spans="1:4" x14ac:dyDescent="0.25">
      <c r="A40" t="s">
        <v>40</v>
      </c>
      <c r="B40" t="s">
        <v>579</v>
      </c>
      <c r="C40" t="s">
        <v>232</v>
      </c>
      <c r="D40">
        <v>0</v>
      </c>
    </row>
    <row r="41" spans="1:4" x14ac:dyDescent="0.25">
      <c r="A41" t="s">
        <v>40</v>
      </c>
      <c r="B41" t="s">
        <v>732</v>
      </c>
      <c r="C41" t="s">
        <v>1518</v>
      </c>
      <c r="D41">
        <v>-1</v>
      </c>
    </row>
    <row r="42" spans="1:4" x14ac:dyDescent="0.25">
      <c r="A42" t="s">
        <v>40</v>
      </c>
      <c r="B42" t="s">
        <v>120</v>
      </c>
      <c r="C42" t="s">
        <v>234</v>
      </c>
      <c r="D42">
        <v>-3</v>
      </c>
    </row>
    <row r="43" spans="1:4" x14ac:dyDescent="0.25">
      <c r="A43" t="s">
        <v>40</v>
      </c>
      <c r="B43" t="s">
        <v>1809</v>
      </c>
      <c r="C43" t="s">
        <v>1221</v>
      </c>
      <c r="D43">
        <v>0</v>
      </c>
    </row>
    <row r="44" spans="1:4" x14ac:dyDescent="0.25">
      <c r="A44" t="s">
        <v>40</v>
      </c>
      <c r="B44" t="s">
        <v>38</v>
      </c>
      <c r="C44" t="s">
        <v>2413</v>
      </c>
      <c r="D44">
        <v>-2</v>
      </c>
    </row>
    <row r="45" spans="1:4" x14ac:dyDescent="0.25">
      <c r="A45" t="s">
        <v>80</v>
      </c>
      <c r="B45" t="s">
        <v>1704</v>
      </c>
      <c r="C45" t="s">
        <v>1224</v>
      </c>
      <c r="D45">
        <v>1</v>
      </c>
    </row>
    <row r="46" spans="1:4" x14ac:dyDescent="0.25">
      <c r="A46" t="s">
        <v>80</v>
      </c>
      <c r="B46" t="s">
        <v>1704</v>
      </c>
      <c r="C46" t="s">
        <v>2307</v>
      </c>
      <c r="D46">
        <v>2</v>
      </c>
    </row>
    <row r="47" spans="1:4" x14ac:dyDescent="0.25">
      <c r="A47" t="s">
        <v>80</v>
      </c>
      <c r="B47" t="s">
        <v>1524</v>
      </c>
      <c r="C47" t="s">
        <v>2609</v>
      </c>
      <c r="D47">
        <v>5</v>
      </c>
    </row>
    <row r="48" spans="1:4" x14ac:dyDescent="0.25">
      <c r="A48" t="s">
        <v>80</v>
      </c>
      <c r="B48" t="s">
        <v>565</v>
      </c>
      <c r="C48" t="s">
        <v>2488</v>
      </c>
      <c r="D48">
        <v>3</v>
      </c>
    </row>
    <row r="49" spans="1:4" x14ac:dyDescent="0.25">
      <c r="A49" t="s">
        <v>80</v>
      </c>
      <c r="B49" t="s">
        <v>490</v>
      </c>
      <c r="C49" t="s">
        <v>2530</v>
      </c>
      <c r="D49">
        <v>5</v>
      </c>
    </row>
    <row r="50" spans="1:4" x14ac:dyDescent="0.25">
      <c r="A50" t="s">
        <v>80</v>
      </c>
      <c r="B50" t="s">
        <v>645</v>
      </c>
      <c r="C50" t="s">
        <v>2599</v>
      </c>
      <c r="D50">
        <v>8</v>
      </c>
    </row>
    <row r="51" spans="1:4" x14ac:dyDescent="0.25">
      <c r="A51" t="s">
        <v>80</v>
      </c>
      <c r="B51" t="s">
        <v>2842</v>
      </c>
      <c r="C51" t="s">
        <v>2272</v>
      </c>
      <c r="D51">
        <v>7</v>
      </c>
    </row>
    <row r="52" spans="1:4" x14ac:dyDescent="0.25">
      <c r="A52" t="s">
        <v>80</v>
      </c>
      <c r="B52" t="s">
        <v>2842</v>
      </c>
      <c r="C52" t="s">
        <v>2706</v>
      </c>
      <c r="D52">
        <v>6</v>
      </c>
    </row>
    <row r="53" spans="1:4" x14ac:dyDescent="0.25">
      <c r="A53" t="s">
        <v>80</v>
      </c>
      <c r="B53" t="s">
        <v>836</v>
      </c>
      <c r="C53" t="s">
        <v>2913</v>
      </c>
      <c r="D53">
        <v>8</v>
      </c>
    </row>
    <row r="54" spans="1:4" x14ac:dyDescent="0.25">
      <c r="A54" t="s">
        <v>80</v>
      </c>
      <c r="B54" t="s">
        <v>1170</v>
      </c>
      <c r="C54" t="s">
        <v>1460</v>
      </c>
      <c r="D54">
        <v>10</v>
      </c>
    </row>
    <row r="55" spans="1:4" x14ac:dyDescent="0.25">
      <c r="A55" t="s">
        <v>80</v>
      </c>
      <c r="B55" t="s">
        <v>661</v>
      </c>
      <c r="C55" t="s">
        <v>2728</v>
      </c>
      <c r="D55">
        <v>7</v>
      </c>
    </row>
    <row r="56" spans="1:4" x14ac:dyDescent="0.25">
      <c r="A56" t="s">
        <v>80</v>
      </c>
      <c r="B56" t="s">
        <v>192</v>
      </c>
      <c r="C56" t="s">
        <v>4225</v>
      </c>
      <c r="D56">
        <v>9</v>
      </c>
    </row>
    <row r="57" spans="1:4" x14ac:dyDescent="0.25">
      <c r="A57" t="s">
        <v>80</v>
      </c>
      <c r="B57" t="s">
        <v>1073</v>
      </c>
      <c r="C57" t="s">
        <v>2274</v>
      </c>
      <c r="D57">
        <v>8</v>
      </c>
    </row>
    <row r="58" spans="1:4" x14ac:dyDescent="0.25">
      <c r="A58" t="s">
        <v>80</v>
      </c>
      <c r="B58" t="s">
        <v>1073</v>
      </c>
      <c r="C58" t="s">
        <v>2275</v>
      </c>
      <c r="D58">
        <v>7</v>
      </c>
    </row>
    <row r="59" spans="1:4" x14ac:dyDescent="0.25">
      <c r="A59" t="s">
        <v>80</v>
      </c>
      <c r="B59" t="s">
        <v>1481</v>
      </c>
      <c r="C59" t="s">
        <v>1160</v>
      </c>
      <c r="D59">
        <v>9</v>
      </c>
    </row>
    <row r="60" spans="1:4" x14ac:dyDescent="0.25">
      <c r="A60" t="s">
        <v>80</v>
      </c>
      <c r="B60" t="s">
        <v>579</v>
      </c>
      <c r="C60" t="s">
        <v>1604</v>
      </c>
      <c r="D60">
        <v>7</v>
      </c>
    </row>
    <row r="61" spans="1:4" x14ac:dyDescent="0.25">
      <c r="A61" t="s">
        <v>80</v>
      </c>
      <c r="B61" t="s">
        <v>1132</v>
      </c>
      <c r="C61" t="s">
        <v>2340</v>
      </c>
      <c r="D61">
        <v>4</v>
      </c>
    </row>
    <row r="62" spans="1:4" x14ac:dyDescent="0.25">
      <c r="A62" t="s">
        <v>80</v>
      </c>
      <c r="B62" t="s">
        <v>298</v>
      </c>
      <c r="C62" t="s">
        <v>501</v>
      </c>
      <c r="D62">
        <v>6</v>
      </c>
    </row>
    <row r="63" spans="1:4" x14ac:dyDescent="0.25">
      <c r="A63" t="s">
        <v>123</v>
      </c>
      <c r="B63" t="s">
        <v>453</v>
      </c>
      <c r="C63" t="s">
        <v>393</v>
      </c>
      <c r="D63">
        <v>3</v>
      </c>
    </row>
    <row r="64" spans="1:4" x14ac:dyDescent="0.25">
      <c r="A64" t="s">
        <v>123</v>
      </c>
      <c r="B64" t="s">
        <v>1765</v>
      </c>
      <c r="C64" t="s">
        <v>395</v>
      </c>
      <c r="D64">
        <v>5</v>
      </c>
    </row>
    <row r="65" spans="1:4" x14ac:dyDescent="0.25">
      <c r="A65" t="s">
        <v>123</v>
      </c>
      <c r="B65" t="s">
        <v>1765</v>
      </c>
      <c r="C65" t="s">
        <v>3019</v>
      </c>
      <c r="D65">
        <v>6</v>
      </c>
    </row>
    <row r="66" spans="1:4" x14ac:dyDescent="0.25">
      <c r="A66" t="s">
        <v>123</v>
      </c>
      <c r="B66" t="s">
        <v>1246</v>
      </c>
      <c r="C66" t="s">
        <v>4367</v>
      </c>
      <c r="D66">
        <v>9</v>
      </c>
    </row>
    <row r="67" spans="1:4" x14ac:dyDescent="0.25">
      <c r="A67" t="s">
        <v>123</v>
      </c>
      <c r="B67" t="s">
        <v>1755</v>
      </c>
      <c r="C67" t="s">
        <v>2869</v>
      </c>
      <c r="D67">
        <v>11</v>
      </c>
    </row>
    <row r="68" spans="1:4" x14ac:dyDescent="0.25">
      <c r="A68" t="s">
        <v>123</v>
      </c>
      <c r="B68" t="s">
        <v>625</v>
      </c>
      <c r="C68" t="s">
        <v>2730</v>
      </c>
      <c r="D68">
        <v>8</v>
      </c>
    </row>
    <row r="69" spans="1:4" x14ac:dyDescent="0.25">
      <c r="A69" t="s">
        <v>123</v>
      </c>
      <c r="B69" t="s">
        <v>1284</v>
      </c>
      <c r="C69" t="s">
        <v>403</v>
      </c>
      <c r="D69">
        <v>9</v>
      </c>
    </row>
    <row r="70" spans="1:4" x14ac:dyDescent="0.25">
      <c r="A70" t="s">
        <v>123</v>
      </c>
      <c r="B70" t="s">
        <v>1284</v>
      </c>
      <c r="C70" t="s">
        <v>2992</v>
      </c>
      <c r="D70">
        <v>10</v>
      </c>
    </row>
    <row r="71" spans="1:4" x14ac:dyDescent="0.25">
      <c r="A71" t="s">
        <v>123</v>
      </c>
      <c r="B71" t="s">
        <v>2266</v>
      </c>
      <c r="C71" t="s">
        <v>2279</v>
      </c>
      <c r="D71">
        <v>9</v>
      </c>
    </row>
    <row r="72" spans="1:4" x14ac:dyDescent="0.25">
      <c r="A72" t="s">
        <v>123</v>
      </c>
      <c r="B72" t="s">
        <v>2266</v>
      </c>
      <c r="C72" t="s">
        <v>406</v>
      </c>
      <c r="D72">
        <v>8</v>
      </c>
    </row>
    <row r="73" spans="1:4" x14ac:dyDescent="0.25">
      <c r="A73" t="s">
        <v>123</v>
      </c>
      <c r="B73" t="s">
        <v>313</v>
      </c>
      <c r="C73" t="s">
        <v>2917</v>
      </c>
      <c r="D73">
        <v>10</v>
      </c>
    </row>
    <row r="74" spans="1:4" x14ac:dyDescent="0.25">
      <c r="A74" t="s">
        <v>123</v>
      </c>
      <c r="B74" t="s">
        <v>628</v>
      </c>
      <c r="C74" t="s">
        <v>2280</v>
      </c>
      <c r="D74">
        <v>9</v>
      </c>
    </row>
    <row r="75" spans="1:4" x14ac:dyDescent="0.25">
      <c r="A75" t="s">
        <v>123</v>
      </c>
      <c r="B75" t="s">
        <v>628</v>
      </c>
      <c r="C75" t="s">
        <v>2557</v>
      </c>
      <c r="D75">
        <v>8</v>
      </c>
    </row>
    <row r="76" spans="1:4" x14ac:dyDescent="0.25">
      <c r="A76" t="s">
        <v>123</v>
      </c>
      <c r="B76" t="s">
        <v>600</v>
      </c>
      <c r="C76" t="s">
        <v>1847</v>
      </c>
      <c r="D76">
        <v>5</v>
      </c>
    </row>
    <row r="77" spans="1:4" x14ac:dyDescent="0.25">
      <c r="A77" t="s">
        <v>123</v>
      </c>
      <c r="B77" t="s">
        <v>1503</v>
      </c>
      <c r="C77" t="s">
        <v>1848</v>
      </c>
      <c r="D77">
        <v>8</v>
      </c>
    </row>
    <row r="78" spans="1:4" x14ac:dyDescent="0.25">
      <c r="A78" t="s">
        <v>123</v>
      </c>
      <c r="B78" t="s">
        <v>749</v>
      </c>
      <c r="C78" t="s">
        <v>1618</v>
      </c>
      <c r="D78">
        <v>6</v>
      </c>
    </row>
    <row r="79" spans="1:4" x14ac:dyDescent="0.25">
      <c r="A79" t="s">
        <v>123</v>
      </c>
      <c r="B79" t="s">
        <v>876</v>
      </c>
      <c r="C79" t="s">
        <v>1620</v>
      </c>
      <c r="D79">
        <v>8</v>
      </c>
    </row>
    <row r="80" spans="1:4" x14ac:dyDescent="0.25">
      <c r="A80" t="s">
        <v>123</v>
      </c>
      <c r="B80" t="s">
        <v>1129</v>
      </c>
      <c r="C80" t="s">
        <v>3203</v>
      </c>
      <c r="D80">
        <v>5</v>
      </c>
    </row>
    <row r="81" spans="1:4" x14ac:dyDescent="0.25">
      <c r="A81" t="s">
        <v>123</v>
      </c>
      <c r="B81" t="s">
        <v>198</v>
      </c>
      <c r="C81" t="s">
        <v>670</v>
      </c>
      <c r="D81">
        <v>4</v>
      </c>
    </row>
    <row r="82" spans="1:4" x14ac:dyDescent="0.25">
      <c r="A82" t="s">
        <v>123</v>
      </c>
      <c r="B82" t="s">
        <v>198</v>
      </c>
      <c r="C82" t="s">
        <v>4368</v>
      </c>
      <c r="D82">
        <v>3</v>
      </c>
    </row>
    <row r="83" spans="1:4" x14ac:dyDescent="0.25">
      <c r="A83" t="s">
        <v>123</v>
      </c>
      <c r="B83" t="s">
        <v>877</v>
      </c>
      <c r="C83" t="s">
        <v>1966</v>
      </c>
      <c r="D83">
        <v>1</v>
      </c>
    </row>
    <row r="84" spans="1:4" x14ac:dyDescent="0.25">
      <c r="A84" t="s">
        <v>123</v>
      </c>
      <c r="B84" t="s">
        <v>33</v>
      </c>
      <c r="C84" t="s">
        <v>535</v>
      </c>
      <c r="D84">
        <v>-1</v>
      </c>
    </row>
    <row r="85" spans="1:4" x14ac:dyDescent="0.25">
      <c r="A85" t="s">
        <v>123</v>
      </c>
      <c r="B85" t="s">
        <v>817</v>
      </c>
      <c r="C85" t="s">
        <v>2504</v>
      </c>
      <c r="D85">
        <v>-2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3.3214285714285716</v>
      </c>
    </row>
    <row r="89" spans="1:4" x14ac:dyDescent="0.25">
      <c r="A89" t="s">
        <v>159</v>
      </c>
      <c r="D89">
        <f>MAX(D2:D85)</f>
        <v>11</v>
      </c>
    </row>
    <row r="90" spans="1:4" x14ac:dyDescent="0.25">
      <c r="A90" t="s">
        <v>160</v>
      </c>
      <c r="D90">
        <f>MIN(D2:D85)</f>
        <v>-4</v>
      </c>
    </row>
    <row r="91" spans="1:4" x14ac:dyDescent="0.25">
      <c r="A91" t="s">
        <v>161</v>
      </c>
      <c r="D91">
        <f>COUNTIF(D2:D85,"&gt;0")</f>
        <v>60</v>
      </c>
    </row>
    <row r="92" spans="1:4" x14ac:dyDescent="0.25">
      <c r="A92" t="s">
        <v>162</v>
      </c>
      <c r="D92">
        <f>COUNTIF(D2:D85,"=0")</f>
        <v>6</v>
      </c>
    </row>
    <row r="93" spans="1:4" x14ac:dyDescent="0.25">
      <c r="A93" t="s">
        <v>3983</v>
      </c>
      <c r="D93">
        <f>COUNTIF(D2:D85,"&lt;0")</f>
        <v>18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AVERAGE(D2,D3,D4,D5,D6,D7,D8,D9,D10,D11,D12,D13,D14,D15,D16,D17,D18,D19,D20,D21)</f>
        <v>0.95</v>
      </c>
    </row>
    <row r="97" spans="1:4" x14ac:dyDescent="0.25">
      <c r="A97" t="s">
        <v>166</v>
      </c>
      <c r="D97">
        <f>AVERAGE(D22,D23,D24,D25,D26,D27,D28,D29,D30,D31,D32,D33,D34,D35,D36,D37,D38,D39,D40,D41,D42,D43,D44)</f>
        <v>0.2608695652173913</v>
      </c>
    </row>
    <row r="98" spans="1:4" x14ac:dyDescent="0.25">
      <c r="A98" t="s">
        <v>167</v>
      </c>
      <c r="D98">
        <f>AVERAGE(D45,D46,D47,D48,D49,D50,D51,D52,D53,D54,D55,D56,D57,D58,D59,D60,D61,D62)</f>
        <v>6.2222222222222223</v>
      </c>
    </row>
    <row r="99" spans="1:4" x14ac:dyDescent="0.25">
      <c r="A99" t="s">
        <v>168</v>
      </c>
      <c r="D99">
        <f>AVERAGE(D63,D64,D65,D66,D67,D68,D69,D70,D71,D72,D73,D74,D75,D76,D77,D78,D79,D80,D81,D82,D83,D84,D85)</f>
        <v>6.1739130434782608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4369</v>
      </c>
    </row>
    <row r="2" spans="1:4" x14ac:dyDescent="0.25">
      <c r="A2" t="s">
        <v>4</v>
      </c>
      <c r="B2" t="s">
        <v>1208</v>
      </c>
      <c r="C2" t="s">
        <v>908</v>
      </c>
      <c r="D2">
        <v>-2</v>
      </c>
    </row>
    <row r="3" spans="1:4" x14ac:dyDescent="0.25">
      <c r="A3" t="s">
        <v>4</v>
      </c>
      <c r="B3" t="s">
        <v>1922</v>
      </c>
      <c r="C3" t="s">
        <v>1188</v>
      </c>
      <c r="D3">
        <v>-1</v>
      </c>
    </row>
    <row r="4" spans="1:4" x14ac:dyDescent="0.25">
      <c r="A4" t="s">
        <v>4</v>
      </c>
      <c r="B4" t="s">
        <v>1922</v>
      </c>
      <c r="C4" t="s">
        <v>8</v>
      </c>
      <c r="D4">
        <v>0</v>
      </c>
    </row>
    <row r="5" spans="1:4" x14ac:dyDescent="0.25">
      <c r="A5" t="s">
        <v>4</v>
      </c>
      <c r="B5" t="s">
        <v>487</v>
      </c>
      <c r="C5" t="s">
        <v>10</v>
      </c>
      <c r="D5">
        <v>-2</v>
      </c>
    </row>
    <row r="6" spans="1:4" x14ac:dyDescent="0.25">
      <c r="A6" t="s">
        <v>4</v>
      </c>
      <c r="B6" t="s">
        <v>244</v>
      </c>
      <c r="C6" t="s">
        <v>2297</v>
      </c>
      <c r="D6">
        <v>-4</v>
      </c>
    </row>
    <row r="7" spans="1:4" x14ac:dyDescent="0.25">
      <c r="A7" t="s">
        <v>4</v>
      </c>
      <c r="B7" t="s">
        <v>1613</v>
      </c>
      <c r="C7" t="s">
        <v>3756</v>
      </c>
      <c r="D7">
        <v>-6</v>
      </c>
    </row>
    <row r="8" spans="1:4" x14ac:dyDescent="0.25">
      <c r="A8" t="s">
        <v>4</v>
      </c>
      <c r="B8" t="s">
        <v>175</v>
      </c>
      <c r="C8" t="s">
        <v>1694</v>
      </c>
      <c r="D8">
        <v>-4</v>
      </c>
    </row>
    <row r="9" spans="1:4" x14ac:dyDescent="0.25">
      <c r="A9" t="s">
        <v>4</v>
      </c>
      <c r="B9" t="s">
        <v>175</v>
      </c>
      <c r="C9" t="s">
        <v>1109</v>
      </c>
      <c r="D9">
        <v>-3</v>
      </c>
    </row>
    <row r="10" spans="1:4" x14ac:dyDescent="0.25">
      <c r="A10" t="s">
        <v>4</v>
      </c>
      <c r="B10" t="s">
        <v>1771</v>
      </c>
      <c r="C10" t="s">
        <v>1635</v>
      </c>
      <c r="D10">
        <v>-5</v>
      </c>
    </row>
    <row r="11" spans="1:4" x14ac:dyDescent="0.25">
      <c r="A11" t="s">
        <v>4</v>
      </c>
      <c r="B11" t="s">
        <v>1417</v>
      </c>
      <c r="C11" t="s">
        <v>4000</v>
      </c>
      <c r="D11">
        <v>-7</v>
      </c>
    </row>
    <row r="12" spans="1:4" x14ac:dyDescent="0.25">
      <c r="A12" t="s">
        <v>4</v>
      </c>
      <c r="B12" t="s">
        <v>335</v>
      </c>
      <c r="C12" t="s">
        <v>4370</v>
      </c>
      <c r="D12">
        <v>-9</v>
      </c>
    </row>
    <row r="13" spans="1:4" x14ac:dyDescent="0.25">
      <c r="A13" t="s">
        <v>4</v>
      </c>
      <c r="B13" t="s">
        <v>651</v>
      </c>
      <c r="C13" t="s">
        <v>4001</v>
      </c>
      <c r="D13">
        <v>-7</v>
      </c>
    </row>
    <row r="14" spans="1:4" x14ac:dyDescent="0.25">
      <c r="A14" t="s">
        <v>4</v>
      </c>
      <c r="B14" t="s">
        <v>661</v>
      </c>
      <c r="C14" t="s">
        <v>1501</v>
      </c>
      <c r="D14">
        <v>-4</v>
      </c>
    </row>
    <row r="15" spans="1:4" x14ac:dyDescent="0.25">
      <c r="A15" t="s">
        <v>4</v>
      </c>
      <c r="B15" t="s">
        <v>223</v>
      </c>
      <c r="C15" t="s">
        <v>1701</v>
      </c>
      <c r="D15">
        <v>-5</v>
      </c>
    </row>
    <row r="16" spans="1:4" x14ac:dyDescent="0.25">
      <c r="A16" t="s">
        <v>4</v>
      </c>
      <c r="B16" t="s">
        <v>1396</v>
      </c>
      <c r="C16" t="s">
        <v>1746</v>
      </c>
      <c r="D16">
        <v>-3</v>
      </c>
    </row>
    <row r="17" spans="1:4" x14ac:dyDescent="0.25">
      <c r="A17" t="s">
        <v>4</v>
      </c>
      <c r="B17" t="s">
        <v>292</v>
      </c>
      <c r="C17" t="s">
        <v>2203</v>
      </c>
      <c r="D17">
        <v>-5</v>
      </c>
    </row>
    <row r="18" spans="1:4" x14ac:dyDescent="0.25">
      <c r="A18" t="s">
        <v>4</v>
      </c>
      <c r="B18" t="s">
        <v>732</v>
      </c>
      <c r="C18" t="s">
        <v>1505</v>
      </c>
      <c r="D18">
        <v>-2</v>
      </c>
    </row>
    <row r="19" spans="1:4" x14ac:dyDescent="0.25">
      <c r="A19" t="s">
        <v>4</v>
      </c>
      <c r="B19" t="s">
        <v>294</v>
      </c>
      <c r="C19" t="s">
        <v>2699</v>
      </c>
      <c r="D19">
        <v>-4</v>
      </c>
    </row>
    <row r="20" spans="1:4" x14ac:dyDescent="0.25">
      <c r="A20" t="s">
        <v>4</v>
      </c>
      <c r="B20" t="s">
        <v>2608</v>
      </c>
      <c r="C20" t="s">
        <v>1821</v>
      </c>
      <c r="D20">
        <v>-2</v>
      </c>
    </row>
    <row r="21" spans="1:4" x14ac:dyDescent="0.25">
      <c r="A21" t="s">
        <v>4</v>
      </c>
      <c r="B21" t="s">
        <v>556</v>
      </c>
      <c r="C21" t="s">
        <v>42</v>
      </c>
      <c r="D21">
        <v>-4</v>
      </c>
    </row>
    <row r="22" spans="1:4" x14ac:dyDescent="0.25">
      <c r="A22" t="s">
        <v>4</v>
      </c>
      <c r="B22" t="s">
        <v>154</v>
      </c>
      <c r="C22" t="s">
        <v>2205</v>
      </c>
      <c r="D22">
        <v>-5</v>
      </c>
    </row>
    <row r="23" spans="1:4" x14ac:dyDescent="0.25">
      <c r="A23" t="s">
        <v>4</v>
      </c>
      <c r="B23" t="s">
        <v>817</v>
      </c>
      <c r="C23" t="s">
        <v>2206</v>
      </c>
      <c r="D23">
        <v>-3</v>
      </c>
    </row>
    <row r="24" spans="1:4" x14ac:dyDescent="0.25">
      <c r="A24" t="s">
        <v>40</v>
      </c>
      <c r="B24" t="s">
        <v>453</v>
      </c>
      <c r="C24" t="s">
        <v>2265</v>
      </c>
      <c r="D24">
        <v>-1</v>
      </c>
    </row>
    <row r="25" spans="1:4" x14ac:dyDescent="0.25">
      <c r="A25" t="s">
        <v>40</v>
      </c>
      <c r="B25" t="s">
        <v>857</v>
      </c>
      <c r="C25" t="s">
        <v>2329</v>
      </c>
      <c r="D25">
        <v>-4</v>
      </c>
    </row>
    <row r="26" spans="1:4" x14ac:dyDescent="0.25">
      <c r="A26" t="s">
        <v>40</v>
      </c>
      <c r="B26" t="s">
        <v>1057</v>
      </c>
      <c r="C26" t="s">
        <v>1511</v>
      </c>
      <c r="D26">
        <v>-3</v>
      </c>
    </row>
    <row r="27" spans="1:4" x14ac:dyDescent="0.25">
      <c r="A27" t="s">
        <v>40</v>
      </c>
      <c r="B27" t="s">
        <v>935</v>
      </c>
      <c r="C27" t="s">
        <v>1713</v>
      </c>
      <c r="D27">
        <v>-5</v>
      </c>
    </row>
    <row r="28" spans="1:4" x14ac:dyDescent="0.25">
      <c r="A28" t="s">
        <v>40</v>
      </c>
      <c r="B28" t="s">
        <v>1836</v>
      </c>
      <c r="C28" t="s">
        <v>3555</v>
      </c>
      <c r="D28">
        <v>-7</v>
      </c>
    </row>
    <row r="29" spans="1:4" x14ac:dyDescent="0.25">
      <c r="A29" t="s">
        <v>40</v>
      </c>
      <c r="B29" t="s">
        <v>1755</v>
      </c>
      <c r="C29" t="s">
        <v>3624</v>
      </c>
      <c r="D29">
        <v>-9</v>
      </c>
    </row>
    <row r="30" spans="1:4" x14ac:dyDescent="0.25">
      <c r="A30" t="s">
        <v>40</v>
      </c>
      <c r="B30" t="s">
        <v>1011</v>
      </c>
      <c r="C30" t="s">
        <v>2408</v>
      </c>
      <c r="D30">
        <v>-8</v>
      </c>
    </row>
    <row r="31" spans="1:4" x14ac:dyDescent="0.25">
      <c r="A31" t="s">
        <v>40</v>
      </c>
      <c r="B31" t="s">
        <v>363</v>
      </c>
      <c r="C31" t="s">
        <v>3556</v>
      </c>
      <c r="D31">
        <v>-6</v>
      </c>
    </row>
    <row r="32" spans="1:4" x14ac:dyDescent="0.25">
      <c r="A32" t="s">
        <v>40</v>
      </c>
      <c r="B32" t="s">
        <v>405</v>
      </c>
      <c r="C32" t="s">
        <v>2209</v>
      </c>
      <c r="D32">
        <v>-5</v>
      </c>
    </row>
    <row r="33" spans="1:4" x14ac:dyDescent="0.25">
      <c r="A33" t="s">
        <v>40</v>
      </c>
      <c r="B33" t="s">
        <v>405</v>
      </c>
      <c r="C33" t="s">
        <v>1513</v>
      </c>
      <c r="D33">
        <v>-4</v>
      </c>
    </row>
    <row r="34" spans="1:4" x14ac:dyDescent="0.25">
      <c r="A34" t="s">
        <v>40</v>
      </c>
      <c r="B34" t="s">
        <v>465</v>
      </c>
      <c r="C34" t="s">
        <v>1880</v>
      </c>
      <c r="D34">
        <v>-5</v>
      </c>
    </row>
    <row r="35" spans="1:4" x14ac:dyDescent="0.25">
      <c r="A35" t="s">
        <v>40</v>
      </c>
      <c r="B35" t="s">
        <v>465</v>
      </c>
      <c r="C35" t="s">
        <v>3558</v>
      </c>
      <c r="D35">
        <v>-6</v>
      </c>
    </row>
    <row r="36" spans="1:4" x14ac:dyDescent="0.25">
      <c r="A36" t="s">
        <v>40</v>
      </c>
      <c r="B36" t="s">
        <v>1776</v>
      </c>
      <c r="C36" t="s">
        <v>1881</v>
      </c>
      <c r="D36">
        <v>-8</v>
      </c>
    </row>
    <row r="37" spans="1:4" x14ac:dyDescent="0.25">
      <c r="A37" t="s">
        <v>40</v>
      </c>
      <c r="B37" t="s">
        <v>1170</v>
      </c>
      <c r="C37" t="s">
        <v>606</v>
      </c>
      <c r="D37">
        <v>-6</v>
      </c>
    </row>
    <row r="38" spans="1:4" x14ac:dyDescent="0.25">
      <c r="A38" t="s">
        <v>40</v>
      </c>
      <c r="B38" t="s">
        <v>805</v>
      </c>
      <c r="C38" t="s">
        <v>3972</v>
      </c>
      <c r="D38">
        <v>-9</v>
      </c>
    </row>
    <row r="39" spans="1:4" x14ac:dyDescent="0.25">
      <c r="A39" t="s">
        <v>40</v>
      </c>
      <c r="B39" t="s">
        <v>541</v>
      </c>
      <c r="C39" t="s">
        <v>71</v>
      </c>
      <c r="D39">
        <v>-8</v>
      </c>
    </row>
    <row r="40" spans="1:4" x14ac:dyDescent="0.25">
      <c r="A40" t="s">
        <v>40</v>
      </c>
      <c r="B40" t="s">
        <v>541</v>
      </c>
      <c r="C40" t="s">
        <v>2213</v>
      </c>
      <c r="D40">
        <v>-7</v>
      </c>
    </row>
    <row r="41" spans="1:4" x14ac:dyDescent="0.25">
      <c r="A41" t="s">
        <v>40</v>
      </c>
      <c r="B41" t="s">
        <v>378</v>
      </c>
      <c r="C41" t="s">
        <v>1720</v>
      </c>
      <c r="D41">
        <v>-4</v>
      </c>
    </row>
    <row r="42" spans="1:4" x14ac:dyDescent="0.25">
      <c r="A42" t="s">
        <v>40</v>
      </c>
      <c r="B42" t="s">
        <v>380</v>
      </c>
      <c r="C42" t="s">
        <v>1721</v>
      </c>
      <c r="D42">
        <v>-6</v>
      </c>
    </row>
    <row r="43" spans="1:4" x14ac:dyDescent="0.25">
      <c r="A43" t="s">
        <v>40</v>
      </c>
      <c r="B43" t="s">
        <v>198</v>
      </c>
      <c r="C43" t="s">
        <v>79</v>
      </c>
      <c r="D43">
        <v>-8</v>
      </c>
    </row>
    <row r="44" spans="1:4" x14ac:dyDescent="0.25">
      <c r="A44" t="s">
        <v>40</v>
      </c>
      <c r="B44" t="s">
        <v>198</v>
      </c>
      <c r="C44" t="s">
        <v>614</v>
      </c>
      <c r="D44">
        <v>-9</v>
      </c>
    </row>
    <row r="45" spans="1:4" x14ac:dyDescent="0.25">
      <c r="A45" t="s">
        <v>40</v>
      </c>
      <c r="B45" t="s">
        <v>29</v>
      </c>
      <c r="C45" t="s">
        <v>615</v>
      </c>
      <c r="D45">
        <v>-7</v>
      </c>
    </row>
    <row r="46" spans="1:4" x14ac:dyDescent="0.25">
      <c r="A46" t="s">
        <v>40</v>
      </c>
      <c r="B46" t="s">
        <v>120</v>
      </c>
      <c r="C46" t="s">
        <v>86</v>
      </c>
      <c r="D46">
        <v>-9</v>
      </c>
    </row>
    <row r="47" spans="1:4" x14ac:dyDescent="0.25">
      <c r="A47" t="s">
        <v>40</v>
      </c>
      <c r="B47" t="s">
        <v>294</v>
      </c>
      <c r="C47" t="s">
        <v>2219</v>
      </c>
      <c r="D47">
        <v>-6</v>
      </c>
    </row>
    <row r="48" spans="1:4" x14ac:dyDescent="0.25">
      <c r="A48" t="s">
        <v>40</v>
      </c>
      <c r="B48" t="s">
        <v>556</v>
      </c>
      <c r="C48" t="s">
        <v>2220</v>
      </c>
      <c r="D48">
        <v>-8</v>
      </c>
    </row>
    <row r="49" spans="1:4" x14ac:dyDescent="0.25">
      <c r="A49" t="s">
        <v>40</v>
      </c>
      <c r="B49" t="s">
        <v>1733</v>
      </c>
      <c r="C49" t="s">
        <v>4371</v>
      </c>
      <c r="D49">
        <v>-6</v>
      </c>
    </row>
    <row r="50" spans="1:4" x14ac:dyDescent="0.25">
      <c r="A50" t="s">
        <v>40</v>
      </c>
      <c r="B50" t="s">
        <v>770</v>
      </c>
      <c r="C50" t="s">
        <v>2444</v>
      </c>
      <c r="D50">
        <v>-9</v>
      </c>
    </row>
    <row r="51" spans="1:4" x14ac:dyDescent="0.25">
      <c r="A51" t="s">
        <v>40</v>
      </c>
      <c r="B51" t="s">
        <v>38</v>
      </c>
      <c r="C51" t="s">
        <v>100</v>
      </c>
      <c r="D51">
        <v>-6</v>
      </c>
    </row>
    <row r="52" spans="1:4" x14ac:dyDescent="0.25">
      <c r="A52" t="s">
        <v>80</v>
      </c>
      <c r="B52" t="s">
        <v>1765</v>
      </c>
      <c r="C52" t="s">
        <v>260</v>
      </c>
      <c r="D52">
        <v>-3</v>
      </c>
    </row>
    <row r="53" spans="1:4" x14ac:dyDescent="0.25">
      <c r="A53" t="s">
        <v>80</v>
      </c>
      <c r="B53" t="s">
        <v>1027</v>
      </c>
      <c r="C53" t="s">
        <v>262</v>
      </c>
      <c r="D53">
        <v>-1</v>
      </c>
    </row>
    <row r="54" spans="1:4" x14ac:dyDescent="0.25">
      <c r="A54" t="s">
        <v>80</v>
      </c>
      <c r="B54" t="s">
        <v>2152</v>
      </c>
      <c r="C54" t="s">
        <v>1834</v>
      </c>
      <c r="D54">
        <v>2</v>
      </c>
    </row>
    <row r="55" spans="1:4" x14ac:dyDescent="0.25">
      <c r="A55" t="s">
        <v>80</v>
      </c>
      <c r="B55" t="s">
        <v>246</v>
      </c>
      <c r="C55" t="s">
        <v>748</v>
      </c>
      <c r="D55">
        <v>0</v>
      </c>
    </row>
    <row r="56" spans="1:4" x14ac:dyDescent="0.25">
      <c r="A56" t="s">
        <v>80</v>
      </c>
      <c r="B56" t="s">
        <v>175</v>
      </c>
      <c r="C56" t="s">
        <v>1530</v>
      </c>
      <c r="D56">
        <v>1</v>
      </c>
    </row>
    <row r="57" spans="1:4" x14ac:dyDescent="0.25">
      <c r="A57" t="s">
        <v>80</v>
      </c>
      <c r="B57" t="s">
        <v>280</v>
      </c>
      <c r="C57" t="s">
        <v>3454</v>
      </c>
      <c r="D57">
        <v>-1</v>
      </c>
    </row>
    <row r="58" spans="1:4" x14ac:dyDescent="0.25">
      <c r="A58" t="s">
        <v>80</v>
      </c>
      <c r="B58" t="s">
        <v>280</v>
      </c>
      <c r="C58" t="s">
        <v>2228</v>
      </c>
      <c r="D58">
        <v>-2</v>
      </c>
    </row>
    <row r="59" spans="1:4" x14ac:dyDescent="0.25">
      <c r="A59" t="s">
        <v>80</v>
      </c>
      <c r="B59" t="s">
        <v>138</v>
      </c>
      <c r="C59" t="s">
        <v>3537</v>
      </c>
      <c r="D59">
        <v>-4</v>
      </c>
    </row>
    <row r="60" spans="1:4" x14ac:dyDescent="0.25">
      <c r="A60" t="s">
        <v>80</v>
      </c>
      <c r="B60" t="s">
        <v>499</v>
      </c>
      <c r="C60" t="s">
        <v>753</v>
      </c>
      <c r="D60">
        <v>-1</v>
      </c>
    </row>
    <row r="61" spans="1:4" x14ac:dyDescent="0.25">
      <c r="A61" t="s">
        <v>80</v>
      </c>
      <c r="B61" t="s">
        <v>1170</v>
      </c>
      <c r="C61" t="s">
        <v>119</v>
      </c>
      <c r="D61">
        <v>-3</v>
      </c>
    </row>
    <row r="62" spans="1:4" x14ac:dyDescent="0.25">
      <c r="A62" t="s">
        <v>80</v>
      </c>
      <c r="B62" t="s">
        <v>261</v>
      </c>
      <c r="C62" t="s">
        <v>2312</v>
      </c>
      <c r="D62">
        <v>-1</v>
      </c>
    </row>
    <row r="63" spans="1:4" x14ac:dyDescent="0.25">
      <c r="A63" t="s">
        <v>80</v>
      </c>
      <c r="B63" t="s">
        <v>337</v>
      </c>
      <c r="C63" t="s">
        <v>1236</v>
      </c>
      <c r="D63">
        <v>-3</v>
      </c>
    </row>
    <row r="64" spans="1:4" x14ac:dyDescent="0.25">
      <c r="A64" t="s">
        <v>80</v>
      </c>
      <c r="B64" t="s">
        <v>984</v>
      </c>
      <c r="C64" t="s">
        <v>843</v>
      </c>
      <c r="D64">
        <v>0</v>
      </c>
    </row>
    <row r="65" spans="1:4" x14ac:dyDescent="0.25">
      <c r="A65" t="s">
        <v>80</v>
      </c>
      <c r="B65" t="s">
        <v>1700</v>
      </c>
      <c r="C65" t="s">
        <v>281</v>
      </c>
      <c r="D65">
        <v>-3</v>
      </c>
    </row>
    <row r="66" spans="1:4" x14ac:dyDescent="0.25">
      <c r="A66" t="s">
        <v>80</v>
      </c>
      <c r="B66" t="s">
        <v>472</v>
      </c>
      <c r="C66" t="s">
        <v>844</v>
      </c>
      <c r="D66">
        <v>-1</v>
      </c>
    </row>
    <row r="67" spans="1:4" x14ac:dyDescent="0.25">
      <c r="A67" t="s">
        <v>80</v>
      </c>
      <c r="B67" t="s">
        <v>1843</v>
      </c>
      <c r="C67" t="s">
        <v>846</v>
      </c>
      <c r="D67">
        <v>-4</v>
      </c>
    </row>
    <row r="68" spans="1:4" x14ac:dyDescent="0.25">
      <c r="A68" t="s">
        <v>80</v>
      </c>
      <c r="B68" t="s">
        <v>448</v>
      </c>
      <c r="C68" t="s">
        <v>2534</v>
      </c>
      <c r="D68">
        <v>-2</v>
      </c>
    </row>
    <row r="69" spans="1:4" x14ac:dyDescent="0.25">
      <c r="A69" t="s">
        <v>80</v>
      </c>
      <c r="B69" t="s">
        <v>394</v>
      </c>
      <c r="C69" t="s">
        <v>847</v>
      </c>
      <c r="D69">
        <v>-1</v>
      </c>
    </row>
    <row r="70" spans="1:4" x14ac:dyDescent="0.25">
      <c r="A70" t="s">
        <v>123</v>
      </c>
      <c r="B70" t="s">
        <v>1608</v>
      </c>
      <c r="C70" t="s">
        <v>652</v>
      </c>
      <c r="D70">
        <v>1</v>
      </c>
    </row>
    <row r="71" spans="1:4" x14ac:dyDescent="0.25">
      <c r="A71" t="s">
        <v>123</v>
      </c>
      <c r="B71" t="s">
        <v>1524</v>
      </c>
      <c r="C71" t="s">
        <v>2605</v>
      </c>
      <c r="D71">
        <v>3</v>
      </c>
    </row>
    <row r="72" spans="1:4" x14ac:dyDescent="0.25">
      <c r="A72" t="s">
        <v>123</v>
      </c>
      <c r="B72" t="s">
        <v>244</v>
      </c>
      <c r="C72" t="s">
        <v>410</v>
      </c>
      <c r="D72">
        <v>5</v>
      </c>
    </row>
    <row r="73" spans="1:4" x14ac:dyDescent="0.25">
      <c r="A73" t="s">
        <v>123</v>
      </c>
      <c r="B73" t="s">
        <v>1613</v>
      </c>
      <c r="C73" t="s">
        <v>2732</v>
      </c>
      <c r="D73">
        <v>3</v>
      </c>
    </row>
    <row r="74" spans="1:4" x14ac:dyDescent="0.25">
      <c r="A74" t="s">
        <v>123</v>
      </c>
      <c r="B74" t="s">
        <v>779</v>
      </c>
      <c r="C74" t="s">
        <v>660</v>
      </c>
      <c r="D74">
        <v>1</v>
      </c>
    </row>
    <row r="75" spans="1:4" x14ac:dyDescent="0.25">
      <c r="A75" t="s">
        <v>123</v>
      </c>
      <c r="B75" t="s">
        <v>93</v>
      </c>
      <c r="C75" t="s">
        <v>522</v>
      </c>
      <c r="D75">
        <v>-2</v>
      </c>
    </row>
    <row r="76" spans="1:4" x14ac:dyDescent="0.25">
      <c r="A76" t="s">
        <v>123</v>
      </c>
      <c r="B76" t="s">
        <v>1198</v>
      </c>
      <c r="C76" t="s">
        <v>4372</v>
      </c>
      <c r="D76">
        <v>-4</v>
      </c>
    </row>
    <row r="77" spans="1:4" x14ac:dyDescent="0.25">
      <c r="A77" t="s">
        <v>123</v>
      </c>
      <c r="B77" t="s">
        <v>292</v>
      </c>
      <c r="C77" t="s">
        <v>299</v>
      </c>
      <c r="D77">
        <v>-7</v>
      </c>
    </row>
    <row r="78" spans="1:4" x14ac:dyDescent="0.25">
      <c r="A78" t="s">
        <v>123</v>
      </c>
      <c r="B78" t="s">
        <v>896</v>
      </c>
      <c r="C78" t="s">
        <v>2148</v>
      </c>
      <c r="D78">
        <v>-4</v>
      </c>
    </row>
    <row r="79" spans="1:4" x14ac:dyDescent="0.25">
      <c r="A79" t="s">
        <v>123</v>
      </c>
      <c r="B79" t="s">
        <v>296</v>
      </c>
      <c r="C79" t="s">
        <v>2149</v>
      </c>
      <c r="D79">
        <v>-2</v>
      </c>
    </row>
    <row r="80" spans="1:4" x14ac:dyDescent="0.25">
      <c r="A80" t="s">
        <v>123</v>
      </c>
      <c r="B80" t="s">
        <v>1990</v>
      </c>
      <c r="C80" t="s">
        <v>2346</v>
      </c>
      <c r="D80">
        <v>-4</v>
      </c>
    </row>
    <row r="81" spans="1:4" x14ac:dyDescent="0.25">
      <c r="A81" t="s">
        <v>123</v>
      </c>
      <c r="B81" t="s">
        <v>301</v>
      </c>
      <c r="C81" t="s">
        <v>536</v>
      </c>
      <c r="D81">
        <v>-3</v>
      </c>
    </row>
    <row r="82" spans="1:4" x14ac:dyDescent="0.25">
      <c r="A82" t="s">
        <v>123</v>
      </c>
      <c r="B82" t="s">
        <v>301</v>
      </c>
      <c r="C82" t="s">
        <v>3581</v>
      </c>
      <c r="D82">
        <v>-2</v>
      </c>
    </row>
    <row r="83" spans="1:4" x14ac:dyDescent="0.25">
      <c r="A83" t="s">
        <v>123</v>
      </c>
      <c r="B83" t="s">
        <v>301</v>
      </c>
      <c r="C83" t="s">
        <v>2347</v>
      </c>
      <c r="D83">
        <v>-1</v>
      </c>
    </row>
    <row r="84" spans="1:4" x14ac:dyDescent="0.25">
      <c r="A84" t="s">
        <v>123</v>
      </c>
      <c r="B84" t="s">
        <v>301</v>
      </c>
      <c r="C84" t="s">
        <v>538</v>
      </c>
      <c r="D84">
        <v>0</v>
      </c>
    </row>
    <row r="85" spans="1:4" x14ac:dyDescent="0.25">
      <c r="A85" t="s">
        <v>123</v>
      </c>
      <c r="B85" t="s">
        <v>301</v>
      </c>
      <c r="C85" t="s">
        <v>540</v>
      </c>
      <c r="D85">
        <v>1</v>
      </c>
    </row>
    <row r="86" spans="1:4" x14ac:dyDescent="0.25">
      <c r="A86" t="s">
        <v>123</v>
      </c>
      <c r="B86" t="s">
        <v>559</v>
      </c>
      <c r="C86" t="s">
        <v>2320</v>
      </c>
      <c r="D86">
        <v>3</v>
      </c>
    </row>
    <row r="87" spans="1:4" x14ac:dyDescent="0.25">
      <c r="A87" t="s">
        <v>123</v>
      </c>
      <c r="B87" t="s">
        <v>559</v>
      </c>
      <c r="C87" t="s">
        <v>2321</v>
      </c>
      <c r="D87">
        <v>4</v>
      </c>
    </row>
    <row r="88" spans="1:4" x14ac:dyDescent="0.25">
      <c r="A88" t="s">
        <v>123</v>
      </c>
      <c r="B88" t="s">
        <v>559</v>
      </c>
      <c r="C88" t="s">
        <v>2322</v>
      </c>
      <c r="D88">
        <v>5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-3.4022988505747125</v>
      </c>
    </row>
    <row r="92" spans="1:4" x14ac:dyDescent="0.25">
      <c r="A92" t="s">
        <v>159</v>
      </c>
      <c r="D92">
        <f>MAX(D2:D88)</f>
        <v>5</v>
      </c>
    </row>
    <row r="93" spans="1:4" x14ac:dyDescent="0.25">
      <c r="A93" t="s">
        <v>160</v>
      </c>
      <c r="D93">
        <f>MIN(D2:D88)</f>
        <v>-9</v>
      </c>
    </row>
    <row r="94" spans="1:4" x14ac:dyDescent="0.25">
      <c r="A94" t="s">
        <v>161</v>
      </c>
      <c r="D94">
        <f>COUNTIF(D2:D88,"&gt;0")</f>
        <v>11</v>
      </c>
    </row>
    <row r="95" spans="1:4" x14ac:dyDescent="0.25">
      <c r="A95" t="s">
        <v>162</v>
      </c>
      <c r="D95">
        <f>COUNTIF(D2:D88,"=0")</f>
        <v>4</v>
      </c>
    </row>
    <row r="96" spans="1:4" x14ac:dyDescent="0.25">
      <c r="A96" t="s">
        <v>4373</v>
      </c>
      <c r="D96">
        <f>COUNTIF(D2:D88,"&lt;0")</f>
        <v>72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AVERAGE(D2,D3,D4,D5,D6,D7,D8,D9,D10,D11,D12,D13,D14,D15,D16,D17,D18,D19,D20,D21,D22,D23)</f>
        <v>-3.9545454545454546</v>
      </c>
    </row>
    <row r="100" spans="1:4" x14ac:dyDescent="0.25">
      <c r="A100" t="s">
        <v>166</v>
      </c>
      <c r="D100">
        <f>AVERAGE(D24,D25,D26,D27,D28,D29,D30,D31,D32,D33,D34,D35,D36,D37,D38,D39,D40,D41,D42,D43,D44,D45,D46,D47,D48,D49,D50,D51)</f>
        <v>-6.3928571428571432</v>
      </c>
    </row>
    <row r="101" spans="1:4" x14ac:dyDescent="0.25">
      <c r="A101" t="s">
        <v>167</v>
      </c>
      <c r="D101">
        <f>AVERAGE(D52,D53,D54,D55,D56,D57,D58,D59,D60,D61,D62,D63,D64,D65,D66,D67,D68,D69)</f>
        <v>-1.5</v>
      </c>
    </row>
    <row r="102" spans="1:4" x14ac:dyDescent="0.25">
      <c r="A102" t="s">
        <v>168</v>
      </c>
      <c r="D102">
        <f>AVERAGE(D70,D71,D72,D73,D74,D75,D76,D77,D78,D79,D80,D81,D82,D83,D84,D85,D86,D87,D88)</f>
        <v>-0.15789473684210525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237</v>
      </c>
      <c r="C2" t="s">
        <v>6</v>
      </c>
      <c r="D2">
        <v>2</v>
      </c>
    </row>
    <row r="3" spans="1:4" x14ac:dyDescent="0.25">
      <c r="A3" t="s">
        <v>4</v>
      </c>
      <c r="B3" t="s">
        <v>1266</v>
      </c>
      <c r="C3" t="s">
        <v>1572</v>
      </c>
      <c r="D3">
        <v>5</v>
      </c>
    </row>
    <row r="4" spans="1:4" x14ac:dyDescent="0.25">
      <c r="A4" t="s">
        <v>4</v>
      </c>
      <c r="B4" t="s">
        <v>398</v>
      </c>
      <c r="C4" t="s">
        <v>4340</v>
      </c>
      <c r="D4">
        <v>4</v>
      </c>
    </row>
    <row r="5" spans="1:4" x14ac:dyDescent="0.25">
      <c r="A5" t="s">
        <v>4</v>
      </c>
      <c r="B5" t="s">
        <v>398</v>
      </c>
      <c r="C5" t="s">
        <v>1347</v>
      </c>
      <c r="D5">
        <v>3</v>
      </c>
    </row>
    <row r="6" spans="1:4" x14ac:dyDescent="0.25">
      <c r="A6" t="s">
        <v>4</v>
      </c>
      <c r="B6" t="s">
        <v>355</v>
      </c>
      <c r="C6" t="s">
        <v>1972</v>
      </c>
      <c r="D6">
        <v>6</v>
      </c>
    </row>
    <row r="7" spans="1:4" x14ac:dyDescent="0.25">
      <c r="A7" t="s">
        <v>4</v>
      </c>
      <c r="B7" t="s">
        <v>1280</v>
      </c>
      <c r="C7" t="s">
        <v>3466</v>
      </c>
      <c r="D7">
        <v>8</v>
      </c>
    </row>
    <row r="8" spans="1:4" x14ac:dyDescent="0.25">
      <c r="A8" t="s">
        <v>4</v>
      </c>
      <c r="B8" t="s">
        <v>590</v>
      </c>
      <c r="C8" t="s">
        <v>3039</v>
      </c>
      <c r="D8">
        <v>10</v>
      </c>
    </row>
    <row r="9" spans="1:4" x14ac:dyDescent="0.25">
      <c r="A9" t="s">
        <v>4</v>
      </c>
      <c r="B9" t="s">
        <v>1495</v>
      </c>
      <c r="C9" t="s">
        <v>3040</v>
      </c>
      <c r="D9">
        <v>12</v>
      </c>
    </row>
    <row r="10" spans="1:4" x14ac:dyDescent="0.25">
      <c r="A10" t="s">
        <v>4</v>
      </c>
      <c r="B10" t="s">
        <v>307</v>
      </c>
      <c r="C10" t="s">
        <v>4374</v>
      </c>
      <c r="D10">
        <v>10</v>
      </c>
    </row>
    <row r="11" spans="1:4" x14ac:dyDescent="0.25">
      <c r="A11" t="s">
        <v>4</v>
      </c>
      <c r="B11" t="s">
        <v>834</v>
      </c>
      <c r="C11" t="s">
        <v>4375</v>
      </c>
      <c r="D11">
        <v>12</v>
      </c>
    </row>
    <row r="12" spans="1:4" x14ac:dyDescent="0.25">
      <c r="A12" t="s">
        <v>4</v>
      </c>
      <c r="B12" t="s">
        <v>651</v>
      </c>
      <c r="C12" t="s">
        <v>1197</v>
      </c>
      <c r="D12">
        <v>9</v>
      </c>
    </row>
    <row r="13" spans="1:4" x14ac:dyDescent="0.25">
      <c r="A13" t="s">
        <v>4</v>
      </c>
      <c r="B13" t="s">
        <v>594</v>
      </c>
      <c r="C13" t="s">
        <v>4014</v>
      </c>
      <c r="D13">
        <v>11</v>
      </c>
    </row>
    <row r="14" spans="1:4" x14ac:dyDescent="0.25">
      <c r="A14" t="s">
        <v>4</v>
      </c>
      <c r="B14" t="s">
        <v>1228</v>
      </c>
      <c r="C14" t="s">
        <v>3043</v>
      </c>
      <c r="D14">
        <v>13</v>
      </c>
    </row>
    <row r="15" spans="1:4" x14ac:dyDescent="0.25">
      <c r="A15" t="s">
        <v>4</v>
      </c>
      <c r="B15" t="s">
        <v>700</v>
      </c>
      <c r="C15" t="s">
        <v>1018</v>
      </c>
      <c r="D15">
        <v>10</v>
      </c>
    </row>
    <row r="16" spans="1:4" x14ac:dyDescent="0.25">
      <c r="A16" t="s">
        <v>4</v>
      </c>
      <c r="B16" t="s">
        <v>284</v>
      </c>
      <c r="C16" t="s">
        <v>2894</v>
      </c>
      <c r="D16">
        <v>13</v>
      </c>
    </row>
    <row r="17" spans="1:4" x14ac:dyDescent="0.25">
      <c r="A17" t="s">
        <v>4</v>
      </c>
      <c r="B17" t="s">
        <v>746</v>
      </c>
      <c r="C17" t="s">
        <v>2518</v>
      </c>
      <c r="D17">
        <v>10</v>
      </c>
    </row>
    <row r="18" spans="1:4" x14ac:dyDescent="0.25">
      <c r="A18" t="s">
        <v>4</v>
      </c>
      <c r="B18" t="s">
        <v>192</v>
      </c>
      <c r="C18" t="s">
        <v>1360</v>
      </c>
      <c r="D18">
        <v>9</v>
      </c>
    </row>
    <row r="19" spans="1:4" x14ac:dyDescent="0.25">
      <c r="A19" t="s">
        <v>4</v>
      </c>
      <c r="B19" t="s">
        <v>1073</v>
      </c>
      <c r="C19" t="s">
        <v>1205</v>
      </c>
      <c r="D19">
        <v>8</v>
      </c>
    </row>
    <row r="20" spans="1:4" x14ac:dyDescent="0.25">
      <c r="A20" t="s">
        <v>4</v>
      </c>
      <c r="B20" t="s">
        <v>1073</v>
      </c>
      <c r="C20" t="s">
        <v>923</v>
      </c>
      <c r="D20">
        <v>7</v>
      </c>
    </row>
    <row r="21" spans="1:4" x14ac:dyDescent="0.25">
      <c r="A21" t="s">
        <v>4</v>
      </c>
      <c r="B21" t="s">
        <v>706</v>
      </c>
      <c r="C21" t="s">
        <v>2540</v>
      </c>
      <c r="D21">
        <v>8</v>
      </c>
    </row>
    <row r="22" spans="1:4" x14ac:dyDescent="0.25">
      <c r="A22" t="s">
        <v>4</v>
      </c>
      <c r="B22" t="s">
        <v>706</v>
      </c>
      <c r="C22" t="s">
        <v>4076</v>
      </c>
      <c r="D22">
        <v>9</v>
      </c>
    </row>
    <row r="23" spans="1:4" x14ac:dyDescent="0.25">
      <c r="A23" t="s">
        <v>4</v>
      </c>
      <c r="B23" t="s">
        <v>296</v>
      </c>
      <c r="C23" t="s">
        <v>1928</v>
      </c>
      <c r="D23">
        <v>8</v>
      </c>
    </row>
    <row r="24" spans="1:4" x14ac:dyDescent="0.25">
      <c r="A24" t="s">
        <v>4</v>
      </c>
      <c r="B24" t="s">
        <v>296</v>
      </c>
      <c r="C24" t="s">
        <v>1581</v>
      </c>
      <c r="D24">
        <v>7</v>
      </c>
    </row>
    <row r="25" spans="1:4" x14ac:dyDescent="0.25">
      <c r="A25" t="s">
        <v>4</v>
      </c>
      <c r="B25" t="s">
        <v>972</v>
      </c>
      <c r="C25" t="s">
        <v>1026</v>
      </c>
      <c r="D25">
        <v>10</v>
      </c>
    </row>
    <row r="26" spans="1:4" x14ac:dyDescent="0.25">
      <c r="A26" t="s">
        <v>40</v>
      </c>
      <c r="B26" t="s">
        <v>1704</v>
      </c>
      <c r="C26" t="s">
        <v>2648</v>
      </c>
      <c r="D26">
        <v>11</v>
      </c>
    </row>
    <row r="27" spans="1:4" x14ac:dyDescent="0.25">
      <c r="A27" t="s">
        <v>40</v>
      </c>
      <c r="B27" t="s">
        <v>1704</v>
      </c>
      <c r="C27" t="s">
        <v>1028</v>
      </c>
      <c r="D27">
        <v>12</v>
      </c>
    </row>
    <row r="28" spans="1:4" x14ac:dyDescent="0.25">
      <c r="A28" t="s">
        <v>40</v>
      </c>
      <c r="B28" t="s">
        <v>244</v>
      </c>
      <c r="C28" t="s">
        <v>1368</v>
      </c>
      <c r="D28">
        <v>14</v>
      </c>
    </row>
    <row r="29" spans="1:4" x14ac:dyDescent="0.25">
      <c r="A29" t="s">
        <v>40</v>
      </c>
      <c r="B29" t="s">
        <v>721</v>
      </c>
      <c r="C29" t="s">
        <v>2929</v>
      </c>
      <c r="D29">
        <v>13</v>
      </c>
    </row>
    <row r="30" spans="1:4" x14ac:dyDescent="0.25">
      <c r="A30" t="s">
        <v>40</v>
      </c>
      <c r="B30" t="s">
        <v>721</v>
      </c>
      <c r="C30" t="s">
        <v>3089</v>
      </c>
      <c r="D30">
        <v>12</v>
      </c>
    </row>
    <row r="31" spans="1:4" x14ac:dyDescent="0.25">
      <c r="A31" t="s">
        <v>40</v>
      </c>
      <c r="B31" t="s">
        <v>723</v>
      </c>
      <c r="C31" t="s">
        <v>1032</v>
      </c>
      <c r="D31">
        <v>15</v>
      </c>
    </row>
    <row r="32" spans="1:4" x14ac:dyDescent="0.25">
      <c r="A32" t="s">
        <v>40</v>
      </c>
      <c r="B32" t="s">
        <v>1836</v>
      </c>
      <c r="C32" t="s">
        <v>3007</v>
      </c>
      <c r="D32">
        <v>12</v>
      </c>
    </row>
    <row r="33" spans="1:4" x14ac:dyDescent="0.25">
      <c r="A33" t="s">
        <v>40</v>
      </c>
      <c r="B33" t="s">
        <v>568</v>
      </c>
      <c r="C33" t="s">
        <v>3008</v>
      </c>
      <c r="D33">
        <v>11</v>
      </c>
    </row>
    <row r="34" spans="1:4" x14ac:dyDescent="0.25">
      <c r="A34" t="s">
        <v>40</v>
      </c>
      <c r="B34" t="s">
        <v>1011</v>
      </c>
      <c r="C34" t="s">
        <v>2528</v>
      </c>
      <c r="D34">
        <v>9</v>
      </c>
    </row>
    <row r="35" spans="1:4" x14ac:dyDescent="0.25">
      <c r="A35" t="s">
        <v>40</v>
      </c>
      <c r="B35" t="s">
        <v>408</v>
      </c>
      <c r="C35" t="s">
        <v>2542</v>
      </c>
      <c r="D35">
        <v>11</v>
      </c>
    </row>
    <row r="36" spans="1:4" x14ac:dyDescent="0.25">
      <c r="A36" t="s">
        <v>40</v>
      </c>
      <c r="B36" t="s">
        <v>19</v>
      </c>
      <c r="C36" t="s">
        <v>1588</v>
      </c>
      <c r="D36">
        <v>9</v>
      </c>
    </row>
    <row r="37" spans="1:4" x14ac:dyDescent="0.25">
      <c r="A37" t="s">
        <v>40</v>
      </c>
      <c r="B37" t="s">
        <v>1228</v>
      </c>
      <c r="C37" t="s">
        <v>2545</v>
      </c>
      <c r="D37">
        <v>12</v>
      </c>
    </row>
    <row r="38" spans="1:4" x14ac:dyDescent="0.25">
      <c r="A38" t="s">
        <v>40</v>
      </c>
      <c r="B38" t="s">
        <v>874</v>
      </c>
      <c r="C38" t="s">
        <v>3663</v>
      </c>
      <c r="D38">
        <v>11</v>
      </c>
    </row>
    <row r="39" spans="1:4" x14ac:dyDescent="0.25">
      <c r="A39" t="s">
        <v>40</v>
      </c>
      <c r="B39" t="s">
        <v>874</v>
      </c>
      <c r="C39" t="s">
        <v>1446</v>
      </c>
      <c r="D39">
        <v>10</v>
      </c>
    </row>
    <row r="40" spans="1:4" x14ac:dyDescent="0.25">
      <c r="A40" t="s">
        <v>40</v>
      </c>
      <c r="B40" t="s">
        <v>1700</v>
      </c>
      <c r="C40" t="s">
        <v>4189</v>
      </c>
      <c r="D40">
        <v>8</v>
      </c>
    </row>
    <row r="41" spans="1:4" x14ac:dyDescent="0.25">
      <c r="A41" t="s">
        <v>40</v>
      </c>
      <c r="B41" t="s">
        <v>704</v>
      </c>
      <c r="C41" t="s">
        <v>2910</v>
      </c>
      <c r="D41">
        <v>10</v>
      </c>
    </row>
    <row r="42" spans="1:4" x14ac:dyDescent="0.25">
      <c r="A42" t="s">
        <v>40</v>
      </c>
      <c r="B42" t="s">
        <v>144</v>
      </c>
      <c r="C42" t="s">
        <v>1139</v>
      </c>
      <c r="D42">
        <v>8</v>
      </c>
    </row>
    <row r="43" spans="1:4" x14ac:dyDescent="0.25">
      <c r="A43" t="s">
        <v>40</v>
      </c>
      <c r="B43" t="s">
        <v>1127</v>
      </c>
      <c r="C43" t="s">
        <v>1942</v>
      </c>
      <c r="D43">
        <v>11</v>
      </c>
    </row>
    <row r="44" spans="1:4" x14ac:dyDescent="0.25">
      <c r="A44" t="s">
        <v>40</v>
      </c>
      <c r="B44" t="s">
        <v>1129</v>
      </c>
      <c r="C44" t="s">
        <v>3732</v>
      </c>
      <c r="D44">
        <v>8</v>
      </c>
    </row>
    <row r="45" spans="1:4" x14ac:dyDescent="0.25">
      <c r="A45" t="s">
        <v>40</v>
      </c>
      <c r="B45" t="s">
        <v>1398</v>
      </c>
      <c r="C45" t="s">
        <v>1454</v>
      </c>
      <c r="D45">
        <v>11</v>
      </c>
    </row>
    <row r="46" spans="1:4" x14ac:dyDescent="0.25">
      <c r="A46" t="s">
        <v>40</v>
      </c>
      <c r="B46" t="s">
        <v>1844</v>
      </c>
      <c r="C46" t="s">
        <v>1595</v>
      </c>
      <c r="D46">
        <v>9</v>
      </c>
    </row>
    <row r="47" spans="1:4" x14ac:dyDescent="0.25">
      <c r="A47" t="s">
        <v>40</v>
      </c>
      <c r="B47" t="s">
        <v>1988</v>
      </c>
      <c r="C47" t="s">
        <v>2786</v>
      </c>
      <c r="D47">
        <v>11</v>
      </c>
    </row>
    <row r="48" spans="1:4" x14ac:dyDescent="0.25">
      <c r="A48" t="s">
        <v>40</v>
      </c>
      <c r="B48" t="s">
        <v>556</v>
      </c>
      <c r="C48" t="s">
        <v>3438</v>
      </c>
      <c r="D48">
        <v>8</v>
      </c>
    </row>
    <row r="49" spans="1:4" x14ac:dyDescent="0.25">
      <c r="A49" t="s">
        <v>40</v>
      </c>
      <c r="B49" t="s">
        <v>817</v>
      </c>
      <c r="C49" t="s">
        <v>1458</v>
      </c>
      <c r="D49">
        <v>11</v>
      </c>
    </row>
    <row r="50" spans="1:4" x14ac:dyDescent="0.25">
      <c r="A50" t="s">
        <v>80</v>
      </c>
      <c r="B50" t="s">
        <v>2570</v>
      </c>
      <c r="C50" t="s">
        <v>1459</v>
      </c>
      <c r="D50">
        <v>13</v>
      </c>
    </row>
    <row r="51" spans="1:4" x14ac:dyDescent="0.25">
      <c r="A51" t="s">
        <v>80</v>
      </c>
      <c r="B51" t="s">
        <v>273</v>
      </c>
      <c r="C51" t="s">
        <v>2984</v>
      </c>
      <c r="D51">
        <v>11</v>
      </c>
    </row>
    <row r="52" spans="1:4" x14ac:dyDescent="0.25">
      <c r="A52" t="s">
        <v>80</v>
      </c>
      <c r="B52" t="s">
        <v>1267</v>
      </c>
      <c r="C52" t="s">
        <v>2936</v>
      </c>
      <c r="D52">
        <v>12</v>
      </c>
    </row>
    <row r="53" spans="1:4" x14ac:dyDescent="0.25">
      <c r="A53" t="s">
        <v>80</v>
      </c>
      <c r="B53" t="s">
        <v>1010</v>
      </c>
      <c r="C53" t="s">
        <v>2601</v>
      </c>
      <c r="D53">
        <v>9</v>
      </c>
    </row>
    <row r="54" spans="1:4" x14ac:dyDescent="0.25">
      <c r="A54" t="s">
        <v>80</v>
      </c>
      <c r="B54" t="s">
        <v>2152</v>
      </c>
      <c r="C54" t="s">
        <v>3018</v>
      </c>
      <c r="D54">
        <v>11</v>
      </c>
    </row>
    <row r="55" spans="1:4" x14ac:dyDescent="0.25">
      <c r="A55" t="s">
        <v>80</v>
      </c>
      <c r="B55" t="s">
        <v>570</v>
      </c>
      <c r="C55" t="s">
        <v>2881</v>
      </c>
      <c r="D55">
        <v>9</v>
      </c>
    </row>
    <row r="56" spans="1:4" x14ac:dyDescent="0.25">
      <c r="A56" t="s">
        <v>80</v>
      </c>
      <c r="B56" t="s">
        <v>91</v>
      </c>
      <c r="C56" t="s">
        <v>1159</v>
      </c>
      <c r="D56">
        <v>8</v>
      </c>
    </row>
    <row r="57" spans="1:4" x14ac:dyDescent="0.25">
      <c r="A57" t="s">
        <v>80</v>
      </c>
      <c r="B57" t="s">
        <v>625</v>
      </c>
      <c r="C57" t="s">
        <v>1161</v>
      </c>
      <c r="D57">
        <v>10</v>
      </c>
    </row>
    <row r="58" spans="1:4" x14ac:dyDescent="0.25">
      <c r="A58" t="s">
        <v>80</v>
      </c>
      <c r="B58" t="s">
        <v>625</v>
      </c>
      <c r="C58" t="s">
        <v>2792</v>
      </c>
      <c r="D58">
        <v>11</v>
      </c>
    </row>
    <row r="59" spans="1:4" x14ac:dyDescent="0.25">
      <c r="A59" t="s">
        <v>80</v>
      </c>
      <c r="B59" t="s">
        <v>1105</v>
      </c>
      <c r="C59" t="s">
        <v>2669</v>
      </c>
      <c r="D59">
        <v>13</v>
      </c>
    </row>
    <row r="60" spans="1:4" x14ac:dyDescent="0.25">
      <c r="A60" t="s">
        <v>80</v>
      </c>
      <c r="B60" t="s">
        <v>437</v>
      </c>
      <c r="C60" t="s">
        <v>2670</v>
      </c>
      <c r="D60">
        <v>15</v>
      </c>
    </row>
    <row r="61" spans="1:4" x14ac:dyDescent="0.25">
      <c r="A61" t="s">
        <v>80</v>
      </c>
      <c r="B61" t="s">
        <v>315</v>
      </c>
      <c r="C61" t="s">
        <v>4017</v>
      </c>
      <c r="D61">
        <v>18</v>
      </c>
    </row>
    <row r="62" spans="1:4" x14ac:dyDescent="0.25">
      <c r="A62" t="s">
        <v>80</v>
      </c>
      <c r="B62" t="s">
        <v>411</v>
      </c>
      <c r="C62" t="s">
        <v>3749</v>
      </c>
      <c r="D62">
        <v>20</v>
      </c>
    </row>
    <row r="63" spans="1:4" x14ac:dyDescent="0.25">
      <c r="A63" t="s">
        <v>80</v>
      </c>
      <c r="B63" t="s">
        <v>411</v>
      </c>
      <c r="C63" t="s">
        <v>3750</v>
      </c>
      <c r="D63">
        <v>21</v>
      </c>
    </row>
    <row r="64" spans="1:4" x14ac:dyDescent="0.25">
      <c r="A64" t="s">
        <v>80</v>
      </c>
      <c r="B64" t="s">
        <v>114</v>
      </c>
      <c r="C64" t="s">
        <v>2086</v>
      </c>
      <c r="D64">
        <v>24</v>
      </c>
    </row>
    <row r="65" spans="1:4" x14ac:dyDescent="0.25">
      <c r="A65" t="s">
        <v>80</v>
      </c>
      <c r="B65" t="s">
        <v>1882</v>
      </c>
      <c r="C65" t="s">
        <v>4261</v>
      </c>
      <c r="D65">
        <v>26</v>
      </c>
    </row>
    <row r="66" spans="1:4" x14ac:dyDescent="0.25">
      <c r="A66" t="s">
        <v>80</v>
      </c>
      <c r="B66" t="s">
        <v>148</v>
      </c>
      <c r="C66" t="s">
        <v>3871</v>
      </c>
      <c r="D66">
        <v>25</v>
      </c>
    </row>
    <row r="67" spans="1:4" x14ac:dyDescent="0.25">
      <c r="A67" t="s">
        <v>80</v>
      </c>
      <c r="B67" t="s">
        <v>996</v>
      </c>
      <c r="C67" t="s">
        <v>4154</v>
      </c>
      <c r="D67">
        <v>24</v>
      </c>
    </row>
    <row r="68" spans="1:4" x14ac:dyDescent="0.25">
      <c r="A68" t="s">
        <v>80</v>
      </c>
      <c r="B68" t="s">
        <v>996</v>
      </c>
      <c r="C68" t="s">
        <v>2090</v>
      </c>
      <c r="D68">
        <v>23</v>
      </c>
    </row>
    <row r="69" spans="1:4" x14ac:dyDescent="0.25">
      <c r="A69" t="s">
        <v>80</v>
      </c>
      <c r="B69" t="s">
        <v>78</v>
      </c>
      <c r="C69" t="s">
        <v>2091</v>
      </c>
      <c r="D69">
        <v>21</v>
      </c>
    </row>
    <row r="70" spans="1:4" x14ac:dyDescent="0.25">
      <c r="A70" t="s">
        <v>123</v>
      </c>
      <c r="B70" t="s">
        <v>1680</v>
      </c>
      <c r="C70" t="s">
        <v>979</v>
      </c>
      <c r="D70">
        <v>20</v>
      </c>
    </row>
    <row r="71" spans="1:4" x14ac:dyDescent="0.25">
      <c r="A71" t="s">
        <v>123</v>
      </c>
      <c r="B71" t="s">
        <v>777</v>
      </c>
      <c r="C71" t="s">
        <v>3384</v>
      </c>
      <c r="D71">
        <v>22</v>
      </c>
    </row>
    <row r="72" spans="1:4" x14ac:dyDescent="0.25">
      <c r="A72" t="s">
        <v>123</v>
      </c>
      <c r="B72" t="s">
        <v>777</v>
      </c>
      <c r="C72" t="s">
        <v>4376</v>
      </c>
      <c r="D72">
        <v>23</v>
      </c>
    </row>
    <row r="73" spans="1:4" x14ac:dyDescent="0.25">
      <c r="A73" t="s">
        <v>123</v>
      </c>
      <c r="B73" t="s">
        <v>1244</v>
      </c>
      <c r="C73" t="s">
        <v>4156</v>
      </c>
      <c r="D73">
        <v>24</v>
      </c>
    </row>
    <row r="74" spans="1:4" x14ac:dyDescent="0.25">
      <c r="A74" t="s">
        <v>123</v>
      </c>
      <c r="B74" t="s">
        <v>1244</v>
      </c>
      <c r="C74" t="s">
        <v>4377</v>
      </c>
      <c r="D74">
        <v>25</v>
      </c>
    </row>
    <row r="75" spans="1:4" x14ac:dyDescent="0.25">
      <c r="A75" t="s">
        <v>123</v>
      </c>
      <c r="B75" t="s">
        <v>2118</v>
      </c>
      <c r="C75" t="s">
        <v>1418</v>
      </c>
      <c r="D75">
        <v>27</v>
      </c>
    </row>
    <row r="76" spans="1:4" x14ac:dyDescent="0.25">
      <c r="A76" t="s">
        <v>123</v>
      </c>
      <c r="B76" t="s">
        <v>802</v>
      </c>
      <c r="C76" t="s">
        <v>3147</v>
      </c>
      <c r="D76">
        <v>28</v>
      </c>
    </row>
    <row r="77" spans="1:4" x14ac:dyDescent="0.25">
      <c r="A77" t="s">
        <v>123</v>
      </c>
      <c r="B77" t="s">
        <v>802</v>
      </c>
      <c r="C77" t="s">
        <v>1337</v>
      </c>
      <c r="D77">
        <v>29</v>
      </c>
    </row>
    <row r="78" spans="1:4" x14ac:dyDescent="0.25">
      <c r="A78" t="s">
        <v>123</v>
      </c>
      <c r="B78" t="s">
        <v>2431</v>
      </c>
      <c r="C78" t="s">
        <v>4378</v>
      </c>
      <c r="D78">
        <v>30</v>
      </c>
    </row>
    <row r="79" spans="1:4" x14ac:dyDescent="0.25">
      <c r="A79" t="s">
        <v>123</v>
      </c>
      <c r="B79" t="s">
        <v>190</v>
      </c>
      <c r="C79" t="s">
        <v>4379</v>
      </c>
      <c r="D79">
        <v>28</v>
      </c>
    </row>
    <row r="80" spans="1:4" x14ac:dyDescent="0.25">
      <c r="A80" t="s">
        <v>123</v>
      </c>
      <c r="B80" t="s">
        <v>2120</v>
      </c>
      <c r="C80" t="s">
        <v>3875</v>
      </c>
      <c r="D80">
        <v>30</v>
      </c>
    </row>
    <row r="81" spans="1:4" x14ac:dyDescent="0.25">
      <c r="A81" t="s">
        <v>123</v>
      </c>
      <c r="B81" t="s">
        <v>876</v>
      </c>
      <c r="C81" t="s">
        <v>4080</v>
      </c>
      <c r="D81">
        <v>27</v>
      </c>
    </row>
    <row r="82" spans="1:4" x14ac:dyDescent="0.25">
      <c r="A82" t="s">
        <v>123</v>
      </c>
      <c r="B82" t="s">
        <v>1640</v>
      </c>
      <c r="C82" t="s">
        <v>1343</v>
      </c>
      <c r="D82">
        <v>29</v>
      </c>
    </row>
    <row r="83" spans="1:4" x14ac:dyDescent="0.25">
      <c r="A83" t="s">
        <v>123</v>
      </c>
      <c r="B83" t="s">
        <v>1048</v>
      </c>
      <c r="C83" t="s">
        <v>3153</v>
      </c>
      <c r="D83">
        <v>30</v>
      </c>
    </row>
    <row r="84" spans="1:4" x14ac:dyDescent="0.25">
      <c r="A84" t="s">
        <v>123</v>
      </c>
      <c r="B84" t="s">
        <v>1048</v>
      </c>
      <c r="C84" t="s">
        <v>4380</v>
      </c>
      <c r="D84">
        <v>31</v>
      </c>
    </row>
    <row r="85" spans="1:4" x14ac:dyDescent="0.25">
      <c r="A85" t="s">
        <v>123</v>
      </c>
      <c r="B85" t="s">
        <v>681</v>
      </c>
      <c r="C85" t="s">
        <v>4381</v>
      </c>
      <c r="D85">
        <v>33</v>
      </c>
    </row>
    <row r="86" spans="1:4" x14ac:dyDescent="0.25">
      <c r="A86" t="s">
        <v>123</v>
      </c>
      <c r="B86" t="s">
        <v>348</v>
      </c>
      <c r="C86" t="s">
        <v>4382</v>
      </c>
      <c r="D86">
        <v>31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14.729411764705882</v>
      </c>
    </row>
    <row r="90" spans="1:4" x14ac:dyDescent="0.25">
      <c r="A90" t="s">
        <v>159</v>
      </c>
      <c r="D90">
        <f>MAX(D2:D86)</f>
        <v>33</v>
      </c>
    </row>
    <row r="91" spans="1:4" x14ac:dyDescent="0.25">
      <c r="A91" t="s">
        <v>160</v>
      </c>
      <c r="D91">
        <f>MIN(D2:D86)</f>
        <v>2</v>
      </c>
    </row>
    <row r="92" spans="1:4" x14ac:dyDescent="0.25">
      <c r="A92" t="s">
        <v>161</v>
      </c>
      <c r="D92">
        <f>COUNTIF(D2:D86,"&gt;0")</f>
        <v>85</v>
      </c>
    </row>
    <row r="93" spans="1:4" x14ac:dyDescent="0.25">
      <c r="A93" t="s">
        <v>162</v>
      </c>
      <c r="D93">
        <f>COUNTIF(D2:D86,"=0")</f>
        <v>0</v>
      </c>
    </row>
    <row r="94" spans="1:4" x14ac:dyDescent="0.25">
      <c r="A94" t="s">
        <v>1264</v>
      </c>
      <c r="D94">
        <f>COUNTIF(D2:D86,"&lt;0")</f>
        <v>0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AVERAGE(D2,D3,D4,D5,D6,D7,D8,D9,D10,D11,D12,D13,D14,D15,D16,D17,D18,D19,D20,D21,D22,D23,D24,D25)</f>
        <v>8.5</v>
      </c>
    </row>
    <row r="98" spans="1:4" x14ac:dyDescent="0.25">
      <c r="A98" t="s">
        <v>166</v>
      </c>
      <c r="D98">
        <f>AVERAGE(D26,D27,D28,D29,D30,D31,D32,D33,D34,D35,D36,D37,D38,D39,D40,D41,D42,D43,D44,D45,D46,D47,D48,D49)</f>
        <v>10.708333333333334</v>
      </c>
    </row>
    <row r="99" spans="1:4" x14ac:dyDescent="0.25">
      <c r="A99" t="s">
        <v>167</v>
      </c>
      <c r="D99">
        <f>AVERAGE(D50,D51,D52,D53,D54,D55,D56,D57,D58,D59,D60,D61,D62,D63,D64,D65,D66,D67,D68,D69)</f>
        <v>16.2</v>
      </c>
    </row>
    <row r="100" spans="1:4" x14ac:dyDescent="0.25">
      <c r="A100" t="s">
        <v>168</v>
      </c>
      <c r="D100">
        <f>AVERAGE(D70,D71,D72,D73,D74,D75,D76,D77,D78,D79,D80,D81,D82,D83,D84,D85,D86)</f>
        <v>27.470588235294116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D9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714</v>
      </c>
      <c r="C2" t="s">
        <v>6</v>
      </c>
      <c r="D2">
        <v>2</v>
      </c>
    </row>
    <row r="3" spans="1:4" x14ac:dyDescent="0.25">
      <c r="A3" t="s">
        <v>4</v>
      </c>
      <c r="B3" t="s">
        <v>1346</v>
      </c>
      <c r="C3" t="s">
        <v>8</v>
      </c>
      <c r="D3">
        <v>0</v>
      </c>
    </row>
    <row r="4" spans="1:4" x14ac:dyDescent="0.25">
      <c r="A4" t="s">
        <v>4</v>
      </c>
      <c r="B4" t="s">
        <v>859</v>
      </c>
      <c r="C4" t="s">
        <v>1347</v>
      </c>
      <c r="D4">
        <v>3</v>
      </c>
    </row>
    <row r="5" spans="1:4" x14ac:dyDescent="0.25">
      <c r="A5" t="s">
        <v>4</v>
      </c>
      <c r="B5" t="s">
        <v>1877</v>
      </c>
      <c r="C5" t="s">
        <v>2430</v>
      </c>
      <c r="D5">
        <v>0</v>
      </c>
    </row>
    <row r="6" spans="1:4" x14ac:dyDescent="0.25">
      <c r="A6" t="s">
        <v>4</v>
      </c>
      <c r="B6" t="s">
        <v>1851</v>
      </c>
      <c r="C6" t="s">
        <v>432</v>
      </c>
      <c r="D6">
        <v>2</v>
      </c>
    </row>
    <row r="7" spans="1:4" x14ac:dyDescent="0.25">
      <c r="A7" t="s">
        <v>4</v>
      </c>
      <c r="B7" t="s">
        <v>357</v>
      </c>
      <c r="C7" t="s">
        <v>311</v>
      </c>
      <c r="D7">
        <v>1</v>
      </c>
    </row>
    <row r="8" spans="1:4" x14ac:dyDescent="0.25">
      <c r="A8" t="s">
        <v>4</v>
      </c>
      <c r="B8" t="s">
        <v>357</v>
      </c>
      <c r="C8" t="s">
        <v>567</v>
      </c>
      <c r="D8">
        <v>0</v>
      </c>
    </row>
    <row r="9" spans="1:4" x14ac:dyDescent="0.25">
      <c r="A9" t="s">
        <v>4</v>
      </c>
      <c r="B9" t="s">
        <v>1246</v>
      </c>
      <c r="C9" t="s">
        <v>569</v>
      </c>
      <c r="D9">
        <v>2</v>
      </c>
    </row>
    <row r="10" spans="1:4" x14ac:dyDescent="0.25">
      <c r="A10" t="s">
        <v>4</v>
      </c>
      <c r="B10" t="s">
        <v>621</v>
      </c>
      <c r="C10" t="s">
        <v>784</v>
      </c>
      <c r="D10">
        <v>5</v>
      </c>
    </row>
    <row r="11" spans="1:4" x14ac:dyDescent="0.25">
      <c r="A11" t="s">
        <v>4</v>
      </c>
      <c r="B11" t="s">
        <v>1816</v>
      </c>
      <c r="C11" t="s">
        <v>26</v>
      </c>
      <c r="D11">
        <v>3</v>
      </c>
    </row>
    <row r="12" spans="1:4" x14ac:dyDescent="0.25">
      <c r="A12" t="s">
        <v>4</v>
      </c>
      <c r="B12" t="s">
        <v>2170</v>
      </c>
      <c r="C12" t="s">
        <v>1871</v>
      </c>
      <c r="D12">
        <v>5</v>
      </c>
    </row>
    <row r="13" spans="1:4" x14ac:dyDescent="0.25">
      <c r="A13" t="s">
        <v>4</v>
      </c>
      <c r="B13" t="s">
        <v>1230</v>
      </c>
      <c r="C13" t="s">
        <v>3195</v>
      </c>
      <c r="D13">
        <v>7</v>
      </c>
    </row>
    <row r="14" spans="1:4" x14ac:dyDescent="0.25">
      <c r="A14" t="s">
        <v>4</v>
      </c>
      <c r="B14" t="s">
        <v>1695</v>
      </c>
      <c r="C14" t="s">
        <v>1873</v>
      </c>
      <c r="D14">
        <v>4</v>
      </c>
    </row>
    <row r="15" spans="1:4" x14ac:dyDescent="0.25">
      <c r="A15" t="s">
        <v>4</v>
      </c>
      <c r="B15" t="s">
        <v>922</v>
      </c>
      <c r="C15" t="s">
        <v>1199</v>
      </c>
      <c r="D15">
        <v>6</v>
      </c>
    </row>
    <row r="16" spans="1:4" x14ac:dyDescent="0.25">
      <c r="A16" t="s">
        <v>4</v>
      </c>
      <c r="B16" t="s">
        <v>1436</v>
      </c>
      <c r="C16" t="s">
        <v>2874</v>
      </c>
      <c r="D16">
        <v>4</v>
      </c>
    </row>
    <row r="17" spans="1:4" x14ac:dyDescent="0.25">
      <c r="A17" t="s">
        <v>4</v>
      </c>
      <c r="B17" t="s">
        <v>1436</v>
      </c>
      <c r="C17" t="s">
        <v>1876</v>
      </c>
      <c r="D17">
        <v>3</v>
      </c>
    </row>
    <row r="18" spans="1:4" x14ac:dyDescent="0.25">
      <c r="A18" t="s">
        <v>4</v>
      </c>
      <c r="B18" t="s">
        <v>1200</v>
      </c>
      <c r="C18" t="s">
        <v>2122</v>
      </c>
      <c r="D18">
        <v>1</v>
      </c>
    </row>
    <row r="19" spans="1:4" x14ac:dyDescent="0.25">
      <c r="A19" t="s">
        <v>4</v>
      </c>
      <c r="B19" t="s">
        <v>473</v>
      </c>
      <c r="C19" t="s">
        <v>2721</v>
      </c>
      <c r="D19">
        <v>0</v>
      </c>
    </row>
    <row r="20" spans="1:4" x14ac:dyDescent="0.25">
      <c r="A20" t="s">
        <v>4</v>
      </c>
      <c r="B20" t="s">
        <v>473</v>
      </c>
      <c r="C20" t="s">
        <v>2123</v>
      </c>
      <c r="D20">
        <v>-1</v>
      </c>
    </row>
    <row r="21" spans="1:4" x14ac:dyDescent="0.25">
      <c r="A21" t="s">
        <v>4</v>
      </c>
      <c r="B21" t="s">
        <v>1750</v>
      </c>
      <c r="C21" t="s">
        <v>1822</v>
      </c>
      <c r="D21">
        <v>2</v>
      </c>
    </row>
    <row r="22" spans="1:4" x14ac:dyDescent="0.25">
      <c r="A22" t="s">
        <v>4</v>
      </c>
      <c r="B22" t="s">
        <v>531</v>
      </c>
      <c r="C22" t="s">
        <v>1438</v>
      </c>
      <c r="D22">
        <v>0</v>
      </c>
    </row>
    <row r="23" spans="1:4" x14ac:dyDescent="0.25">
      <c r="A23" t="s">
        <v>4</v>
      </c>
      <c r="B23" t="s">
        <v>675</v>
      </c>
      <c r="C23" t="s">
        <v>1823</v>
      </c>
      <c r="D23">
        <v>2</v>
      </c>
    </row>
    <row r="24" spans="1:4" x14ac:dyDescent="0.25">
      <c r="A24" t="s">
        <v>40</v>
      </c>
      <c r="B24" t="s">
        <v>325</v>
      </c>
      <c r="C24" t="s">
        <v>1439</v>
      </c>
      <c r="D24">
        <v>4</v>
      </c>
    </row>
    <row r="25" spans="1:4" x14ac:dyDescent="0.25">
      <c r="A25" t="s">
        <v>40</v>
      </c>
      <c r="B25" t="s">
        <v>325</v>
      </c>
      <c r="C25" t="s">
        <v>212</v>
      </c>
      <c r="D25">
        <v>5</v>
      </c>
    </row>
    <row r="26" spans="1:4" x14ac:dyDescent="0.25">
      <c r="A26" t="s">
        <v>40</v>
      </c>
      <c r="B26" t="s">
        <v>2443</v>
      </c>
      <c r="C26" t="s">
        <v>214</v>
      </c>
      <c r="D26">
        <v>3</v>
      </c>
    </row>
    <row r="27" spans="1:4" x14ac:dyDescent="0.25">
      <c r="A27" t="s">
        <v>40</v>
      </c>
      <c r="B27" t="s">
        <v>2443</v>
      </c>
      <c r="C27" t="s">
        <v>336</v>
      </c>
      <c r="D27">
        <v>2</v>
      </c>
    </row>
    <row r="28" spans="1:4" x14ac:dyDescent="0.25">
      <c r="A28" t="s">
        <v>40</v>
      </c>
      <c r="B28" t="s">
        <v>1735</v>
      </c>
      <c r="C28" t="s">
        <v>929</v>
      </c>
      <c r="D28">
        <v>3</v>
      </c>
    </row>
    <row r="29" spans="1:4" x14ac:dyDescent="0.25">
      <c r="A29" t="s">
        <v>40</v>
      </c>
      <c r="B29" t="s">
        <v>1573</v>
      </c>
      <c r="C29" t="s">
        <v>718</v>
      </c>
      <c r="D29">
        <v>1</v>
      </c>
    </row>
    <row r="30" spans="1:4" x14ac:dyDescent="0.25">
      <c r="A30" t="s">
        <v>40</v>
      </c>
      <c r="B30" t="s">
        <v>572</v>
      </c>
      <c r="C30" t="s">
        <v>3962</v>
      </c>
      <c r="D30">
        <v>-1</v>
      </c>
    </row>
    <row r="31" spans="1:4" x14ac:dyDescent="0.25">
      <c r="A31" t="s">
        <v>40</v>
      </c>
      <c r="B31" t="s">
        <v>2154</v>
      </c>
      <c r="C31" t="s">
        <v>3081</v>
      </c>
      <c r="D31">
        <v>-3</v>
      </c>
    </row>
    <row r="32" spans="1:4" x14ac:dyDescent="0.25">
      <c r="A32" t="s">
        <v>40</v>
      </c>
      <c r="B32" t="s">
        <v>221</v>
      </c>
      <c r="C32" t="s">
        <v>2332</v>
      </c>
      <c r="D32">
        <v>-1</v>
      </c>
    </row>
    <row r="33" spans="1:4" x14ac:dyDescent="0.25">
      <c r="A33" t="s">
        <v>40</v>
      </c>
      <c r="B33" t="s">
        <v>263</v>
      </c>
      <c r="C33" t="s">
        <v>464</v>
      </c>
      <c r="D33">
        <v>0</v>
      </c>
    </row>
    <row r="34" spans="1:4" x14ac:dyDescent="0.25">
      <c r="A34" t="s">
        <v>40</v>
      </c>
      <c r="B34" t="s">
        <v>263</v>
      </c>
      <c r="C34" t="s">
        <v>1128</v>
      </c>
      <c r="D34">
        <v>1</v>
      </c>
    </row>
    <row r="35" spans="1:4" x14ac:dyDescent="0.25">
      <c r="A35" t="s">
        <v>40</v>
      </c>
      <c r="B35" t="s">
        <v>2629</v>
      </c>
      <c r="C35" t="s">
        <v>2127</v>
      </c>
      <c r="D35">
        <v>-1</v>
      </c>
    </row>
    <row r="36" spans="1:4" x14ac:dyDescent="0.25">
      <c r="A36" t="s">
        <v>40</v>
      </c>
      <c r="B36" t="s">
        <v>890</v>
      </c>
      <c r="C36" t="s">
        <v>468</v>
      </c>
      <c r="D36">
        <v>2</v>
      </c>
    </row>
    <row r="37" spans="1:4" x14ac:dyDescent="0.25">
      <c r="A37" t="s">
        <v>40</v>
      </c>
      <c r="B37" t="s">
        <v>1517</v>
      </c>
      <c r="C37" t="s">
        <v>2303</v>
      </c>
      <c r="D37">
        <v>-1</v>
      </c>
    </row>
    <row r="38" spans="1:4" x14ac:dyDescent="0.25">
      <c r="A38" t="s">
        <v>40</v>
      </c>
      <c r="B38" t="s">
        <v>894</v>
      </c>
      <c r="C38" t="s">
        <v>2362</v>
      </c>
      <c r="D38">
        <v>-3</v>
      </c>
    </row>
    <row r="39" spans="1:4" x14ac:dyDescent="0.25">
      <c r="A39" t="s">
        <v>40</v>
      </c>
      <c r="B39" t="s">
        <v>896</v>
      </c>
      <c r="C39" t="s">
        <v>1518</v>
      </c>
      <c r="D39">
        <v>-1</v>
      </c>
    </row>
    <row r="40" spans="1:4" x14ac:dyDescent="0.25">
      <c r="A40" t="s">
        <v>40</v>
      </c>
      <c r="B40" t="s">
        <v>581</v>
      </c>
      <c r="C40" t="s">
        <v>2763</v>
      </c>
      <c r="D40">
        <v>-2</v>
      </c>
    </row>
    <row r="41" spans="1:4" x14ac:dyDescent="0.25">
      <c r="A41" t="s">
        <v>40</v>
      </c>
      <c r="B41" t="s">
        <v>1484</v>
      </c>
      <c r="C41" t="s">
        <v>1830</v>
      </c>
      <c r="D41">
        <v>-1</v>
      </c>
    </row>
    <row r="42" spans="1:4" x14ac:dyDescent="0.25">
      <c r="A42" t="s">
        <v>40</v>
      </c>
      <c r="B42" t="s">
        <v>1484</v>
      </c>
      <c r="C42" t="s">
        <v>3574</v>
      </c>
      <c r="D42">
        <v>0</v>
      </c>
    </row>
    <row r="43" spans="1:4" x14ac:dyDescent="0.25">
      <c r="A43" t="s">
        <v>40</v>
      </c>
      <c r="B43" t="s">
        <v>1237</v>
      </c>
      <c r="C43" t="s">
        <v>1759</v>
      </c>
      <c r="D43">
        <v>2</v>
      </c>
    </row>
    <row r="44" spans="1:4" x14ac:dyDescent="0.25">
      <c r="A44" t="s">
        <v>40</v>
      </c>
      <c r="B44" t="s">
        <v>999</v>
      </c>
      <c r="C44" t="s">
        <v>733</v>
      </c>
      <c r="D44">
        <v>0</v>
      </c>
    </row>
    <row r="45" spans="1:4" x14ac:dyDescent="0.25">
      <c r="A45" t="s">
        <v>40</v>
      </c>
      <c r="B45" t="s">
        <v>930</v>
      </c>
      <c r="C45" t="s">
        <v>1761</v>
      </c>
      <c r="D45">
        <v>-1</v>
      </c>
    </row>
    <row r="46" spans="1:4" x14ac:dyDescent="0.25">
      <c r="A46" t="s">
        <v>40</v>
      </c>
      <c r="B46" t="s">
        <v>235</v>
      </c>
      <c r="C46" t="s">
        <v>2307</v>
      </c>
      <c r="D46">
        <v>2</v>
      </c>
    </row>
    <row r="47" spans="1:4" x14ac:dyDescent="0.25">
      <c r="A47" t="s">
        <v>80</v>
      </c>
      <c r="B47" t="s">
        <v>1022</v>
      </c>
      <c r="C47" t="s">
        <v>1225</v>
      </c>
      <c r="D47">
        <v>0</v>
      </c>
    </row>
    <row r="48" spans="1:4" x14ac:dyDescent="0.25">
      <c r="A48" t="s">
        <v>80</v>
      </c>
      <c r="B48" t="s">
        <v>1664</v>
      </c>
      <c r="C48" t="s">
        <v>1522</v>
      </c>
      <c r="D48">
        <v>2</v>
      </c>
    </row>
    <row r="49" spans="1:4" x14ac:dyDescent="0.25">
      <c r="A49" t="s">
        <v>80</v>
      </c>
      <c r="B49" t="s">
        <v>1138</v>
      </c>
      <c r="C49" t="s">
        <v>1523</v>
      </c>
      <c r="D49">
        <v>4</v>
      </c>
    </row>
    <row r="50" spans="1:4" x14ac:dyDescent="0.25">
      <c r="A50" t="s">
        <v>80</v>
      </c>
      <c r="B50" t="s">
        <v>130</v>
      </c>
      <c r="C50" t="s">
        <v>369</v>
      </c>
      <c r="D50">
        <v>3</v>
      </c>
    </row>
    <row r="51" spans="1:4" x14ac:dyDescent="0.25">
      <c r="A51" t="s">
        <v>80</v>
      </c>
      <c r="B51" t="s">
        <v>130</v>
      </c>
      <c r="C51" t="s">
        <v>371</v>
      </c>
      <c r="D51">
        <v>2</v>
      </c>
    </row>
    <row r="52" spans="1:4" x14ac:dyDescent="0.25">
      <c r="A52" t="s">
        <v>80</v>
      </c>
      <c r="B52" t="s">
        <v>1849</v>
      </c>
      <c r="C52" t="s">
        <v>2911</v>
      </c>
      <c r="D52">
        <v>5</v>
      </c>
    </row>
    <row r="53" spans="1:4" x14ac:dyDescent="0.25">
      <c r="A53" t="s">
        <v>80</v>
      </c>
      <c r="B53" t="s">
        <v>1325</v>
      </c>
      <c r="C53" t="s">
        <v>489</v>
      </c>
      <c r="D53">
        <v>4</v>
      </c>
    </row>
    <row r="54" spans="1:4" x14ac:dyDescent="0.25">
      <c r="A54" t="s">
        <v>80</v>
      </c>
      <c r="B54" t="s">
        <v>364</v>
      </c>
      <c r="C54" t="s">
        <v>3963</v>
      </c>
      <c r="D54">
        <v>2</v>
      </c>
    </row>
    <row r="55" spans="1:4" x14ac:dyDescent="0.25">
      <c r="A55" t="s">
        <v>80</v>
      </c>
      <c r="B55" t="s">
        <v>465</v>
      </c>
      <c r="C55" t="s">
        <v>1728</v>
      </c>
      <c r="D55">
        <v>0</v>
      </c>
    </row>
    <row r="56" spans="1:4" x14ac:dyDescent="0.25">
      <c r="A56" t="s">
        <v>80</v>
      </c>
      <c r="B56" t="s">
        <v>62</v>
      </c>
      <c r="C56" t="s">
        <v>1729</v>
      </c>
      <c r="D56">
        <v>-2</v>
      </c>
    </row>
    <row r="57" spans="1:4" x14ac:dyDescent="0.25">
      <c r="A57" t="s">
        <v>80</v>
      </c>
      <c r="B57" t="s">
        <v>313</v>
      </c>
      <c r="C57" t="s">
        <v>748</v>
      </c>
      <c r="D57">
        <v>0</v>
      </c>
    </row>
    <row r="58" spans="1:4" x14ac:dyDescent="0.25">
      <c r="A58" t="s">
        <v>80</v>
      </c>
      <c r="B58" t="s">
        <v>263</v>
      </c>
      <c r="C58" t="s">
        <v>630</v>
      </c>
      <c r="D58">
        <v>-2</v>
      </c>
    </row>
    <row r="59" spans="1:4" x14ac:dyDescent="0.25">
      <c r="A59" t="s">
        <v>80</v>
      </c>
      <c r="B59" t="s">
        <v>1436</v>
      </c>
      <c r="C59" t="s">
        <v>632</v>
      </c>
      <c r="D59">
        <v>-4</v>
      </c>
    </row>
    <row r="60" spans="1:4" x14ac:dyDescent="0.25">
      <c r="A60" t="s">
        <v>80</v>
      </c>
      <c r="B60" t="s">
        <v>1640</v>
      </c>
      <c r="C60" t="s">
        <v>1233</v>
      </c>
      <c r="D60">
        <v>-7</v>
      </c>
    </row>
    <row r="61" spans="1:4" x14ac:dyDescent="0.25">
      <c r="A61" t="s">
        <v>80</v>
      </c>
      <c r="B61" t="s">
        <v>815</v>
      </c>
      <c r="C61" t="s">
        <v>1234</v>
      </c>
      <c r="D61">
        <v>-5</v>
      </c>
    </row>
    <row r="62" spans="1:4" x14ac:dyDescent="0.25">
      <c r="A62" t="s">
        <v>80</v>
      </c>
      <c r="B62" t="s">
        <v>298</v>
      </c>
      <c r="C62" t="s">
        <v>2139</v>
      </c>
      <c r="D62">
        <v>-8</v>
      </c>
    </row>
    <row r="63" spans="1:4" x14ac:dyDescent="0.25">
      <c r="A63" t="s">
        <v>80</v>
      </c>
      <c r="B63" t="s">
        <v>770</v>
      </c>
      <c r="C63" t="s">
        <v>2140</v>
      </c>
      <c r="D63">
        <v>-5</v>
      </c>
    </row>
    <row r="64" spans="1:4" x14ac:dyDescent="0.25">
      <c r="A64" t="s">
        <v>123</v>
      </c>
      <c r="B64" t="s">
        <v>1116</v>
      </c>
      <c r="C64" t="s">
        <v>2141</v>
      </c>
      <c r="D64">
        <v>-7</v>
      </c>
    </row>
    <row r="65" spans="1:4" x14ac:dyDescent="0.25">
      <c r="A65" t="s">
        <v>123</v>
      </c>
      <c r="B65" t="s">
        <v>1266</v>
      </c>
      <c r="C65" t="s">
        <v>279</v>
      </c>
      <c r="D65">
        <v>-5</v>
      </c>
    </row>
    <row r="66" spans="1:4" x14ac:dyDescent="0.25">
      <c r="A66" t="s">
        <v>123</v>
      </c>
      <c r="B66" t="s">
        <v>357</v>
      </c>
      <c r="C66" t="s">
        <v>3539</v>
      </c>
      <c r="D66">
        <v>-2</v>
      </c>
    </row>
    <row r="67" spans="1:4" x14ac:dyDescent="0.25">
      <c r="A67" t="s">
        <v>123</v>
      </c>
      <c r="B67" t="s">
        <v>570</v>
      </c>
      <c r="C67" t="s">
        <v>2768</v>
      </c>
      <c r="D67">
        <v>-4</v>
      </c>
    </row>
    <row r="68" spans="1:4" x14ac:dyDescent="0.25">
      <c r="A68" t="s">
        <v>123</v>
      </c>
      <c r="B68" t="s">
        <v>779</v>
      </c>
      <c r="C68" t="s">
        <v>3201</v>
      </c>
      <c r="D68">
        <v>-3</v>
      </c>
    </row>
    <row r="69" spans="1:4" x14ac:dyDescent="0.25">
      <c r="A69" t="s">
        <v>123</v>
      </c>
      <c r="B69" t="s">
        <v>834</v>
      </c>
      <c r="C69" t="s">
        <v>4215</v>
      </c>
      <c r="D69">
        <v>-6</v>
      </c>
    </row>
    <row r="70" spans="1:4" x14ac:dyDescent="0.25">
      <c r="A70" t="s">
        <v>123</v>
      </c>
      <c r="B70" t="s">
        <v>21</v>
      </c>
      <c r="C70" t="s">
        <v>2238</v>
      </c>
      <c r="D70">
        <v>-4</v>
      </c>
    </row>
    <row r="71" spans="1:4" x14ac:dyDescent="0.25">
      <c r="A71" t="s">
        <v>123</v>
      </c>
      <c r="B71" t="s">
        <v>337</v>
      </c>
      <c r="C71" t="s">
        <v>3032</v>
      </c>
      <c r="D71">
        <v>-2</v>
      </c>
    </row>
    <row r="72" spans="1:4" x14ac:dyDescent="0.25">
      <c r="A72" t="s">
        <v>123</v>
      </c>
      <c r="B72" t="s">
        <v>376</v>
      </c>
      <c r="C72" t="s">
        <v>2145</v>
      </c>
      <c r="D72">
        <v>-5</v>
      </c>
    </row>
    <row r="73" spans="1:4" x14ac:dyDescent="0.25">
      <c r="A73" t="s">
        <v>123</v>
      </c>
      <c r="B73" t="s">
        <v>442</v>
      </c>
      <c r="C73" t="s">
        <v>2146</v>
      </c>
      <c r="D73">
        <v>-7</v>
      </c>
    </row>
    <row r="74" spans="1:4" x14ac:dyDescent="0.25">
      <c r="A74" t="s">
        <v>123</v>
      </c>
      <c r="B74" t="s">
        <v>472</v>
      </c>
      <c r="C74" t="s">
        <v>853</v>
      </c>
      <c r="D74">
        <v>-4</v>
      </c>
    </row>
    <row r="75" spans="1:4" x14ac:dyDescent="0.25">
      <c r="A75" t="s">
        <v>123</v>
      </c>
      <c r="B75" t="s">
        <v>392</v>
      </c>
      <c r="C75" t="s">
        <v>522</v>
      </c>
      <c r="D75">
        <v>-2</v>
      </c>
    </row>
    <row r="76" spans="1:4" x14ac:dyDescent="0.25">
      <c r="A76" t="s">
        <v>123</v>
      </c>
      <c r="B76" t="s">
        <v>1437</v>
      </c>
      <c r="C76" t="s">
        <v>4372</v>
      </c>
      <c r="D76">
        <v>-4</v>
      </c>
    </row>
    <row r="77" spans="1:4" x14ac:dyDescent="0.25">
      <c r="A77" t="s">
        <v>123</v>
      </c>
      <c r="B77" t="s">
        <v>554</v>
      </c>
      <c r="C77" t="s">
        <v>3458</v>
      </c>
      <c r="D77">
        <v>-1</v>
      </c>
    </row>
    <row r="78" spans="1:4" x14ac:dyDescent="0.25">
      <c r="A78" t="s">
        <v>123</v>
      </c>
      <c r="B78" t="s">
        <v>322</v>
      </c>
      <c r="C78" t="s">
        <v>3459</v>
      </c>
      <c r="D78">
        <v>-3</v>
      </c>
    </row>
    <row r="79" spans="1:4" x14ac:dyDescent="0.25">
      <c r="A79" t="s">
        <v>123</v>
      </c>
      <c r="B79" t="s">
        <v>1627</v>
      </c>
      <c r="C79" t="s">
        <v>2148</v>
      </c>
      <c r="D79">
        <v>-4</v>
      </c>
    </row>
    <row r="80" spans="1:4" x14ac:dyDescent="0.25">
      <c r="A80" t="s">
        <v>123</v>
      </c>
      <c r="B80" t="s">
        <v>1627</v>
      </c>
      <c r="C80" t="s">
        <v>4383</v>
      </c>
      <c r="D80">
        <v>-5</v>
      </c>
    </row>
    <row r="81" spans="1:4" x14ac:dyDescent="0.25">
      <c r="A81" t="s">
        <v>123</v>
      </c>
      <c r="B81" t="s">
        <v>1627</v>
      </c>
      <c r="C81" t="s">
        <v>3460</v>
      </c>
      <c r="D81">
        <v>-6</v>
      </c>
    </row>
    <row r="82" spans="1:4" x14ac:dyDescent="0.25">
      <c r="A82" t="s">
        <v>123</v>
      </c>
      <c r="B82" t="s">
        <v>78</v>
      </c>
      <c r="C82" t="s">
        <v>2346</v>
      </c>
      <c r="D82">
        <v>-4</v>
      </c>
    </row>
    <row r="84" spans="1:4" x14ac:dyDescent="0.25">
      <c r="A84" s="2" t="s">
        <v>157</v>
      </c>
    </row>
    <row r="85" spans="1:4" x14ac:dyDescent="0.25">
      <c r="A85" t="s">
        <v>158</v>
      </c>
      <c r="D85">
        <f>AVERAGE(D2:D82)</f>
        <v>-0.34567901234567899</v>
      </c>
    </row>
    <row r="86" spans="1:4" x14ac:dyDescent="0.25">
      <c r="A86" t="s">
        <v>159</v>
      </c>
      <c r="D86">
        <f>MAX(D2:D82)</f>
        <v>7</v>
      </c>
    </row>
    <row r="87" spans="1:4" x14ac:dyDescent="0.25">
      <c r="A87" t="s">
        <v>160</v>
      </c>
      <c r="D87">
        <f>MIN(D2:D82)</f>
        <v>-8</v>
      </c>
    </row>
    <row r="88" spans="1:4" x14ac:dyDescent="0.25">
      <c r="A88" t="s">
        <v>161</v>
      </c>
      <c r="D88">
        <f>COUNTIF(D2:D82,"&gt;0")</f>
        <v>33</v>
      </c>
    </row>
    <row r="89" spans="1:4" x14ac:dyDescent="0.25">
      <c r="A89" t="s">
        <v>162</v>
      </c>
      <c r="D89">
        <f>COUNTIF(D2:D82,"=0")</f>
        <v>11</v>
      </c>
    </row>
    <row r="90" spans="1:4" x14ac:dyDescent="0.25">
      <c r="A90" t="s">
        <v>1740</v>
      </c>
      <c r="D90">
        <f>COUNTIF(D2:D82,"&lt;0")</f>
        <v>37</v>
      </c>
    </row>
    <row r="92" spans="1:4" x14ac:dyDescent="0.25">
      <c r="A92" s="2" t="s">
        <v>164</v>
      </c>
    </row>
    <row r="93" spans="1:4" x14ac:dyDescent="0.25">
      <c r="A93" t="s">
        <v>165</v>
      </c>
      <c r="D93">
        <f>AVERAGE(D2,D3,D4,D5,D6,D7,D8,D9,D10,D11,D12,D13,D14,D15,D16,D17,D18,D19,D20,D21,D22,D23)</f>
        <v>2.3181818181818183</v>
      </c>
    </row>
    <row r="94" spans="1:4" x14ac:dyDescent="0.25">
      <c r="A94" t="s">
        <v>166</v>
      </c>
      <c r="D94">
        <f>AVERAGE(D24,D25,D26,D27,D28,D29,D30,D31,D32,D33,D34,D35,D36,D37,D38,D39,D40,D41,D42,D43,D44,D45,D46)</f>
        <v>0.43478260869565216</v>
      </c>
    </row>
    <row r="95" spans="1:4" x14ac:dyDescent="0.25">
      <c r="A95" t="s">
        <v>167</v>
      </c>
      <c r="D95">
        <f>AVERAGE(D47,D48,D49,D50,D51,D52,D53,D54,D55,D56,D57,D58,D59,D60,D61,D62,D63)</f>
        <v>-0.6470588235294118</v>
      </c>
    </row>
    <row r="96" spans="1:4" x14ac:dyDescent="0.25">
      <c r="A96" t="s">
        <v>168</v>
      </c>
      <c r="D96">
        <f>AVERAGE(D64,D65,D66,D67,D68,D69,D70,D71,D72,D73,D74,D75,D76,D77,D78,D79,D80,D81,D82)</f>
        <v>-4.1052631578947372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D11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325</v>
      </c>
      <c r="C2" t="s">
        <v>6</v>
      </c>
      <c r="D2">
        <v>2</v>
      </c>
    </row>
    <row r="3" spans="1:4" x14ac:dyDescent="0.25">
      <c r="A3" t="s">
        <v>4</v>
      </c>
      <c r="B3" t="s">
        <v>1083</v>
      </c>
      <c r="C3" t="s">
        <v>8</v>
      </c>
      <c r="D3">
        <v>0</v>
      </c>
    </row>
    <row r="4" spans="1:4" x14ac:dyDescent="0.25">
      <c r="A4" t="s">
        <v>4</v>
      </c>
      <c r="B4" t="s">
        <v>329</v>
      </c>
      <c r="C4" t="s">
        <v>1869</v>
      </c>
      <c r="D4">
        <v>-3</v>
      </c>
    </row>
    <row r="5" spans="1:4" x14ac:dyDescent="0.25">
      <c r="A5" t="s">
        <v>4</v>
      </c>
      <c r="B5" t="s">
        <v>691</v>
      </c>
      <c r="C5" t="s">
        <v>309</v>
      </c>
      <c r="D5">
        <v>-1</v>
      </c>
    </row>
    <row r="6" spans="1:4" x14ac:dyDescent="0.25">
      <c r="A6" t="s">
        <v>4</v>
      </c>
      <c r="B6" t="s">
        <v>355</v>
      </c>
      <c r="C6" t="s">
        <v>2430</v>
      </c>
      <c r="D6">
        <v>0</v>
      </c>
    </row>
    <row r="7" spans="1:4" x14ac:dyDescent="0.25">
      <c r="A7" t="s">
        <v>4</v>
      </c>
      <c r="B7" t="s">
        <v>355</v>
      </c>
      <c r="C7" t="s">
        <v>1193</v>
      </c>
      <c r="D7">
        <v>1</v>
      </c>
    </row>
    <row r="8" spans="1:4" x14ac:dyDescent="0.25">
      <c r="A8" t="s">
        <v>4</v>
      </c>
      <c r="B8" t="s">
        <v>177</v>
      </c>
      <c r="C8" t="s">
        <v>695</v>
      </c>
      <c r="D8">
        <v>3</v>
      </c>
    </row>
    <row r="9" spans="1:4" x14ac:dyDescent="0.25">
      <c r="A9" t="s">
        <v>4</v>
      </c>
      <c r="B9" t="s">
        <v>1723</v>
      </c>
      <c r="C9" t="s">
        <v>696</v>
      </c>
      <c r="D9">
        <v>1</v>
      </c>
    </row>
    <row r="10" spans="1:4" x14ac:dyDescent="0.25">
      <c r="A10" t="s">
        <v>4</v>
      </c>
      <c r="B10" t="s">
        <v>1284</v>
      </c>
      <c r="C10" t="s">
        <v>1351</v>
      </c>
      <c r="D10">
        <v>3</v>
      </c>
    </row>
    <row r="11" spans="1:4" x14ac:dyDescent="0.25">
      <c r="A11" t="s">
        <v>4</v>
      </c>
      <c r="B11" t="s">
        <v>922</v>
      </c>
      <c r="C11" t="s">
        <v>784</v>
      </c>
      <c r="D11">
        <v>5</v>
      </c>
    </row>
    <row r="12" spans="1:4" x14ac:dyDescent="0.25">
      <c r="A12" t="s">
        <v>4</v>
      </c>
      <c r="B12" t="s">
        <v>2562</v>
      </c>
      <c r="C12" t="s">
        <v>26</v>
      </c>
      <c r="D12">
        <v>3</v>
      </c>
    </row>
    <row r="13" spans="1:4" x14ac:dyDescent="0.25">
      <c r="A13" t="s">
        <v>4</v>
      </c>
      <c r="B13" t="s">
        <v>23</v>
      </c>
      <c r="C13" t="s">
        <v>1871</v>
      </c>
      <c r="D13">
        <v>5</v>
      </c>
    </row>
    <row r="14" spans="1:4" x14ac:dyDescent="0.25">
      <c r="A14" t="s">
        <v>4</v>
      </c>
      <c r="B14" t="s">
        <v>23</v>
      </c>
      <c r="C14" t="s">
        <v>1355</v>
      </c>
      <c r="D14">
        <v>6</v>
      </c>
    </row>
    <row r="15" spans="1:4" x14ac:dyDescent="0.25">
      <c r="A15" t="s">
        <v>4</v>
      </c>
      <c r="B15" t="s">
        <v>110</v>
      </c>
      <c r="C15" t="s">
        <v>2537</v>
      </c>
      <c r="D15">
        <v>4</v>
      </c>
    </row>
    <row r="16" spans="1:4" x14ac:dyDescent="0.25">
      <c r="A16" t="s">
        <v>4</v>
      </c>
      <c r="B16" t="s">
        <v>384</v>
      </c>
      <c r="C16" t="s">
        <v>921</v>
      </c>
      <c r="D16">
        <v>1</v>
      </c>
    </row>
    <row r="17" spans="1:4" x14ac:dyDescent="0.25">
      <c r="A17" t="s">
        <v>4</v>
      </c>
      <c r="B17" t="s">
        <v>1940</v>
      </c>
      <c r="C17" t="s">
        <v>2538</v>
      </c>
      <c r="D17">
        <v>3</v>
      </c>
    </row>
    <row r="18" spans="1:4" x14ac:dyDescent="0.25">
      <c r="A18" t="s">
        <v>4</v>
      </c>
      <c r="B18" t="s">
        <v>320</v>
      </c>
      <c r="C18" t="s">
        <v>2539</v>
      </c>
      <c r="D18">
        <v>6</v>
      </c>
    </row>
    <row r="19" spans="1:4" x14ac:dyDescent="0.25">
      <c r="A19" t="s">
        <v>4</v>
      </c>
      <c r="B19" t="s">
        <v>1646</v>
      </c>
      <c r="C19" t="s">
        <v>328</v>
      </c>
      <c r="D19">
        <v>7</v>
      </c>
    </row>
    <row r="20" spans="1:4" x14ac:dyDescent="0.25">
      <c r="A20" t="s">
        <v>4</v>
      </c>
      <c r="B20" t="s">
        <v>1646</v>
      </c>
      <c r="C20" t="s">
        <v>3388</v>
      </c>
      <c r="D20">
        <v>8</v>
      </c>
    </row>
    <row r="21" spans="1:4" x14ac:dyDescent="0.25">
      <c r="A21" t="s">
        <v>4</v>
      </c>
      <c r="B21" t="s">
        <v>451</v>
      </c>
      <c r="C21" t="s">
        <v>2924</v>
      </c>
      <c r="D21">
        <v>10</v>
      </c>
    </row>
    <row r="22" spans="1:4" x14ac:dyDescent="0.25">
      <c r="A22" t="s">
        <v>40</v>
      </c>
      <c r="B22" t="s">
        <v>1208</v>
      </c>
      <c r="C22" t="s">
        <v>1362</v>
      </c>
      <c r="D22">
        <v>12</v>
      </c>
    </row>
    <row r="23" spans="1:4" x14ac:dyDescent="0.25">
      <c r="A23" t="s">
        <v>40</v>
      </c>
      <c r="B23" t="s">
        <v>1136</v>
      </c>
      <c r="C23" t="s">
        <v>2925</v>
      </c>
      <c r="D23">
        <v>10</v>
      </c>
    </row>
    <row r="24" spans="1:4" x14ac:dyDescent="0.25">
      <c r="A24" t="s">
        <v>40</v>
      </c>
      <c r="B24" t="s">
        <v>1648</v>
      </c>
      <c r="C24" t="s">
        <v>2522</v>
      </c>
      <c r="D24">
        <v>12</v>
      </c>
    </row>
    <row r="25" spans="1:4" x14ac:dyDescent="0.25">
      <c r="A25" t="s">
        <v>40</v>
      </c>
      <c r="B25" t="s">
        <v>487</v>
      </c>
      <c r="C25" t="s">
        <v>4276</v>
      </c>
      <c r="D25">
        <v>15</v>
      </c>
    </row>
    <row r="26" spans="1:4" x14ac:dyDescent="0.25">
      <c r="A26" t="s">
        <v>40</v>
      </c>
      <c r="B26" t="s">
        <v>1735</v>
      </c>
      <c r="C26" t="s">
        <v>3004</v>
      </c>
      <c r="D26">
        <v>14</v>
      </c>
    </row>
    <row r="27" spans="1:4" x14ac:dyDescent="0.25">
      <c r="A27" t="s">
        <v>40</v>
      </c>
      <c r="B27" t="s">
        <v>11</v>
      </c>
      <c r="C27" t="s">
        <v>2054</v>
      </c>
      <c r="D27">
        <v>17</v>
      </c>
    </row>
    <row r="28" spans="1:4" x14ac:dyDescent="0.25">
      <c r="A28" t="s">
        <v>40</v>
      </c>
      <c r="B28" t="s">
        <v>400</v>
      </c>
      <c r="C28" t="s">
        <v>4384</v>
      </c>
      <c r="D28">
        <v>14</v>
      </c>
    </row>
    <row r="29" spans="1:4" x14ac:dyDescent="0.25">
      <c r="A29" t="s">
        <v>40</v>
      </c>
      <c r="B29" t="s">
        <v>332</v>
      </c>
      <c r="C29" t="s">
        <v>1032</v>
      </c>
      <c r="D29">
        <v>15</v>
      </c>
    </row>
    <row r="30" spans="1:4" x14ac:dyDescent="0.25">
      <c r="A30" t="s">
        <v>40</v>
      </c>
      <c r="B30" t="s">
        <v>361</v>
      </c>
      <c r="C30" t="s">
        <v>4385</v>
      </c>
      <c r="D30">
        <v>17</v>
      </c>
    </row>
    <row r="31" spans="1:4" x14ac:dyDescent="0.25">
      <c r="A31" t="s">
        <v>40</v>
      </c>
      <c r="B31" t="s">
        <v>277</v>
      </c>
      <c r="C31" t="s">
        <v>4386</v>
      </c>
      <c r="D31">
        <v>19</v>
      </c>
    </row>
    <row r="32" spans="1:4" x14ac:dyDescent="0.25">
      <c r="A32" t="s">
        <v>40</v>
      </c>
      <c r="B32" t="s">
        <v>135</v>
      </c>
      <c r="C32" t="s">
        <v>4387</v>
      </c>
      <c r="D32">
        <v>21</v>
      </c>
    </row>
    <row r="33" spans="1:4" x14ac:dyDescent="0.25">
      <c r="A33" t="s">
        <v>40</v>
      </c>
      <c r="B33" t="s">
        <v>219</v>
      </c>
      <c r="C33" t="s">
        <v>3840</v>
      </c>
      <c r="D33">
        <v>19</v>
      </c>
    </row>
    <row r="34" spans="1:4" x14ac:dyDescent="0.25">
      <c r="A34" t="s">
        <v>40</v>
      </c>
      <c r="B34" t="s">
        <v>598</v>
      </c>
      <c r="C34" t="s">
        <v>1037</v>
      </c>
      <c r="D34">
        <v>20</v>
      </c>
    </row>
    <row r="35" spans="1:4" x14ac:dyDescent="0.25">
      <c r="A35" t="s">
        <v>40</v>
      </c>
      <c r="B35" t="s">
        <v>598</v>
      </c>
      <c r="C35" t="s">
        <v>3235</v>
      </c>
      <c r="D35">
        <v>21</v>
      </c>
    </row>
    <row r="36" spans="1:4" x14ac:dyDescent="0.25">
      <c r="A36" t="s">
        <v>40</v>
      </c>
      <c r="B36" t="s">
        <v>704</v>
      </c>
      <c r="C36" t="s">
        <v>3160</v>
      </c>
      <c r="D36">
        <v>23</v>
      </c>
    </row>
    <row r="37" spans="1:4" x14ac:dyDescent="0.25">
      <c r="A37" t="s">
        <v>40</v>
      </c>
      <c r="B37" t="s">
        <v>631</v>
      </c>
      <c r="C37" t="s">
        <v>3161</v>
      </c>
      <c r="D37">
        <v>25</v>
      </c>
    </row>
    <row r="38" spans="1:4" x14ac:dyDescent="0.25">
      <c r="A38" t="s">
        <v>40</v>
      </c>
      <c r="B38" t="s">
        <v>1312</v>
      </c>
      <c r="C38" t="s">
        <v>3162</v>
      </c>
      <c r="D38">
        <v>23</v>
      </c>
    </row>
    <row r="39" spans="1:4" x14ac:dyDescent="0.25">
      <c r="A39" t="s">
        <v>40</v>
      </c>
      <c r="B39" t="s">
        <v>529</v>
      </c>
      <c r="C39" t="s">
        <v>1044</v>
      </c>
      <c r="D39">
        <v>24</v>
      </c>
    </row>
    <row r="40" spans="1:4" x14ac:dyDescent="0.25">
      <c r="A40" t="s">
        <v>40</v>
      </c>
      <c r="B40" t="s">
        <v>529</v>
      </c>
      <c r="C40" t="s">
        <v>4388</v>
      </c>
      <c r="D40">
        <v>25</v>
      </c>
    </row>
    <row r="41" spans="1:4" x14ac:dyDescent="0.25">
      <c r="A41" t="s">
        <v>40</v>
      </c>
      <c r="B41" t="s">
        <v>1484</v>
      </c>
      <c r="C41" t="s">
        <v>4389</v>
      </c>
      <c r="D41">
        <v>23</v>
      </c>
    </row>
    <row r="42" spans="1:4" x14ac:dyDescent="0.25">
      <c r="A42" t="s">
        <v>40</v>
      </c>
      <c r="B42" t="s">
        <v>1437</v>
      </c>
      <c r="C42" t="s">
        <v>1302</v>
      </c>
      <c r="D42">
        <v>25</v>
      </c>
    </row>
    <row r="43" spans="1:4" x14ac:dyDescent="0.25">
      <c r="A43" t="s">
        <v>40</v>
      </c>
      <c r="B43" t="s">
        <v>900</v>
      </c>
      <c r="C43" t="s">
        <v>4390</v>
      </c>
      <c r="D43">
        <v>24</v>
      </c>
    </row>
    <row r="44" spans="1:4" x14ac:dyDescent="0.25">
      <c r="A44" t="s">
        <v>40</v>
      </c>
      <c r="B44" t="s">
        <v>481</v>
      </c>
      <c r="C44" t="s">
        <v>3397</v>
      </c>
      <c r="D44">
        <v>22</v>
      </c>
    </row>
    <row r="45" spans="1:4" x14ac:dyDescent="0.25">
      <c r="A45" t="s">
        <v>40</v>
      </c>
      <c r="B45" t="s">
        <v>681</v>
      </c>
      <c r="C45" t="s">
        <v>4391</v>
      </c>
      <c r="D45">
        <v>24</v>
      </c>
    </row>
    <row r="46" spans="1:4" x14ac:dyDescent="0.25">
      <c r="A46" t="s">
        <v>40</v>
      </c>
      <c r="B46" t="s">
        <v>770</v>
      </c>
      <c r="C46" t="s">
        <v>2662</v>
      </c>
      <c r="D46">
        <v>21</v>
      </c>
    </row>
    <row r="47" spans="1:4" x14ac:dyDescent="0.25">
      <c r="A47" t="s">
        <v>40</v>
      </c>
      <c r="B47" t="s">
        <v>817</v>
      </c>
      <c r="C47" t="s">
        <v>3239</v>
      </c>
      <c r="D47">
        <v>22</v>
      </c>
    </row>
    <row r="48" spans="1:4" x14ac:dyDescent="0.25">
      <c r="A48" t="s">
        <v>80</v>
      </c>
      <c r="B48" t="s">
        <v>714</v>
      </c>
      <c r="C48" t="s">
        <v>2066</v>
      </c>
      <c r="D48">
        <v>20</v>
      </c>
    </row>
    <row r="49" spans="1:4" x14ac:dyDescent="0.25">
      <c r="A49" t="s">
        <v>80</v>
      </c>
      <c r="B49" t="s">
        <v>1929</v>
      </c>
      <c r="C49" t="s">
        <v>3377</v>
      </c>
      <c r="D49">
        <v>21</v>
      </c>
    </row>
    <row r="50" spans="1:4" x14ac:dyDescent="0.25">
      <c r="A50" t="s">
        <v>80</v>
      </c>
      <c r="B50" t="s">
        <v>1929</v>
      </c>
      <c r="C50" t="s">
        <v>3170</v>
      </c>
      <c r="D50">
        <v>22</v>
      </c>
    </row>
    <row r="51" spans="1:4" x14ac:dyDescent="0.25">
      <c r="A51" t="s">
        <v>80</v>
      </c>
      <c r="B51" t="s">
        <v>757</v>
      </c>
      <c r="C51" t="s">
        <v>2069</v>
      </c>
      <c r="D51">
        <v>20</v>
      </c>
    </row>
    <row r="52" spans="1:4" x14ac:dyDescent="0.25">
      <c r="A52" t="s">
        <v>80</v>
      </c>
      <c r="B52" t="s">
        <v>1849</v>
      </c>
      <c r="C52" t="s">
        <v>4392</v>
      </c>
      <c r="D52">
        <v>17</v>
      </c>
    </row>
    <row r="53" spans="1:4" x14ac:dyDescent="0.25">
      <c r="A53" t="s">
        <v>80</v>
      </c>
      <c r="B53" t="s">
        <v>1849</v>
      </c>
      <c r="C53" t="s">
        <v>1950</v>
      </c>
      <c r="D53">
        <v>16</v>
      </c>
    </row>
    <row r="54" spans="1:4" x14ac:dyDescent="0.25">
      <c r="A54" t="s">
        <v>80</v>
      </c>
      <c r="B54" t="s">
        <v>355</v>
      </c>
      <c r="C54" t="s">
        <v>3996</v>
      </c>
      <c r="D54">
        <v>14</v>
      </c>
    </row>
    <row r="55" spans="1:4" x14ac:dyDescent="0.25">
      <c r="A55" t="s">
        <v>80</v>
      </c>
      <c r="B55" t="s">
        <v>912</v>
      </c>
      <c r="C55" t="s">
        <v>2936</v>
      </c>
      <c r="D55">
        <v>12</v>
      </c>
    </row>
    <row r="56" spans="1:4" x14ac:dyDescent="0.25">
      <c r="A56" t="s">
        <v>80</v>
      </c>
      <c r="B56" t="s">
        <v>1453</v>
      </c>
      <c r="C56" t="s">
        <v>3451</v>
      </c>
      <c r="D56">
        <v>14</v>
      </c>
    </row>
    <row r="57" spans="1:4" x14ac:dyDescent="0.25">
      <c r="A57" t="s">
        <v>80</v>
      </c>
      <c r="B57" t="s">
        <v>2842</v>
      </c>
      <c r="C57" t="s">
        <v>3018</v>
      </c>
      <c r="D57">
        <v>11</v>
      </c>
    </row>
    <row r="58" spans="1:4" x14ac:dyDescent="0.25">
      <c r="A58" t="s">
        <v>80</v>
      </c>
      <c r="B58" t="s">
        <v>1227</v>
      </c>
      <c r="C58" t="s">
        <v>2791</v>
      </c>
      <c r="D58">
        <v>14</v>
      </c>
    </row>
    <row r="59" spans="1:4" x14ac:dyDescent="0.25">
      <c r="A59" t="s">
        <v>80</v>
      </c>
      <c r="B59" t="s">
        <v>1598</v>
      </c>
      <c r="C59" t="s">
        <v>3134</v>
      </c>
      <c r="D59">
        <v>16</v>
      </c>
    </row>
    <row r="60" spans="1:4" x14ac:dyDescent="0.25">
      <c r="A60" t="s">
        <v>80</v>
      </c>
      <c r="B60" t="s">
        <v>1598</v>
      </c>
      <c r="C60" t="s">
        <v>968</v>
      </c>
      <c r="D60">
        <v>17</v>
      </c>
    </row>
    <row r="61" spans="1:4" x14ac:dyDescent="0.25">
      <c r="A61" t="s">
        <v>80</v>
      </c>
      <c r="B61" t="s">
        <v>874</v>
      </c>
      <c r="C61" t="s">
        <v>4144</v>
      </c>
      <c r="D61">
        <v>15</v>
      </c>
    </row>
    <row r="62" spans="1:4" x14ac:dyDescent="0.25">
      <c r="A62" t="s">
        <v>80</v>
      </c>
      <c r="B62" t="s">
        <v>1795</v>
      </c>
      <c r="C62" t="s">
        <v>2793</v>
      </c>
      <c r="D62">
        <v>14</v>
      </c>
    </row>
    <row r="63" spans="1:4" x14ac:dyDescent="0.25">
      <c r="A63" t="s">
        <v>80</v>
      </c>
      <c r="B63" t="s">
        <v>764</v>
      </c>
      <c r="C63" t="s">
        <v>2670</v>
      </c>
      <c r="D63">
        <v>15</v>
      </c>
    </row>
    <row r="64" spans="1:4" x14ac:dyDescent="0.25">
      <c r="A64" t="s">
        <v>80</v>
      </c>
      <c r="B64" t="s">
        <v>192</v>
      </c>
      <c r="C64" t="s">
        <v>4072</v>
      </c>
      <c r="D64">
        <v>17</v>
      </c>
    </row>
    <row r="65" spans="1:4" x14ac:dyDescent="0.25">
      <c r="A65" t="s">
        <v>80</v>
      </c>
      <c r="B65" t="s">
        <v>1517</v>
      </c>
      <c r="C65" t="s">
        <v>2795</v>
      </c>
      <c r="D65">
        <v>15</v>
      </c>
    </row>
    <row r="66" spans="1:4" x14ac:dyDescent="0.25">
      <c r="A66" t="s">
        <v>80</v>
      </c>
      <c r="B66" t="s">
        <v>1517</v>
      </c>
      <c r="C66" t="s">
        <v>3665</v>
      </c>
      <c r="D66">
        <v>14</v>
      </c>
    </row>
    <row r="67" spans="1:4" x14ac:dyDescent="0.25">
      <c r="A67" t="s">
        <v>80</v>
      </c>
      <c r="B67" t="s">
        <v>288</v>
      </c>
      <c r="C67" t="s">
        <v>3348</v>
      </c>
      <c r="D67">
        <v>17</v>
      </c>
    </row>
    <row r="68" spans="1:4" x14ac:dyDescent="0.25">
      <c r="A68" t="s">
        <v>80</v>
      </c>
      <c r="B68" t="s">
        <v>1376</v>
      </c>
      <c r="C68" t="s">
        <v>3349</v>
      </c>
      <c r="D68">
        <v>15</v>
      </c>
    </row>
    <row r="69" spans="1:4" x14ac:dyDescent="0.25">
      <c r="A69" t="s">
        <v>80</v>
      </c>
      <c r="B69" t="s">
        <v>1127</v>
      </c>
      <c r="C69" t="s">
        <v>2944</v>
      </c>
      <c r="D69">
        <v>17</v>
      </c>
    </row>
    <row r="70" spans="1:4" x14ac:dyDescent="0.25">
      <c r="A70" t="s">
        <v>80</v>
      </c>
      <c r="B70" t="s">
        <v>267</v>
      </c>
      <c r="C70" t="s">
        <v>2379</v>
      </c>
      <c r="D70">
        <v>14</v>
      </c>
    </row>
    <row r="71" spans="1:4" x14ac:dyDescent="0.25">
      <c r="A71" t="s">
        <v>80</v>
      </c>
      <c r="B71" t="s">
        <v>788</v>
      </c>
      <c r="C71" t="s">
        <v>3185</v>
      </c>
      <c r="D71">
        <v>15</v>
      </c>
    </row>
    <row r="72" spans="1:4" x14ac:dyDescent="0.25">
      <c r="A72" t="s">
        <v>80</v>
      </c>
      <c r="B72" t="s">
        <v>389</v>
      </c>
      <c r="C72" t="s">
        <v>1473</v>
      </c>
      <c r="D72">
        <v>13</v>
      </c>
    </row>
    <row r="73" spans="1:4" x14ac:dyDescent="0.25">
      <c r="A73" t="s">
        <v>80</v>
      </c>
      <c r="B73" t="s">
        <v>1622</v>
      </c>
      <c r="C73" t="s">
        <v>3443</v>
      </c>
      <c r="D73">
        <v>12</v>
      </c>
    </row>
    <row r="74" spans="1:4" x14ac:dyDescent="0.25">
      <c r="A74" t="s">
        <v>80</v>
      </c>
      <c r="B74" t="s">
        <v>1622</v>
      </c>
      <c r="C74" t="s">
        <v>2187</v>
      </c>
      <c r="D74">
        <v>11</v>
      </c>
    </row>
    <row r="75" spans="1:4" x14ac:dyDescent="0.25">
      <c r="A75" t="s">
        <v>80</v>
      </c>
      <c r="B75" t="s">
        <v>74</v>
      </c>
      <c r="C75" t="s">
        <v>2188</v>
      </c>
      <c r="D75">
        <v>12</v>
      </c>
    </row>
    <row r="76" spans="1:4" x14ac:dyDescent="0.25">
      <c r="A76" t="s">
        <v>80</v>
      </c>
      <c r="B76" t="s">
        <v>74</v>
      </c>
      <c r="C76" t="s">
        <v>2189</v>
      </c>
      <c r="D76">
        <v>13</v>
      </c>
    </row>
    <row r="77" spans="1:4" x14ac:dyDescent="0.25">
      <c r="A77" t="s">
        <v>80</v>
      </c>
      <c r="B77" t="s">
        <v>1568</v>
      </c>
      <c r="C77" t="s">
        <v>1478</v>
      </c>
      <c r="D77">
        <v>15</v>
      </c>
    </row>
    <row r="78" spans="1:4" x14ac:dyDescent="0.25">
      <c r="A78" t="s">
        <v>80</v>
      </c>
      <c r="B78" t="s">
        <v>817</v>
      </c>
      <c r="C78" t="s">
        <v>3021</v>
      </c>
      <c r="D78">
        <v>12</v>
      </c>
    </row>
    <row r="79" spans="1:4" x14ac:dyDescent="0.25">
      <c r="A79" t="s">
        <v>123</v>
      </c>
      <c r="B79" t="s">
        <v>795</v>
      </c>
      <c r="C79" t="s">
        <v>2192</v>
      </c>
      <c r="D79">
        <v>13</v>
      </c>
    </row>
    <row r="80" spans="1:4" x14ac:dyDescent="0.25">
      <c r="A80" t="s">
        <v>123</v>
      </c>
      <c r="B80" t="s">
        <v>795</v>
      </c>
      <c r="C80" t="s">
        <v>3943</v>
      </c>
      <c r="D80">
        <v>14</v>
      </c>
    </row>
    <row r="81" spans="1:4" x14ac:dyDescent="0.25">
      <c r="A81" t="s">
        <v>123</v>
      </c>
      <c r="B81" t="s">
        <v>242</v>
      </c>
      <c r="C81" t="s">
        <v>1480</v>
      </c>
      <c r="D81">
        <v>15</v>
      </c>
    </row>
    <row r="82" spans="1:4" x14ac:dyDescent="0.25">
      <c r="A82" t="s">
        <v>123</v>
      </c>
      <c r="B82" t="s">
        <v>242</v>
      </c>
      <c r="C82" t="s">
        <v>2193</v>
      </c>
      <c r="D82">
        <v>16</v>
      </c>
    </row>
    <row r="83" spans="1:4" x14ac:dyDescent="0.25">
      <c r="A83" t="s">
        <v>123</v>
      </c>
      <c r="B83" t="s">
        <v>45</v>
      </c>
      <c r="C83" t="s">
        <v>4393</v>
      </c>
      <c r="D83">
        <v>14</v>
      </c>
    </row>
    <row r="84" spans="1:4" x14ac:dyDescent="0.25">
      <c r="A84" t="s">
        <v>123</v>
      </c>
      <c r="B84" t="s">
        <v>859</v>
      </c>
      <c r="C84" t="s">
        <v>2194</v>
      </c>
      <c r="D84">
        <v>13</v>
      </c>
    </row>
    <row r="85" spans="1:4" x14ac:dyDescent="0.25">
      <c r="A85" t="s">
        <v>123</v>
      </c>
      <c r="B85" t="s">
        <v>1190</v>
      </c>
      <c r="C85" t="s">
        <v>4394</v>
      </c>
      <c r="D85">
        <v>12</v>
      </c>
    </row>
    <row r="86" spans="1:4" x14ac:dyDescent="0.25">
      <c r="A86" t="s">
        <v>123</v>
      </c>
      <c r="B86" t="s">
        <v>1190</v>
      </c>
      <c r="C86" t="s">
        <v>2195</v>
      </c>
      <c r="D86">
        <v>11</v>
      </c>
    </row>
    <row r="87" spans="1:4" x14ac:dyDescent="0.25">
      <c r="A87" t="s">
        <v>123</v>
      </c>
      <c r="B87" t="s">
        <v>1493</v>
      </c>
      <c r="C87" t="s">
        <v>423</v>
      </c>
      <c r="D87">
        <v>9</v>
      </c>
    </row>
    <row r="88" spans="1:4" x14ac:dyDescent="0.25">
      <c r="A88" t="s">
        <v>123</v>
      </c>
      <c r="B88" t="s">
        <v>184</v>
      </c>
      <c r="C88" t="s">
        <v>424</v>
      </c>
      <c r="D88">
        <v>10</v>
      </c>
    </row>
    <row r="89" spans="1:4" x14ac:dyDescent="0.25">
      <c r="A89" t="s">
        <v>123</v>
      </c>
      <c r="B89" t="s">
        <v>2032</v>
      </c>
      <c r="C89" t="s">
        <v>4341</v>
      </c>
      <c r="D89">
        <v>8</v>
      </c>
    </row>
    <row r="90" spans="1:4" x14ac:dyDescent="0.25">
      <c r="A90" t="s">
        <v>123</v>
      </c>
      <c r="B90" t="s">
        <v>284</v>
      </c>
      <c r="C90" t="s">
        <v>4342</v>
      </c>
      <c r="D90">
        <v>10</v>
      </c>
    </row>
    <row r="91" spans="1:4" x14ac:dyDescent="0.25">
      <c r="A91" t="s">
        <v>123</v>
      </c>
      <c r="B91" t="s">
        <v>663</v>
      </c>
      <c r="C91" t="s">
        <v>679</v>
      </c>
      <c r="D91">
        <v>8</v>
      </c>
    </row>
    <row r="92" spans="1:4" x14ac:dyDescent="0.25">
      <c r="A92" t="s">
        <v>123</v>
      </c>
      <c r="B92" t="s">
        <v>1503</v>
      </c>
      <c r="C92" t="s">
        <v>2197</v>
      </c>
      <c r="D92">
        <v>10</v>
      </c>
    </row>
    <row r="93" spans="1:4" x14ac:dyDescent="0.25">
      <c r="A93" t="s">
        <v>123</v>
      </c>
      <c r="B93" t="s">
        <v>766</v>
      </c>
      <c r="C93" t="s">
        <v>1856</v>
      </c>
      <c r="D93">
        <v>7</v>
      </c>
    </row>
    <row r="94" spans="1:4" x14ac:dyDescent="0.25">
      <c r="A94" t="s">
        <v>123</v>
      </c>
      <c r="B94" t="s">
        <v>1640</v>
      </c>
      <c r="C94" t="s">
        <v>3075</v>
      </c>
      <c r="D94">
        <v>4</v>
      </c>
    </row>
    <row r="95" spans="1:4" x14ac:dyDescent="0.25">
      <c r="A95" t="s">
        <v>123</v>
      </c>
      <c r="B95" t="s">
        <v>671</v>
      </c>
      <c r="C95" t="s">
        <v>4269</v>
      </c>
      <c r="D95">
        <v>5</v>
      </c>
    </row>
    <row r="96" spans="1:4" x14ac:dyDescent="0.25">
      <c r="A96" t="s">
        <v>123</v>
      </c>
      <c r="B96" t="s">
        <v>671</v>
      </c>
      <c r="C96" t="s">
        <v>2466</v>
      </c>
      <c r="D96">
        <v>6</v>
      </c>
    </row>
    <row r="97" spans="1:4" x14ac:dyDescent="0.25">
      <c r="A97" t="s">
        <v>123</v>
      </c>
      <c r="B97" t="s">
        <v>31</v>
      </c>
      <c r="C97" t="s">
        <v>1859</v>
      </c>
      <c r="D97">
        <v>8</v>
      </c>
    </row>
    <row r="98" spans="1:4" x14ac:dyDescent="0.25">
      <c r="A98" t="s">
        <v>123</v>
      </c>
      <c r="B98" t="s">
        <v>344</v>
      </c>
      <c r="C98" t="s">
        <v>4395</v>
      </c>
      <c r="D98">
        <v>9</v>
      </c>
    </row>
    <row r="99" spans="1:4" x14ac:dyDescent="0.25">
      <c r="A99" t="s">
        <v>123</v>
      </c>
      <c r="B99" t="s">
        <v>344</v>
      </c>
      <c r="C99" t="s">
        <v>1860</v>
      </c>
      <c r="D99">
        <v>10</v>
      </c>
    </row>
    <row r="100" spans="1:4" x14ac:dyDescent="0.25">
      <c r="A100" t="s">
        <v>123</v>
      </c>
      <c r="B100" t="s">
        <v>296</v>
      </c>
      <c r="C100" t="s">
        <v>1861</v>
      </c>
      <c r="D100">
        <v>8</v>
      </c>
    </row>
    <row r="101" spans="1:4" x14ac:dyDescent="0.25">
      <c r="A101" t="s">
        <v>123</v>
      </c>
      <c r="B101" t="s">
        <v>76</v>
      </c>
      <c r="C101" t="s">
        <v>1863</v>
      </c>
      <c r="D101">
        <v>10</v>
      </c>
    </row>
    <row r="102" spans="1:4" x14ac:dyDescent="0.25">
      <c r="A102" t="s">
        <v>123</v>
      </c>
      <c r="B102" t="s">
        <v>422</v>
      </c>
      <c r="C102" t="s">
        <v>1864</v>
      </c>
      <c r="D102">
        <v>8</v>
      </c>
    </row>
    <row r="103" spans="1:4" x14ac:dyDescent="0.25">
      <c r="A103" t="s">
        <v>123</v>
      </c>
      <c r="B103" t="s">
        <v>1002</v>
      </c>
      <c r="C103" t="s">
        <v>4396</v>
      </c>
      <c r="D103">
        <v>6</v>
      </c>
    </row>
    <row r="105" spans="1:4" x14ac:dyDescent="0.25">
      <c r="A105" s="2" t="s">
        <v>157</v>
      </c>
    </row>
    <row r="106" spans="1:4" x14ac:dyDescent="0.25">
      <c r="A106" t="s">
        <v>158</v>
      </c>
      <c r="D106">
        <f>AVERAGE(D2:D103)</f>
        <v>12.598039215686274</v>
      </c>
    </row>
    <row r="107" spans="1:4" x14ac:dyDescent="0.25">
      <c r="A107" t="s">
        <v>159</v>
      </c>
      <c r="D107">
        <f>MAX(D2:D103)</f>
        <v>25</v>
      </c>
    </row>
    <row r="108" spans="1:4" x14ac:dyDescent="0.25">
      <c r="A108" t="s">
        <v>160</v>
      </c>
      <c r="D108">
        <f>MIN(D2:D103)</f>
        <v>-3</v>
      </c>
    </row>
    <row r="109" spans="1:4" x14ac:dyDescent="0.25">
      <c r="A109" t="s">
        <v>161</v>
      </c>
      <c r="D109">
        <f>COUNTIF(D2:D103,"&gt;0")</f>
        <v>98</v>
      </c>
    </row>
    <row r="110" spans="1:4" x14ac:dyDescent="0.25">
      <c r="A110" t="s">
        <v>162</v>
      </c>
      <c r="D110">
        <f>COUNTIF(D2:D103,"=0")</f>
        <v>2</v>
      </c>
    </row>
    <row r="111" spans="1:4" x14ac:dyDescent="0.25">
      <c r="A111" t="s">
        <v>1689</v>
      </c>
      <c r="D111">
        <f>COUNTIF(D2:D103,"&lt;0")</f>
        <v>2</v>
      </c>
    </row>
    <row r="113" spans="1:4" x14ac:dyDescent="0.25">
      <c r="A113" s="2" t="s">
        <v>164</v>
      </c>
    </row>
    <row r="114" spans="1:4" x14ac:dyDescent="0.25">
      <c r="A114" t="s">
        <v>165</v>
      </c>
      <c r="D114">
        <f>AVERAGE(D2,D3,D4,D5,D6,D7,D8,D9,D10,D11,D12,D13,D14,D15,D16,D17,D18,D19,D20,D21)</f>
        <v>3.2</v>
      </c>
    </row>
    <row r="115" spans="1:4" x14ac:dyDescent="0.25">
      <c r="A115" t="s">
        <v>166</v>
      </c>
      <c r="D115">
        <f>AVERAGE(D22,D23,D24,D25,D26,D27,D28,D29,D30,D31,D32,D33,D34,D35,D36,D37,D38,D39,D40,D41,D42,D43,D44,D45,D46,D47)</f>
        <v>19.5</v>
      </c>
    </row>
    <row r="116" spans="1:4" x14ac:dyDescent="0.25">
      <c r="A116" t="s">
        <v>167</v>
      </c>
      <c r="D116">
        <f>AVERAGE(D48,D49,D50,D51,D52,D53,D54,D55,D56,D57,D58,D59,D60,D61,D62,D63,D64,D65,D66,D67,D68,D69,D70,D71,D72,D73,D74,D75,D76,D77,D78)</f>
        <v>15.161290322580646</v>
      </c>
    </row>
    <row r="117" spans="1:4" x14ac:dyDescent="0.25">
      <c r="A117" t="s">
        <v>168</v>
      </c>
      <c r="D117">
        <f>AVERAGE(D79,D80,D81,D82,D83,D84,D85,D86,D87,D88,D89,D90,D91,D92,D93,D94,D95,D96,D97,D98,D99,D100,D101,D102,D103)</f>
        <v>9.76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719</v>
      </c>
      <c r="C2" t="s">
        <v>6</v>
      </c>
      <c r="D2">
        <v>2</v>
      </c>
    </row>
    <row r="3" spans="1:4" x14ac:dyDescent="0.25">
      <c r="A3" t="s">
        <v>4</v>
      </c>
      <c r="B3" t="s">
        <v>954</v>
      </c>
      <c r="C3" t="s">
        <v>1572</v>
      </c>
      <c r="D3">
        <v>5</v>
      </c>
    </row>
    <row r="4" spans="1:4" x14ac:dyDescent="0.25">
      <c r="A4" t="s">
        <v>4</v>
      </c>
      <c r="B4" t="s">
        <v>132</v>
      </c>
      <c r="C4" t="s">
        <v>2643</v>
      </c>
      <c r="D4">
        <v>7</v>
      </c>
    </row>
    <row r="5" spans="1:4" x14ac:dyDescent="0.25">
      <c r="A5" t="s">
        <v>4</v>
      </c>
      <c r="B5" t="s">
        <v>1146</v>
      </c>
      <c r="C5" t="s">
        <v>3269</v>
      </c>
      <c r="D5">
        <v>6</v>
      </c>
    </row>
    <row r="6" spans="1:4" x14ac:dyDescent="0.25">
      <c r="A6" t="s">
        <v>4</v>
      </c>
      <c r="B6" t="s">
        <v>2510</v>
      </c>
      <c r="C6" t="s">
        <v>430</v>
      </c>
      <c r="D6">
        <v>4</v>
      </c>
    </row>
    <row r="7" spans="1:4" x14ac:dyDescent="0.25">
      <c r="A7" t="s">
        <v>4</v>
      </c>
      <c r="B7" t="s">
        <v>335</v>
      </c>
      <c r="C7" t="s">
        <v>780</v>
      </c>
      <c r="D7">
        <v>6</v>
      </c>
    </row>
    <row r="8" spans="1:4" x14ac:dyDescent="0.25">
      <c r="A8" t="s">
        <v>4</v>
      </c>
      <c r="B8" t="s">
        <v>1817</v>
      </c>
      <c r="C8" t="s">
        <v>2999</v>
      </c>
      <c r="D8">
        <v>8</v>
      </c>
    </row>
    <row r="9" spans="1:4" x14ac:dyDescent="0.25">
      <c r="A9" t="s">
        <v>4</v>
      </c>
      <c r="B9" t="s">
        <v>219</v>
      </c>
      <c r="C9" t="s">
        <v>2594</v>
      </c>
      <c r="D9">
        <v>6</v>
      </c>
    </row>
    <row r="10" spans="1:4" x14ac:dyDescent="0.25">
      <c r="A10" t="s">
        <v>4</v>
      </c>
      <c r="B10" t="s">
        <v>2250</v>
      </c>
      <c r="C10" t="s">
        <v>1352</v>
      </c>
      <c r="D10">
        <v>4</v>
      </c>
    </row>
    <row r="11" spans="1:4" x14ac:dyDescent="0.25">
      <c r="A11" t="s">
        <v>4</v>
      </c>
      <c r="B11" t="s">
        <v>577</v>
      </c>
      <c r="C11" t="s">
        <v>784</v>
      </c>
      <c r="D11">
        <v>5</v>
      </c>
    </row>
    <row r="12" spans="1:4" x14ac:dyDescent="0.25">
      <c r="A12" t="s">
        <v>4</v>
      </c>
      <c r="B12" t="s">
        <v>577</v>
      </c>
      <c r="C12" t="s">
        <v>2647</v>
      </c>
      <c r="D12">
        <v>6</v>
      </c>
    </row>
    <row r="13" spans="1:4" x14ac:dyDescent="0.25">
      <c r="A13" t="s">
        <v>4</v>
      </c>
      <c r="B13" t="s">
        <v>1200</v>
      </c>
      <c r="C13" t="s">
        <v>1197</v>
      </c>
      <c r="D13">
        <v>9</v>
      </c>
    </row>
    <row r="14" spans="1:4" x14ac:dyDescent="0.25">
      <c r="A14" t="s">
        <v>4</v>
      </c>
      <c r="B14" t="s">
        <v>813</v>
      </c>
      <c r="C14" t="s">
        <v>191</v>
      </c>
      <c r="D14">
        <v>8</v>
      </c>
    </row>
    <row r="15" spans="1:4" x14ac:dyDescent="0.25">
      <c r="A15" t="s">
        <v>4</v>
      </c>
      <c r="B15" t="s">
        <v>813</v>
      </c>
      <c r="C15" t="s">
        <v>3195</v>
      </c>
      <c r="D15">
        <v>7</v>
      </c>
    </row>
    <row r="16" spans="1:4" x14ac:dyDescent="0.25">
      <c r="A16" t="s">
        <v>4</v>
      </c>
      <c r="B16" t="s">
        <v>1640</v>
      </c>
      <c r="C16" t="s">
        <v>194</v>
      </c>
      <c r="D16">
        <v>9</v>
      </c>
    </row>
    <row r="17" spans="1:4" x14ac:dyDescent="0.25">
      <c r="A17" t="s">
        <v>4</v>
      </c>
      <c r="B17" t="s">
        <v>2363</v>
      </c>
      <c r="C17" t="s">
        <v>787</v>
      </c>
      <c r="D17">
        <v>7</v>
      </c>
    </row>
    <row r="18" spans="1:4" x14ac:dyDescent="0.25">
      <c r="A18" t="s">
        <v>4</v>
      </c>
      <c r="B18" t="s">
        <v>392</v>
      </c>
      <c r="C18" t="s">
        <v>2874</v>
      </c>
      <c r="D18">
        <v>4</v>
      </c>
    </row>
    <row r="19" spans="1:4" x14ac:dyDescent="0.25">
      <c r="A19" t="s">
        <v>4</v>
      </c>
      <c r="B19" t="s">
        <v>1050</v>
      </c>
      <c r="C19" t="s">
        <v>2539</v>
      </c>
      <c r="D19">
        <v>6</v>
      </c>
    </row>
    <row r="20" spans="1:4" x14ac:dyDescent="0.25">
      <c r="A20" t="s">
        <v>4</v>
      </c>
      <c r="B20" t="s">
        <v>972</v>
      </c>
      <c r="C20" t="s">
        <v>3388</v>
      </c>
      <c r="D20">
        <v>8</v>
      </c>
    </row>
    <row r="21" spans="1:4" x14ac:dyDescent="0.25">
      <c r="A21" t="s">
        <v>40</v>
      </c>
      <c r="B21" t="s">
        <v>41</v>
      </c>
      <c r="C21" t="s">
        <v>1361</v>
      </c>
      <c r="D21">
        <v>11</v>
      </c>
    </row>
    <row r="22" spans="1:4" x14ac:dyDescent="0.25">
      <c r="A22" t="s">
        <v>40</v>
      </c>
      <c r="B22" t="s">
        <v>355</v>
      </c>
      <c r="C22" t="s">
        <v>4076</v>
      </c>
      <c r="D22">
        <v>9</v>
      </c>
    </row>
    <row r="23" spans="1:4" x14ac:dyDescent="0.25">
      <c r="A23" t="s">
        <v>40</v>
      </c>
      <c r="B23" t="s">
        <v>1280</v>
      </c>
      <c r="C23" t="s">
        <v>3447</v>
      </c>
      <c r="D23">
        <v>11</v>
      </c>
    </row>
    <row r="24" spans="1:4" x14ac:dyDescent="0.25">
      <c r="A24" t="s">
        <v>40</v>
      </c>
      <c r="B24" t="s">
        <v>56</v>
      </c>
      <c r="C24" t="s">
        <v>3448</v>
      </c>
      <c r="D24">
        <v>13</v>
      </c>
    </row>
    <row r="25" spans="1:4" x14ac:dyDescent="0.25">
      <c r="A25" t="s">
        <v>40</v>
      </c>
      <c r="B25" t="s">
        <v>335</v>
      </c>
      <c r="C25" t="s">
        <v>3390</v>
      </c>
      <c r="D25">
        <v>12</v>
      </c>
    </row>
    <row r="26" spans="1:4" x14ac:dyDescent="0.25">
      <c r="A26" t="s">
        <v>40</v>
      </c>
      <c r="B26" t="s">
        <v>726</v>
      </c>
      <c r="C26" t="s">
        <v>2927</v>
      </c>
      <c r="D26">
        <v>10</v>
      </c>
    </row>
    <row r="27" spans="1:4" x14ac:dyDescent="0.25">
      <c r="A27" t="s">
        <v>40</v>
      </c>
      <c r="B27" t="s">
        <v>19</v>
      </c>
      <c r="C27" t="s">
        <v>2928</v>
      </c>
      <c r="D27">
        <v>12</v>
      </c>
    </row>
    <row r="28" spans="1:4" x14ac:dyDescent="0.25">
      <c r="A28" t="s">
        <v>40</v>
      </c>
      <c r="B28" t="s">
        <v>21</v>
      </c>
      <c r="C28" t="s">
        <v>3005</v>
      </c>
      <c r="D28">
        <v>14</v>
      </c>
    </row>
    <row r="29" spans="1:4" x14ac:dyDescent="0.25">
      <c r="A29" t="s">
        <v>40</v>
      </c>
      <c r="B29" t="s">
        <v>192</v>
      </c>
      <c r="C29" t="s">
        <v>1933</v>
      </c>
      <c r="D29">
        <v>12</v>
      </c>
    </row>
    <row r="30" spans="1:4" x14ac:dyDescent="0.25">
      <c r="A30" t="s">
        <v>40</v>
      </c>
      <c r="B30" t="s">
        <v>503</v>
      </c>
      <c r="C30" t="s">
        <v>3196</v>
      </c>
      <c r="D30">
        <v>13</v>
      </c>
    </row>
    <row r="31" spans="1:4" x14ac:dyDescent="0.25">
      <c r="A31" t="s">
        <v>40</v>
      </c>
      <c r="B31" t="s">
        <v>503</v>
      </c>
      <c r="C31" t="s">
        <v>3006</v>
      </c>
      <c r="D31">
        <v>14</v>
      </c>
    </row>
    <row r="32" spans="1:4" x14ac:dyDescent="0.25">
      <c r="A32" t="s">
        <v>40</v>
      </c>
      <c r="B32" t="s">
        <v>671</v>
      </c>
      <c r="C32" t="s">
        <v>3008</v>
      </c>
      <c r="D32">
        <v>11</v>
      </c>
    </row>
    <row r="33" spans="1:4" x14ac:dyDescent="0.25">
      <c r="A33" t="s">
        <v>40</v>
      </c>
      <c r="B33" t="s">
        <v>31</v>
      </c>
      <c r="C33" t="s">
        <v>4088</v>
      </c>
      <c r="D33">
        <v>14</v>
      </c>
    </row>
    <row r="34" spans="1:4" x14ac:dyDescent="0.25">
      <c r="A34" t="s">
        <v>40</v>
      </c>
      <c r="B34" t="s">
        <v>634</v>
      </c>
      <c r="C34" t="s">
        <v>3197</v>
      </c>
      <c r="D34">
        <v>13</v>
      </c>
    </row>
    <row r="35" spans="1:4" x14ac:dyDescent="0.25">
      <c r="A35" t="s">
        <v>40</v>
      </c>
      <c r="B35" t="s">
        <v>634</v>
      </c>
      <c r="C35" t="s">
        <v>2543</v>
      </c>
      <c r="D35">
        <v>12</v>
      </c>
    </row>
    <row r="36" spans="1:4" x14ac:dyDescent="0.25">
      <c r="A36" t="s">
        <v>40</v>
      </c>
      <c r="B36" t="s">
        <v>1733</v>
      </c>
      <c r="C36" t="s">
        <v>3434</v>
      </c>
      <c r="D36">
        <v>13</v>
      </c>
    </row>
    <row r="37" spans="1:4" x14ac:dyDescent="0.25">
      <c r="A37" t="s">
        <v>40</v>
      </c>
      <c r="B37" t="s">
        <v>1733</v>
      </c>
      <c r="C37" t="s">
        <v>2654</v>
      </c>
      <c r="D37">
        <v>14</v>
      </c>
    </row>
    <row r="38" spans="1:4" x14ac:dyDescent="0.25">
      <c r="A38" t="s">
        <v>40</v>
      </c>
      <c r="B38" t="s">
        <v>1733</v>
      </c>
      <c r="C38" t="s">
        <v>3449</v>
      </c>
      <c r="D38">
        <v>15</v>
      </c>
    </row>
    <row r="39" spans="1:4" x14ac:dyDescent="0.25">
      <c r="A39" t="s">
        <v>80</v>
      </c>
      <c r="B39" t="s">
        <v>1022</v>
      </c>
      <c r="C39" t="s">
        <v>2163</v>
      </c>
      <c r="D39">
        <v>12</v>
      </c>
    </row>
    <row r="40" spans="1:4" x14ac:dyDescent="0.25">
      <c r="A40" t="s">
        <v>80</v>
      </c>
      <c r="B40" t="s">
        <v>1543</v>
      </c>
      <c r="C40" t="s">
        <v>2980</v>
      </c>
      <c r="D40">
        <v>9</v>
      </c>
    </row>
    <row r="41" spans="1:4" x14ac:dyDescent="0.25">
      <c r="A41" t="s">
        <v>80</v>
      </c>
      <c r="B41" t="s">
        <v>565</v>
      </c>
      <c r="C41" t="s">
        <v>2910</v>
      </c>
      <c r="D41">
        <v>10</v>
      </c>
    </row>
    <row r="42" spans="1:4" x14ac:dyDescent="0.25">
      <c r="A42" t="s">
        <v>80</v>
      </c>
      <c r="B42" t="s">
        <v>565</v>
      </c>
      <c r="C42" t="s">
        <v>3092</v>
      </c>
      <c r="D42">
        <v>11</v>
      </c>
    </row>
    <row r="43" spans="1:4" x14ac:dyDescent="0.25">
      <c r="A43" t="s">
        <v>80</v>
      </c>
      <c r="B43" t="s">
        <v>305</v>
      </c>
      <c r="C43" t="s">
        <v>2165</v>
      </c>
      <c r="D43">
        <v>8</v>
      </c>
    </row>
    <row r="44" spans="1:4" x14ac:dyDescent="0.25">
      <c r="A44" t="s">
        <v>80</v>
      </c>
      <c r="B44" t="s">
        <v>250</v>
      </c>
      <c r="C44" t="s">
        <v>949</v>
      </c>
      <c r="D44">
        <v>11</v>
      </c>
    </row>
    <row r="45" spans="1:4" x14ac:dyDescent="0.25">
      <c r="A45" t="s">
        <v>80</v>
      </c>
      <c r="B45" t="s">
        <v>914</v>
      </c>
      <c r="C45" t="s">
        <v>2167</v>
      </c>
      <c r="D45">
        <v>9</v>
      </c>
    </row>
    <row r="46" spans="1:4" x14ac:dyDescent="0.25">
      <c r="A46" t="s">
        <v>80</v>
      </c>
      <c r="B46" t="s">
        <v>834</v>
      </c>
      <c r="C46" t="s">
        <v>1454</v>
      </c>
      <c r="D46">
        <v>11</v>
      </c>
    </row>
    <row r="47" spans="1:4" x14ac:dyDescent="0.25">
      <c r="A47" t="s">
        <v>80</v>
      </c>
      <c r="B47" t="s">
        <v>651</v>
      </c>
      <c r="C47" t="s">
        <v>2705</v>
      </c>
      <c r="D47">
        <v>8</v>
      </c>
    </row>
    <row r="48" spans="1:4" x14ac:dyDescent="0.25">
      <c r="A48" t="s">
        <v>80</v>
      </c>
      <c r="B48" t="s">
        <v>368</v>
      </c>
      <c r="C48" t="s">
        <v>4070</v>
      </c>
      <c r="D48">
        <v>10</v>
      </c>
    </row>
    <row r="49" spans="1:4" x14ac:dyDescent="0.25">
      <c r="A49" t="s">
        <v>80</v>
      </c>
      <c r="B49" t="s">
        <v>1817</v>
      </c>
      <c r="C49" t="s">
        <v>2531</v>
      </c>
      <c r="D49">
        <v>7</v>
      </c>
    </row>
    <row r="50" spans="1:4" x14ac:dyDescent="0.25">
      <c r="A50" t="s">
        <v>80</v>
      </c>
      <c r="B50" t="s">
        <v>805</v>
      </c>
      <c r="C50" t="s">
        <v>2600</v>
      </c>
      <c r="D50">
        <v>10</v>
      </c>
    </row>
    <row r="51" spans="1:4" x14ac:dyDescent="0.25">
      <c r="A51" t="s">
        <v>80</v>
      </c>
      <c r="B51" t="s">
        <v>467</v>
      </c>
      <c r="C51" t="s">
        <v>2913</v>
      </c>
      <c r="D51">
        <v>8</v>
      </c>
    </row>
    <row r="52" spans="1:4" x14ac:dyDescent="0.25">
      <c r="A52" t="s">
        <v>80</v>
      </c>
      <c r="B52" t="s">
        <v>1638</v>
      </c>
      <c r="C52" t="s">
        <v>3733</v>
      </c>
      <c r="D52">
        <v>6</v>
      </c>
    </row>
    <row r="53" spans="1:4" x14ac:dyDescent="0.25">
      <c r="A53" t="s">
        <v>80</v>
      </c>
      <c r="B53" t="s">
        <v>472</v>
      </c>
      <c r="C53" t="s">
        <v>2601</v>
      </c>
      <c r="D53">
        <v>9</v>
      </c>
    </row>
    <row r="54" spans="1:4" x14ac:dyDescent="0.25">
      <c r="A54" t="s">
        <v>80</v>
      </c>
      <c r="B54" t="s">
        <v>444</v>
      </c>
      <c r="C54" t="s">
        <v>2550</v>
      </c>
      <c r="D54">
        <v>8</v>
      </c>
    </row>
    <row r="55" spans="1:4" x14ac:dyDescent="0.25">
      <c r="A55" t="s">
        <v>80</v>
      </c>
      <c r="B55" t="s">
        <v>444</v>
      </c>
      <c r="C55" t="s">
        <v>1603</v>
      </c>
      <c r="D55">
        <v>7</v>
      </c>
    </row>
    <row r="56" spans="1:4" x14ac:dyDescent="0.25">
      <c r="A56" t="s">
        <v>80</v>
      </c>
      <c r="B56" t="s">
        <v>1619</v>
      </c>
      <c r="C56" t="s">
        <v>1465</v>
      </c>
      <c r="D56">
        <v>10</v>
      </c>
    </row>
    <row r="57" spans="1:4" x14ac:dyDescent="0.25">
      <c r="A57" t="s">
        <v>80</v>
      </c>
      <c r="B57" t="s">
        <v>788</v>
      </c>
      <c r="C57" t="s">
        <v>2864</v>
      </c>
      <c r="D57">
        <v>11</v>
      </c>
    </row>
    <row r="58" spans="1:4" x14ac:dyDescent="0.25">
      <c r="A58" t="s">
        <v>80</v>
      </c>
      <c r="B58" t="s">
        <v>788</v>
      </c>
      <c r="C58" t="s">
        <v>3066</v>
      </c>
      <c r="D58">
        <v>12</v>
      </c>
    </row>
    <row r="59" spans="1:4" x14ac:dyDescent="0.25">
      <c r="A59" t="s">
        <v>80</v>
      </c>
      <c r="B59" t="s">
        <v>732</v>
      </c>
      <c r="C59" t="s">
        <v>4144</v>
      </c>
      <c r="D59">
        <v>15</v>
      </c>
    </row>
    <row r="60" spans="1:4" x14ac:dyDescent="0.25">
      <c r="A60" t="s">
        <v>80</v>
      </c>
      <c r="B60" t="s">
        <v>1874</v>
      </c>
      <c r="C60" t="s">
        <v>970</v>
      </c>
      <c r="D60">
        <v>17</v>
      </c>
    </row>
    <row r="61" spans="1:4" x14ac:dyDescent="0.25">
      <c r="A61" t="s">
        <v>80</v>
      </c>
      <c r="B61" t="s">
        <v>235</v>
      </c>
      <c r="C61" t="s">
        <v>971</v>
      </c>
      <c r="D61">
        <v>19</v>
      </c>
    </row>
    <row r="62" spans="1:4" x14ac:dyDescent="0.25">
      <c r="A62" t="s">
        <v>123</v>
      </c>
      <c r="B62" t="s">
        <v>2151</v>
      </c>
      <c r="C62" t="s">
        <v>4017</v>
      </c>
      <c r="D62">
        <v>18</v>
      </c>
    </row>
    <row r="63" spans="1:4" x14ac:dyDescent="0.25">
      <c r="A63" t="s">
        <v>123</v>
      </c>
      <c r="B63" t="s">
        <v>565</v>
      </c>
      <c r="C63" t="s">
        <v>3749</v>
      </c>
      <c r="D63">
        <v>20</v>
      </c>
    </row>
    <row r="64" spans="1:4" x14ac:dyDescent="0.25">
      <c r="A64" t="s">
        <v>123</v>
      </c>
      <c r="B64" t="s">
        <v>1027</v>
      </c>
      <c r="C64" t="s">
        <v>4355</v>
      </c>
      <c r="D64">
        <v>18</v>
      </c>
    </row>
    <row r="65" spans="1:4" x14ac:dyDescent="0.25">
      <c r="A65" t="s">
        <v>123</v>
      </c>
      <c r="B65" t="s">
        <v>1573</v>
      </c>
      <c r="C65" t="s">
        <v>2375</v>
      </c>
      <c r="D65">
        <v>20</v>
      </c>
    </row>
    <row r="66" spans="1:4" x14ac:dyDescent="0.25">
      <c r="A66" t="s">
        <v>123</v>
      </c>
      <c r="B66" t="s">
        <v>1246</v>
      </c>
      <c r="C66" t="s">
        <v>3850</v>
      </c>
      <c r="D66">
        <v>21</v>
      </c>
    </row>
    <row r="67" spans="1:4" x14ac:dyDescent="0.25">
      <c r="A67" t="s">
        <v>123</v>
      </c>
      <c r="B67" t="s">
        <v>1246</v>
      </c>
      <c r="C67" t="s">
        <v>3851</v>
      </c>
      <c r="D67">
        <v>22</v>
      </c>
    </row>
    <row r="68" spans="1:4" x14ac:dyDescent="0.25">
      <c r="A68" t="s">
        <v>123</v>
      </c>
      <c r="B68" t="s">
        <v>274</v>
      </c>
      <c r="C68" t="s">
        <v>977</v>
      </c>
      <c r="D68">
        <v>21</v>
      </c>
    </row>
    <row r="69" spans="1:4" x14ac:dyDescent="0.25">
      <c r="A69" t="s">
        <v>123</v>
      </c>
      <c r="B69" t="s">
        <v>1958</v>
      </c>
      <c r="C69" t="s">
        <v>4397</v>
      </c>
      <c r="D69">
        <v>19</v>
      </c>
    </row>
    <row r="70" spans="1:4" x14ac:dyDescent="0.25">
      <c r="A70" t="s">
        <v>123</v>
      </c>
      <c r="B70" t="s">
        <v>648</v>
      </c>
      <c r="C70" t="s">
        <v>4068</v>
      </c>
      <c r="D70">
        <v>20</v>
      </c>
    </row>
    <row r="71" spans="1:4" x14ac:dyDescent="0.25">
      <c r="A71" t="s">
        <v>123</v>
      </c>
      <c r="B71" t="s">
        <v>651</v>
      </c>
      <c r="C71" t="s">
        <v>3383</v>
      </c>
      <c r="D71">
        <v>19</v>
      </c>
    </row>
    <row r="72" spans="1:4" x14ac:dyDescent="0.25">
      <c r="A72" t="s">
        <v>123</v>
      </c>
      <c r="B72" t="s">
        <v>651</v>
      </c>
      <c r="C72" t="s">
        <v>3853</v>
      </c>
      <c r="D72">
        <v>18</v>
      </c>
    </row>
    <row r="73" spans="1:4" x14ac:dyDescent="0.25">
      <c r="A73" t="s">
        <v>123</v>
      </c>
      <c r="B73" t="s">
        <v>700</v>
      </c>
      <c r="C73" t="s">
        <v>2092</v>
      </c>
      <c r="D73">
        <v>19</v>
      </c>
    </row>
    <row r="74" spans="1:4" x14ac:dyDescent="0.25">
      <c r="A74" t="s">
        <v>123</v>
      </c>
      <c r="B74" t="s">
        <v>700</v>
      </c>
      <c r="C74" t="s">
        <v>2840</v>
      </c>
      <c r="D74">
        <v>20</v>
      </c>
    </row>
    <row r="75" spans="1:4" x14ac:dyDescent="0.25">
      <c r="A75" t="s">
        <v>123</v>
      </c>
      <c r="B75" t="s">
        <v>1819</v>
      </c>
      <c r="C75" t="s">
        <v>2800</v>
      </c>
      <c r="D75">
        <v>18</v>
      </c>
    </row>
    <row r="76" spans="1:4" x14ac:dyDescent="0.25">
      <c r="A76" t="s">
        <v>123</v>
      </c>
      <c r="B76" t="s">
        <v>190</v>
      </c>
      <c r="C76" t="s">
        <v>1478</v>
      </c>
      <c r="D76">
        <v>15</v>
      </c>
    </row>
    <row r="77" spans="1:4" x14ac:dyDescent="0.25">
      <c r="A77" t="s">
        <v>123</v>
      </c>
      <c r="B77" t="s">
        <v>341</v>
      </c>
      <c r="C77" t="s">
        <v>2191</v>
      </c>
      <c r="D77">
        <v>16</v>
      </c>
    </row>
    <row r="78" spans="1:4" x14ac:dyDescent="0.25">
      <c r="A78" t="s">
        <v>123</v>
      </c>
      <c r="B78" t="s">
        <v>2120</v>
      </c>
      <c r="C78" t="s">
        <v>3188</v>
      </c>
      <c r="D78">
        <v>15</v>
      </c>
    </row>
    <row r="79" spans="1:4" x14ac:dyDescent="0.25">
      <c r="A79" t="s">
        <v>123</v>
      </c>
      <c r="B79" t="s">
        <v>2120</v>
      </c>
      <c r="C79" t="s">
        <v>4345</v>
      </c>
      <c r="D79">
        <v>14</v>
      </c>
    </row>
    <row r="80" spans="1:4" x14ac:dyDescent="0.25">
      <c r="A80" t="s">
        <v>123</v>
      </c>
      <c r="B80" t="s">
        <v>546</v>
      </c>
      <c r="C80" t="s">
        <v>2997</v>
      </c>
      <c r="D80">
        <v>12</v>
      </c>
    </row>
    <row r="81" spans="1:4" x14ac:dyDescent="0.25">
      <c r="A81" t="s">
        <v>123</v>
      </c>
      <c r="B81" t="s">
        <v>1043</v>
      </c>
      <c r="C81" t="s">
        <v>4398</v>
      </c>
      <c r="D81">
        <v>15</v>
      </c>
    </row>
    <row r="82" spans="1:4" x14ac:dyDescent="0.25">
      <c r="A82" t="s">
        <v>123</v>
      </c>
      <c r="B82" t="s">
        <v>1129</v>
      </c>
      <c r="C82" t="s">
        <v>2194</v>
      </c>
      <c r="D82">
        <v>13</v>
      </c>
    </row>
    <row r="83" spans="1:4" x14ac:dyDescent="0.25">
      <c r="A83" t="s">
        <v>123</v>
      </c>
      <c r="B83" t="s">
        <v>1622</v>
      </c>
      <c r="C83" t="s">
        <v>4399</v>
      </c>
      <c r="D83">
        <v>15</v>
      </c>
    </row>
    <row r="84" spans="1:4" x14ac:dyDescent="0.25">
      <c r="A84" t="s">
        <v>123</v>
      </c>
      <c r="B84" t="s">
        <v>554</v>
      </c>
      <c r="C84" t="s">
        <v>2807</v>
      </c>
      <c r="D84">
        <v>17</v>
      </c>
    </row>
    <row r="85" spans="1:4" x14ac:dyDescent="0.25">
      <c r="A85" t="s">
        <v>123</v>
      </c>
      <c r="B85" t="s">
        <v>634</v>
      </c>
      <c r="C85" t="s">
        <v>2809</v>
      </c>
      <c r="D85">
        <v>15</v>
      </c>
    </row>
    <row r="86" spans="1:4" x14ac:dyDescent="0.25">
      <c r="A86" t="s">
        <v>123</v>
      </c>
      <c r="B86" t="s">
        <v>350</v>
      </c>
      <c r="C86" t="s">
        <v>4232</v>
      </c>
      <c r="D86">
        <v>18</v>
      </c>
    </row>
    <row r="87" spans="1:4" x14ac:dyDescent="0.25">
      <c r="A87" t="s">
        <v>123</v>
      </c>
      <c r="B87" t="s">
        <v>1489</v>
      </c>
      <c r="C87" t="s">
        <v>4400</v>
      </c>
      <c r="D87">
        <v>17</v>
      </c>
    </row>
    <row r="88" spans="1:4" x14ac:dyDescent="0.25">
      <c r="A88" t="s">
        <v>123</v>
      </c>
      <c r="B88" t="s">
        <v>1489</v>
      </c>
      <c r="C88" t="s">
        <v>3709</v>
      </c>
      <c r="D88">
        <v>16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12.057471264367816</v>
      </c>
    </row>
    <row r="92" spans="1:4" x14ac:dyDescent="0.25">
      <c r="A92" t="s">
        <v>159</v>
      </c>
      <c r="D92">
        <f>MAX(D2:D88)</f>
        <v>22</v>
      </c>
    </row>
    <row r="93" spans="1:4" x14ac:dyDescent="0.25">
      <c r="A93" t="s">
        <v>160</v>
      </c>
      <c r="D93">
        <f>MIN(D2:D88)</f>
        <v>2</v>
      </c>
    </row>
    <row r="94" spans="1:4" x14ac:dyDescent="0.25">
      <c r="A94" t="s">
        <v>161</v>
      </c>
      <c r="D94">
        <f>COUNTIF(D2:D88,"&gt;0")</f>
        <v>87</v>
      </c>
    </row>
    <row r="95" spans="1:4" x14ac:dyDescent="0.25">
      <c r="A95" t="s">
        <v>162</v>
      </c>
      <c r="D95">
        <f>COUNTIF(D2:D88,"=0")</f>
        <v>0</v>
      </c>
    </row>
    <row r="96" spans="1:4" x14ac:dyDescent="0.25">
      <c r="A96" t="s">
        <v>687</v>
      </c>
      <c r="D96">
        <f>COUNTIF(D2:D88,"&lt;0")</f>
        <v>0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AVERAGE(D2,D3,D4,D5,D6,D7,D8,D9,D10,D11,D12,D13,D14,D15,D16,D17,D18,D19,D20)</f>
        <v>6.1578947368421053</v>
      </c>
    </row>
    <row r="100" spans="1:4" x14ac:dyDescent="0.25">
      <c r="A100" t="s">
        <v>166</v>
      </c>
      <c r="D100">
        <f>AVERAGE(D21,D22,D23,D24,D25,D26,D27,D28,D29,D30,D31,D32,D33,D34,D35,D36,D37,D38)</f>
        <v>12.388888888888889</v>
      </c>
    </row>
    <row r="101" spans="1:4" x14ac:dyDescent="0.25">
      <c r="A101" t="s">
        <v>167</v>
      </c>
      <c r="D101">
        <f>AVERAGE(D39,D40,D41,D42,D43,D44,D45,D46,D47,D48,D49,D50,D51,D52,D53,D54,D55,D56,D57,D58,D59,D60,D61)</f>
        <v>10.347826086956522</v>
      </c>
    </row>
    <row r="102" spans="1:4" x14ac:dyDescent="0.25">
      <c r="A102" t="s">
        <v>168</v>
      </c>
      <c r="D102">
        <f>AVERAGE(D62,D63,D64,D65,D66,D67,D68,D69,D70,D71,D72,D73,D74,D75,D76,D77,D78,D79,D80,D81,D82,D83,D84,D85,D86,D87,D88)</f>
        <v>17.444444444444443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D9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4401</v>
      </c>
    </row>
    <row r="2" spans="1:4" x14ac:dyDescent="0.25">
      <c r="A2" t="s">
        <v>4</v>
      </c>
      <c r="B2" t="s">
        <v>1208</v>
      </c>
      <c r="C2" t="s">
        <v>908</v>
      </c>
      <c r="D2">
        <v>-2</v>
      </c>
    </row>
    <row r="3" spans="1:4" x14ac:dyDescent="0.25">
      <c r="A3" t="s">
        <v>4</v>
      </c>
      <c r="B3" t="s">
        <v>777</v>
      </c>
      <c r="C3" t="s">
        <v>1692</v>
      </c>
      <c r="D3">
        <v>-4</v>
      </c>
    </row>
    <row r="4" spans="1:4" x14ac:dyDescent="0.25">
      <c r="A4" t="s">
        <v>4</v>
      </c>
      <c r="B4" t="s">
        <v>2355</v>
      </c>
      <c r="C4" t="s">
        <v>3551</v>
      </c>
      <c r="D4">
        <v>-6</v>
      </c>
    </row>
    <row r="5" spans="1:4" x14ac:dyDescent="0.25">
      <c r="A5" t="s">
        <v>4</v>
      </c>
      <c r="B5" t="s">
        <v>1877</v>
      </c>
      <c r="C5" t="s">
        <v>2297</v>
      </c>
      <c r="D5">
        <v>-4</v>
      </c>
    </row>
    <row r="6" spans="1:4" x14ac:dyDescent="0.25">
      <c r="A6" t="s">
        <v>4</v>
      </c>
      <c r="B6" t="s">
        <v>2152</v>
      </c>
      <c r="C6" t="s">
        <v>4327</v>
      </c>
      <c r="D6">
        <v>-7</v>
      </c>
    </row>
    <row r="7" spans="1:4" x14ac:dyDescent="0.25">
      <c r="A7" t="s">
        <v>4</v>
      </c>
      <c r="B7" t="s">
        <v>274</v>
      </c>
      <c r="C7" t="s">
        <v>2201</v>
      </c>
      <c r="D7">
        <v>-6</v>
      </c>
    </row>
    <row r="8" spans="1:4" x14ac:dyDescent="0.25">
      <c r="A8" t="s">
        <v>4</v>
      </c>
      <c r="B8" t="s">
        <v>623</v>
      </c>
      <c r="C8" t="s">
        <v>1496</v>
      </c>
      <c r="D8">
        <v>-4</v>
      </c>
    </row>
    <row r="9" spans="1:4" x14ac:dyDescent="0.25">
      <c r="A9" t="s">
        <v>4</v>
      </c>
      <c r="B9" t="s">
        <v>1432</v>
      </c>
      <c r="C9" t="s">
        <v>3696</v>
      </c>
      <c r="D9">
        <v>-6</v>
      </c>
    </row>
    <row r="10" spans="1:4" x14ac:dyDescent="0.25">
      <c r="A10" t="s">
        <v>4</v>
      </c>
      <c r="B10" t="s">
        <v>834</v>
      </c>
      <c r="C10" t="s">
        <v>3611</v>
      </c>
      <c r="D10">
        <v>-4</v>
      </c>
    </row>
    <row r="11" spans="1:4" x14ac:dyDescent="0.25">
      <c r="A11" t="s">
        <v>4</v>
      </c>
      <c r="B11" t="s">
        <v>259</v>
      </c>
      <c r="C11" t="s">
        <v>1637</v>
      </c>
      <c r="D11">
        <v>-6</v>
      </c>
    </row>
    <row r="12" spans="1:4" x14ac:dyDescent="0.25">
      <c r="A12" t="s">
        <v>4</v>
      </c>
      <c r="B12" t="s">
        <v>17</v>
      </c>
      <c r="C12" t="s">
        <v>1925</v>
      </c>
      <c r="D12">
        <v>-3</v>
      </c>
    </row>
    <row r="13" spans="1:4" x14ac:dyDescent="0.25">
      <c r="A13" t="s">
        <v>4</v>
      </c>
      <c r="B13" t="s">
        <v>2158</v>
      </c>
      <c r="C13" t="s">
        <v>1501</v>
      </c>
      <c r="D13">
        <v>-4</v>
      </c>
    </row>
    <row r="14" spans="1:4" x14ac:dyDescent="0.25">
      <c r="A14" t="s">
        <v>4</v>
      </c>
      <c r="B14" t="s">
        <v>663</v>
      </c>
      <c r="C14" t="s">
        <v>2607</v>
      </c>
      <c r="D14">
        <v>-6</v>
      </c>
    </row>
    <row r="15" spans="1:4" x14ac:dyDescent="0.25">
      <c r="A15" t="s">
        <v>4</v>
      </c>
      <c r="B15" t="s">
        <v>64</v>
      </c>
      <c r="C15" t="s">
        <v>3667</v>
      </c>
      <c r="D15">
        <v>-4</v>
      </c>
    </row>
    <row r="16" spans="1:4" x14ac:dyDescent="0.25">
      <c r="A16" t="s">
        <v>4</v>
      </c>
      <c r="B16" t="s">
        <v>440</v>
      </c>
      <c r="C16" t="s">
        <v>2298</v>
      </c>
      <c r="D16">
        <v>-2</v>
      </c>
    </row>
    <row r="17" spans="1:4" x14ac:dyDescent="0.25">
      <c r="A17" t="s">
        <v>4</v>
      </c>
      <c r="B17" t="s">
        <v>1750</v>
      </c>
      <c r="C17" t="s">
        <v>1706</v>
      </c>
      <c r="D17">
        <v>-5</v>
      </c>
    </row>
    <row r="18" spans="1:4" x14ac:dyDescent="0.25">
      <c r="A18" t="s">
        <v>4</v>
      </c>
      <c r="B18" t="s">
        <v>36</v>
      </c>
      <c r="C18" t="s">
        <v>4099</v>
      </c>
      <c r="D18">
        <v>-7</v>
      </c>
    </row>
    <row r="19" spans="1:4" x14ac:dyDescent="0.25">
      <c r="A19" t="s">
        <v>40</v>
      </c>
      <c r="B19" t="s">
        <v>1768</v>
      </c>
      <c r="C19" t="s">
        <v>2701</v>
      </c>
      <c r="D19">
        <v>-5</v>
      </c>
    </row>
    <row r="20" spans="1:4" x14ac:dyDescent="0.25">
      <c r="A20" t="s">
        <v>40</v>
      </c>
      <c r="B20" t="s">
        <v>332</v>
      </c>
      <c r="C20" t="s">
        <v>2722</v>
      </c>
      <c r="D20">
        <v>-3</v>
      </c>
    </row>
    <row r="21" spans="1:4" x14ac:dyDescent="0.25">
      <c r="A21" t="s">
        <v>40</v>
      </c>
      <c r="B21" t="s">
        <v>332</v>
      </c>
      <c r="C21" t="s">
        <v>44</v>
      </c>
      <c r="D21">
        <v>-2</v>
      </c>
    </row>
    <row r="22" spans="1:4" x14ac:dyDescent="0.25">
      <c r="A22" t="s">
        <v>40</v>
      </c>
      <c r="B22" t="s">
        <v>275</v>
      </c>
      <c r="C22" t="s">
        <v>1438</v>
      </c>
      <c r="D22">
        <v>0</v>
      </c>
    </row>
    <row r="23" spans="1:4" x14ac:dyDescent="0.25">
      <c r="A23" t="s">
        <v>40</v>
      </c>
      <c r="B23" t="s">
        <v>1742</v>
      </c>
      <c r="C23" t="s">
        <v>1823</v>
      </c>
      <c r="D23">
        <v>2</v>
      </c>
    </row>
    <row r="24" spans="1:4" x14ac:dyDescent="0.25">
      <c r="A24" t="s">
        <v>40</v>
      </c>
      <c r="B24" t="s">
        <v>256</v>
      </c>
      <c r="C24" t="s">
        <v>1439</v>
      </c>
      <c r="D24">
        <v>4</v>
      </c>
    </row>
    <row r="25" spans="1:4" x14ac:dyDescent="0.25">
      <c r="A25" t="s">
        <v>40</v>
      </c>
      <c r="B25" t="s">
        <v>366</v>
      </c>
      <c r="C25" t="s">
        <v>926</v>
      </c>
      <c r="D25">
        <v>3</v>
      </c>
    </row>
    <row r="26" spans="1:4" x14ac:dyDescent="0.25">
      <c r="A26" t="s">
        <v>40</v>
      </c>
      <c r="B26" t="s">
        <v>366</v>
      </c>
      <c r="C26" t="s">
        <v>1440</v>
      </c>
      <c r="D26">
        <v>2</v>
      </c>
    </row>
    <row r="27" spans="1:4" x14ac:dyDescent="0.25">
      <c r="A27" t="s">
        <v>40</v>
      </c>
      <c r="B27" t="s">
        <v>1475</v>
      </c>
      <c r="C27" t="s">
        <v>457</v>
      </c>
      <c r="D27">
        <v>0</v>
      </c>
    </row>
    <row r="28" spans="1:4" x14ac:dyDescent="0.25">
      <c r="A28" t="s">
        <v>40</v>
      </c>
      <c r="B28" t="s">
        <v>1151</v>
      </c>
      <c r="C28" t="s">
        <v>595</v>
      </c>
      <c r="D28">
        <v>-2</v>
      </c>
    </row>
    <row r="29" spans="1:4" x14ac:dyDescent="0.25">
      <c r="A29" t="s">
        <v>40</v>
      </c>
      <c r="B29" t="s">
        <v>337</v>
      </c>
      <c r="C29" t="s">
        <v>3207</v>
      </c>
      <c r="D29">
        <v>0</v>
      </c>
    </row>
    <row r="30" spans="1:4" x14ac:dyDescent="0.25">
      <c r="A30" t="s">
        <v>40</v>
      </c>
      <c r="B30" t="s">
        <v>1700</v>
      </c>
      <c r="C30" t="s">
        <v>2359</v>
      </c>
      <c r="D30">
        <v>2</v>
      </c>
    </row>
    <row r="31" spans="1:4" x14ac:dyDescent="0.25">
      <c r="A31" t="s">
        <v>40</v>
      </c>
      <c r="B31" t="s">
        <v>524</v>
      </c>
      <c r="C31" t="s">
        <v>1825</v>
      </c>
      <c r="D31">
        <v>0</v>
      </c>
    </row>
    <row r="32" spans="1:4" x14ac:dyDescent="0.25">
      <c r="A32" t="s">
        <v>40</v>
      </c>
      <c r="B32" t="s">
        <v>990</v>
      </c>
      <c r="C32" t="s">
        <v>1663</v>
      </c>
      <c r="D32">
        <v>-3</v>
      </c>
    </row>
    <row r="33" spans="1:4" x14ac:dyDescent="0.25">
      <c r="A33" t="s">
        <v>40</v>
      </c>
      <c r="B33" t="s">
        <v>1422</v>
      </c>
      <c r="C33" t="s">
        <v>2127</v>
      </c>
      <c r="D33">
        <v>-1</v>
      </c>
    </row>
    <row r="34" spans="1:4" x14ac:dyDescent="0.25">
      <c r="A34" t="s">
        <v>40</v>
      </c>
      <c r="B34" t="s">
        <v>1422</v>
      </c>
      <c r="C34" t="s">
        <v>466</v>
      </c>
      <c r="D34">
        <v>0</v>
      </c>
    </row>
    <row r="35" spans="1:4" x14ac:dyDescent="0.25">
      <c r="A35" t="s">
        <v>40</v>
      </c>
      <c r="B35" t="s">
        <v>1843</v>
      </c>
      <c r="C35" t="s">
        <v>1827</v>
      </c>
      <c r="D35">
        <v>-2</v>
      </c>
    </row>
    <row r="36" spans="1:4" x14ac:dyDescent="0.25">
      <c r="A36" t="s">
        <v>40</v>
      </c>
      <c r="B36" t="s">
        <v>2147</v>
      </c>
      <c r="C36" t="s">
        <v>470</v>
      </c>
      <c r="D36">
        <v>0</v>
      </c>
    </row>
    <row r="37" spans="1:4" x14ac:dyDescent="0.25">
      <c r="A37" t="s">
        <v>40</v>
      </c>
      <c r="B37" t="s">
        <v>31</v>
      </c>
      <c r="C37" t="s">
        <v>1828</v>
      </c>
      <c r="D37">
        <v>-2</v>
      </c>
    </row>
    <row r="38" spans="1:4" x14ac:dyDescent="0.25">
      <c r="A38" t="s">
        <v>40</v>
      </c>
      <c r="B38" t="s">
        <v>1115</v>
      </c>
      <c r="C38" t="s">
        <v>232</v>
      </c>
      <c r="D38">
        <v>0</v>
      </c>
    </row>
    <row r="39" spans="1:4" x14ac:dyDescent="0.25">
      <c r="A39" t="s">
        <v>40</v>
      </c>
      <c r="B39" t="s">
        <v>1489</v>
      </c>
      <c r="C39" t="s">
        <v>474</v>
      </c>
      <c r="D39">
        <v>2</v>
      </c>
    </row>
    <row r="40" spans="1:4" x14ac:dyDescent="0.25">
      <c r="A40" t="s">
        <v>80</v>
      </c>
      <c r="B40" t="s">
        <v>714</v>
      </c>
      <c r="C40" t="s">
        <v>3574</v>
      </c>
      <c r="D40">
        <v>0</v>
      </c>
    </row>
    <row r="41" spans="1:4" x14ac:dyDescent="0.25">
      <c r="A41" t="s">
        <v>80</v>
      </c>
      <c r="B41" t="s">
        <v>487</v>
      </c>
      <c r="C41" t="s">
        <v>238</v>
      </c>
      <c r="D41">
        <v>-2</v>
      </c>
    </row>
    <row r="42" spans="1:4" x14ac:dyDescent="0.25">
      <c r="A42" t="s">
        <v>80</v>
      </c>
      <c r="B42" t="s">
        <v>1192</v>
      </c>
      <c r="C42" t="s">
        <v>1520</v>
      </c>
      <c r="D42">
        <v>-5</v>
      </c>
    </row>
    <row r="43" spans="1:4" x14ac:dyDescent="0.25">
      <c r="A43" t="s">
        <v>80</v>
      </c>
      <c r="B43" t="s">
        <v>1573</v>
      </c>
      <c r="C43" t="s">
        <v>617</v>
      </c>
      <c r="D43">
        <v>-4</v>
      </c>
    </row>
    <row r="44" spans="1:4" x14ac:dyDescent="0.25">
      <c r="A44" t="s">
        <v>80</v>
      </c>
      <c r="B44" t="s">
        <v>1453</v>
      </c>
      <c r="C44" t="s">
        <v>1521</v>
      </c>
      <c r="D44">
        <v>-3</v>
      </c>
    </row>
    <row r="45" spans="1:4" x14ac:dyDescent="0.25">
      <c r="A45" t="s">
        <v>80</v>
      </c>
      <c r="B45" t="s">
        <v>1118</v>
      </c>
      <c r="C45" t="s">
        <v>247</v>
      </c>
      <c r="D45">
        <v>-1</v>
      </c>
    </row>
    <row r="46" spans="1:4" x14ac:dyDescent="0.25">
      <c r="A46" t="s">
        <v>80</v>
      </c>
      <c r="B46" t="s">
        <v>643</v>
      </c>
      <c r="C46" t="s">
        <v>1226</v>
      </c>
      <c r="D46">
        <v>1</v>
      </c>
    </row>
    <row r="47" spans="1:4" x14ac:dyDescent="0.25">
      <c r="A47" t="s">
        <v>80</v>
      </c>
      <c r="B47" t="s">
        <v>1105</v>
      </c>
      <c r="C47" t="s">
        <v>252</v>
      </c>
      <c r="D47">
        <v>-1</v>
      </c>
    </row>
    <row r="48" spans="1:4" x14ac:dyDescent="0.25">
      <c r="A48" t="s">
        <v>80</v>
      </c>
      <c r="B48" t="s">
        <v>870</v>
      </c>
      <c r="C48" t="s">
        <v>2489</v>
      </c>
      <c r="D48">
        <v>1</v>
      </c>
    </row>
    <row r="49" spans="1:4" x14ac:dyDescent="0.25">
      <c r="A49" t="s">
        <v>80</v>
      </c>
      <c r="B49" t="s">
        <v>870</v>
      </c>
      <c r="C49" t="s">
        <v>371</v>
      </c>
      <c r="D49">
        <v>2</v>
      </c>
    </row>
    <row r="50" spans="1:4" x14ac:dyDescent="0.25">
      <c r="A50" t="s">
        <v>80</v>
      </c>
      <c r="B50" t="s">
        <v>19</v>
      </c>
      <c r="C50" t="s">
        <v>3975</v>
      </c>
      <c r="D50">
        <v>0</v>
      </c>
    </row>
    <row r="51" spans="1:4" x14ac:dyDescent="0.25">
      <c r="A51" t="s">
        <v>80</v>
      </c>
      <c r="B51" t="s">
        <v>19</v>
      </c>
      <c r="C51" t="s">
        <v>258</v>
      </c>
      <c r="D51">
        <v>-1</v>
      </c>
    </row>
    <row r="52" spans="1:4" x14ac:dyDescent="0.25">
      <c r="A52" t="s">
        <v>80</v>
      </c>
      <c r="B52" t="s">
        <v>2154</v>
      </c>
      <c r="C52" t="s">
        <v>375</v>
      </c>
      <c r="D52">
        <v>1</v>
      </c>
    </row>
    <row r="53" spans="1:4" x14ac:dyDescent="0.25">
      <c r="A53" t="s">
        <v>80</v>
      </c>
      <c r="B53" t="s">
        <v>285</v>
      </c>
      <c r="C53" t="s">
        <v>745</v>
      </c>
      <c r="D53">
        <v>0</v>
      </c>
    </row>
    <row r="54" spans="1:4" x14ac:dyDescent="0.25">
      <c r="A54" t="s">
        <v>80</v>
      </c>
      <c r="B54" t="s">
        <v>1040</v>
      </c>
      <c r="C54" t="s">
        <v>2880</v>
      </c>
      <c r="D54">
        <v>1</v>
      </c>
    </row>
    <row r="55" spans="1:4" x14ac:dyDescent="0.25">
      <c r="A55" t="s">
        <v>80</v>
      </c>
      <c r="B55" t="s">
        <v>25</v>
      </c>
      <c r="C55" t="s">
        <v>2174</v>
      </c>
      <c r="D55">
        <v>3</v>
      </c>
    </row>
    <row r="56" spans="1:4" x14ac:dyDescent="0.25">
      <c r="A56" t="s">
        <v>80</v>
      </c>
      <c r="B56" t="s">
        <v>706</v>
      </c>
      <c r="C56" t="s">
        <v>1834</v>
      </c>
      <c r="D56">
        <v>2</v>
      </c>
    </row>
    <row r="57" spans="1:4" x14ac:dyDescent="0.25">
      <c r="A57" t="s">
        <v>80</v>
      </c>
      <c r="B57" t="s">
        <v>444</v>
      </c>
      <c r="C57" t="s">
        <v>1835</v>
      </c>
      <c r="D57">
        <v>4</v>
      </c>
    </row>
    <row r="58" spans="1:4" x14ac:dyDescent="0.25">
      <c r="A58" t="s">
        <v>80</v>
      </c>
      <c r="B58" t="s">
        <v>1640</v>
      </c>
      <c r="C58" t="s">
        <v>382</v>
      </c>
      <c r="D58">
        <v>1</v>
      </c>
    </row>
    <row r="59" spans="1:4" x14ac:dyDescent="0.25">
      <c r="A59" t="s">
        <v>80</v>
      </c>
      <c r="B59" t="s">
        <v>1484</v>
      </c>
      <c r="C59" t="s">
        <v>633</v>
      </c>
      <c r="D59">
        <v>-2</v>
      </c>
    </row>
    <row r="60" spans="1:4" x14ac:dyDescent="0.25">
      <c r="A60" t="s">
        <v>80</v>
      </c>
      <c r="B60" t="s">
        <v>1437</v>
      </c>
      <c r="C60" t="s">
        <v>635</v>
      </c>
      <c r="D60">
        <v>1</v>
      </c>
    </row>
    <row r="61" spans="1:4" x14ac:dyDescent="0.25">
      <c r="A61" t="s">
        <v>80</v>
      </c>
      <c r="B61" t="s">
        <v>348</v>
      </c>
      <c r="C61" t="s">
        <v>636</v>
      </c>
      <c r="D61">
        <v>3</v>
      </c>
    </row>
    <row r="62" spans="1:4" x14ac:dyDescent="0.25">
      <c r="A62" t="s">
        <v>123</v>
      </c>
      <c r="B62" t="s">
        <v>7</v>
      </c>
      <c r="C62" t="s">
        <v>637</v>
      </c>
      <c r="D62">
        <v>6</v>
      </c>
    </row>
    <row r="63" spans="1:4" x14ac:dyDescent="0.25">
      <c r="A63" t="s">
        <v>123</v>
      </c>
      <c r="B63" t="s">
        <v>1665</v>
      </c>
      <c r="C63" t="s">
        <v>3584</v>
      </c>
      <c r="D63">
        <v>3</v>
      </c>
    </row>
    <row r="64" spans="1:4" x14ac:dyDescent="0.25">
      <c r="A64" t="s">
        <v>123</v>
      </c>
      <c r="B64" t="s">
        <v>87</v>
      </c>
      <c r="C64" t="s">
        <v>2553</v>
      </c>
      <c r="D64">
        <v>6</v>
      </c>
    </row>
    <row r="65" spans="1:4" x14ac:dyDescent="0.25">
      <c r="A65" t="s">
        <v>123</v>
      </c>
      <c r="B65" t="s">
        <v>643</v>
      </c>
      <c r="C65" t="s">
        <v>1612</v>
      </c>
      <c r="D65">
        <v>9</v>
      </c>
    </row>
    <row r="66" spans="1:4" x14ac:dyDescent="0.25">
      <c r="A66" t="s">
        <v>123</v>
      </c>
      <c r="B66" t="s">
        <v>645</v>
      </c>
      <c r="C66" t="s">
        <v>1614</v>
      </c>
      <c r="D66">
        <v>7</v>
      </c>
    </row>
    <row r="67" spans="1:4" x14ac:dyDescent="0.25">
      <c r="A67" t="s">
        <v>123</v>
      </c>
      <c r="B67" t="s">
        <v>1498</v>
      </c>
      <c r="C67" t="s">
        <v>403</v>
      </c>
      <c r="D67">
        <v>9</v>
      </c>
    </row>
    <row r="68" spans="1:4" x14ac:dyDescent="0.25">
      <c r="A68" t="s">
        <v>123</v>
      </c>
      <c r="B68" t="s">
        <v>138</v>
      </c>
      <c r="C68" t="s">
        <v>2992</v>
      </c>
      <c r="D68">
        <v>10</v>
      </c>
    </row>
    <row r="69" spans="1:4" x14ac:dyDescent="0.25">
      <c r="A69" t="s">
        <v>123</v>
      </c>
      <c r="B69" t="s">
        <v>138</v>
      </c>
      <c r="C69" t="s">
        <v>3942</v>
      </c>
      <c r="D69">
        <v>11</v>
      </c>
    </row>
    <row r="70" spans="1:4" x14ac:dyDescent="0.25">
      <c r="A70" t="s">
        <v>123</v>
      </c>
      <c r="B70" t="s">
        <v>2032</v>
      </c>
      <c r="C70" t="s">
        <v>3453</v>
      </c>
      <c r="D70">
        <v>8</v>
      </c>
    </row>
    <row r="71" spans="1:4" x14ac:dyDescent="0.25">
      <c r="A71" t="s">
        <v>123</v>
      </c>
      <c r="B71" t="s">
        <v>192</v>
      </c>
      <c r="C71" t="s">
        <v>2280</v>
      </c>
      <c r="D71">
        <v>9</v>
      </c>
    </row>
    <row r="72" spans="1:4" x14ac:dyDescent="0.25">
      <c r="A72" t="s">
        <v>123</v>
      </c>
      <c r="B72" t="s">
        <v>924</v>
      </c>
      <c r="C72" t="s">
        <v>765</v>
      </c>
      <c r="D72">
        <v>7</v>
      </c>
    </row>
    <row r="73" spans="1:4" x14ac:dyDescent="0.25">
      <c r="A73" t="s">
        <v>123</v>
      </c>
      <c r="B73" t="s">
        <v>1335</v>
      </c>
      <c r="C73" t="s">
        <v>1847</v>
      </c>
      <c r="D73">
        <v>5</v>
      </c>
    </row>
    <row r="74" spans="1:4" x14ac:dyDescent="0.25">
      <c r="A74" t="s">
        <v>123</v>
      </c>
      <c r="B74" t="s">
        <v>671</v>
      </c>
      <c r="C74" t="s">
        <v>1962</v>
      </c>
      <c r="D74">
        <v>3</v>
      </c>
    </row>
    <row r="75" spans="1:4" x14ac:dyDescent="0.25">
      <c r="A75" t="s">
        <v>123</v>
      </c>
      <c r="B75" t="s">
        <v>392</v>
      </c>
      <c r="C75" t="s">
        <v>1963</v>
      </c>
      <c r="D75">
        <v>2</v>
      </c>
    </row>
    <row r="76" spans="1:4" x14ac:dyDescent="0.25">
      <c r="A76" t="s">
        <v>123</v>
      </c>
      <c r="B76" t="s">
        <v>451</v>
      </c>
      <c r="C76" t="s">
        <v>2734</v>
      </c>
      <c r="D76">
        <v>3</v>
      </c>
    </row>
    <row r="78" spans="1:4" x14ac:dyDescent="0.25">
      <c r="A78" s="2" t="s">
        <v>157</v>
      </c>
    </row>
    <row r="79" spans="1:4" x14ac:dyDescent="0.25">
      <c r="A79" t="s">
        <v>158</v>
      </c>
      <c r="D79">
        <f>AVERAGE(D2:D76)</f>
        <v>0.18666666666666668</v>
      </c>
    </row>
    <row r="80" spans="1:4" x14ac:dyDescent="0.25">
      <c r="A80" t="s">
        <v>159</v>
      </c>
      <c r="D80">
        <f>MAX(D2:D76)</f>
        <v>11</v>
      </c>
    </row>
    <row r="81" spans="1:4" x14ac:dyDescent="0.25">
      <c r="A81" t="s">
        <v>160</v>
      </c>
      <c r="D81">
        <f>MIN(D2:D76)</f>
        <v>-7</v>
      </c>
    </row>
    <row r="82" spans="1:4" x14ac:dyDescent="0.25">
      <c r="A82" t="s">
        <v>161</v>
      </c>
      <c r="D82">
        <f>COUNTIF(D2:D76,"&gt;0")</f>
        <v>32</v>
      </c>
    </row>
    <row r="83" spans="1:4" x14ac:dyDescent="0.25">
      <c r="A83" t="s">
        <v>162</v>
      </c>
      <c r="D83">
        <f>COUNTIF(D2:D76,"=0")</f>
        <v>10</v>
      </c>
    </row>
    <row r="84" spans="1:4" x14ac:dyDescent="0.25">
      <c r="A84" t="s">
        <v>4402</v>
      </c>
      <c r="D84">
        <f>COUNTIF(D2:D76,"&lt;0")</f>
        <v>33</v>
      </c>
    </row>
    <row r="86" spans="1:4" x14ac:dyDescent="0.25">
      <c r="A86" s="2" t="s">
        <v>164</v>
      </c>
    </row>
    <row r="87" spans="1:4" x14ac:dyDescent="0.25">
      <c r="A87" t="s">
        <v>165</v>
      </c>
      <c r="D87">
        <f>AVERAGE(D2,D3,D4,D5,D6,D7,D8,D9,D10,D11,D12,D13,D14,D15,D16,D17,D18)</f>
        <v>-4.7058823529411766</v>
      </c>
    </row>
    <row r="88" spans="1:4" x14ac:dyDescent="0.25">
      <c r="A88" t="s">
        <v>166</v>
      </c>
      <c r="D88">
        <f>AVERAGE(D19,D20,D21,D22,D23,D24,D25,D26,D27,D28,D29,D30,D31,D32,D33,D34,D35,D36,D37,D38,D39)</f>
        <v>-0.23809523809523808</v>
      </c>
    </row>
    <row r="89" spans="1:4" x14ac:dyDescent="0.25">
      <c r="A89" t="s">
        <v>167</v>
      </c>
      <c r="D89">
        <f>AVERAGE(D40,D41,D42,D43,D44,D45,D46,D47,D48,D49,D50,D51,D52,D53,D54,D55,D56,D57,D58,D59,D60,D61)</f>
        <v>4.5454545454545456E-2</v>
      </c>
    </row>
    <row r="90" spans="1:4" x14ac:dyDescent="0.25">
      <c r="A90" t="s">
        <v>168</v>
      </c>
      <c r="D90">
        <f>AVERAGE(D62,D63,D64,D65,D66,D67,D68,D69,D70,D71,D72,D73,D74,D75,D76)</f>
        <v>6.5333333333333332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D11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1208</v>
      </c>
      <c r="C2" t="s">
        <v>6</v>
      </c>
      <c r="D2">
        <v>2</v>
      </c>
    </row>
    <row r="3" spans="1:4" x14ac:dyDescent="0.25">
      <c r="A3" t="s">
        <v>4</v>
      </c>
      <c r="B3" t="s">
        <v>1680</v>
      </c>
      <c r="C3" t="s">
        <v>306</v>
      </c>
      <c r="D3">
        <v>-1</v>
      </c>
    </row>
    <row r="4" spans="1:4" x14ac:dyDescent="0.25">
      <c r="A4" t="s">
        <v>4</v>
      </c>
      <c r="B4" t="s">
        <v>1009</v>
      </c>
      <c r="C4" t="s">
        <v>308</v>
      </c>
      <c r="D4">
        <v>1</v>
      </c>
    </row>
    <row r="5" spans="1:4" x14ac:dyDescent="0.25">
      <c r="A5" t="s">
        <v>4</v>
      </c>
      <c r="B5" t="s">
        <v>1246</v>
      </c>
      <c r="C5" t="s">
        <v>310</v>
      </c>
      <c r="D5">
        <v>-2</v>
      </c>
    </row>
    <row r="6" spans="1:4" x14ac:dyDescent="0.25">
      <c r="A6" t="s">
        <v>4</v>
      </c>
      <c r="B6" t="s">
        <v>759</v>
      </c>
      <c r="C6" t="s">
        <v>311</v>
      </c>
      <c r="D6">
        <v>1</v>
      </c>
    </row>
    <row r="7" spans="1:4" x14ac:dyDescent="0.25">
      <c r="A7" t="s">
        <v>4</v>
      </c>
      <c r="B7" t="s">
        <v>1773</v>
      </c>
      <c r="C7" t="s">
        <v>434</v>
      </c>
      <c r="D7">
        <v>-1</v>
      </c>
    </row>
    <row r="8" spans="1:4" x14ac:dyDescent="0.25">
      <c r="A8" t="s">
        <v>4</v>
      </c>
      <c r="B8" t="s">
        <v>648</v>
      </c>
      <c r="C8" t="s">
        <v>436</v>
      </c>
      <c r="D8">
        <v>-3</v>
      </c>
    </row>
    <row r="9" spans="1:4" x14ac:dyDescent="0.25">
      <c r="A9" t="s">
        <v>4</v>
      </c>
      <c r="B9" t="s">
        <v>2431</v>
      </c>
      <c r="C9" t="s">
        <v>1499</v>
      </c>
      <c r="D9">
        <v>-5</v>
      </c>
    </row>
    <row r="10" spans="1:4" x14ac:dyDescent="0.25">
      <c r="A10" t="s">
        <v>4</v>
      </c>
      <c r="B10" t="s">
        <v>596</v>
      </c>
      <c r="C10" t="s">
        <v>1500</v>
      </c>
      <c r="D10">
        <v>-2</v>
      </c>
    </row>
    <row r="11" spans="1:4" x14ac:dyDescent="0.25">
      <c r="A11" t="s">
        <v>4</v>
      </c>
      <c r="B11" t="s">
        <v>437</v>
      </c>
      <c r="C11" t="s">
        <v>2155</v>
      </c>
      <c r="D11">
        <v>0</v>
      </c>
    </row>
    <row r="12" spans="1:4" x14ac:dyDescent="0.25">
      <c r="A12" t="s">
        <v>4</v>
      </c>
      <c r="B12" t="s">
        <v>541</v>
      </c>
      <c r="C12" t="s">
        <v>2119</v>
      </c>
      <c r="D12">
        <v>-2</v>
      </c>
    </row>
    <row r="13" spans="1:4" x14ac:dyDescent="0.25">
      <c r="A13" t="s">
        <v>4</v>
      </c>
      <c r="B13" t="s">
        <v>1153</v>
      </c>
      <c r="C13" t="s">
        <v>34</v>
      </c>
      <c r="D13">
        <v>0</v>
      </c>
    </row>
    <row r="14" spans="1:4" x14ac:dyDescent="0.25">
      <c r="A14" t="s">
        <v>4</v>
      </c>
      <c r="B14" t="s">
        <v>1638</v>
      </c>
      <c r="C14" t="s">
        <v>1875</v>
      </c>
      <c r="D14">
        <v>2</v>
      </c>
    </row>
    <row r="15" spans="1:4" x14ac:dyDescent="0.25">
      <c r="A15" t="s">
        <v>4</v>
      </c>
      <c r="B15" t="s">
        <v>1217</v>
      </c>
      <c r="C15" t="s">
        <v>1747</v>
      </c>
      <c r="D15">
        <v>0</v>
      </c>
    </row>
    <row r="16" spans="1:4" x14ac:dyDescent="0.25">
      <c r="A16" t="s">
        <v>4</v>
      </c>
      <c r="B16" t="s">
        <v>845</v>
      </c>
      <c r="C16" t="s">
        <v>708</v>
      </c>
      <c r="D16">
        <v>3</v>
      </c>
    </row>
    <row r="17" spans="1:4" x14ac:dyDescent="0.25">
      <c r="A17" t="s">
        <v>4</v>
      </c>
      <c r="B17" t="s">
        <v>290</v>
      </c>
      <c r="C17" t="s">
        <v>583</v>
      </c>
      <c r="D17">
        <v>1</v>
      </c>
    </row>
    <row r="18" spans="1:4" x14ac:dyDescent="0.25">
      <c r="A18" t="s">
        <v>4</v>
      </c>
      <c r="B18" t="s">
        <v>1940</v>
      </c>
      <c r="C18" t="s">
        <v>331</v>
      </c>
      <c r="D18">
        <v>3</v>
      </c>
    </row>
    <row r="19" spans="1:4" x14ac:dyDescent="0.25">
      <c r="A19" t="s">
        <v>4</v>
      </c>
      <c r="B19" t="s">
        <v>1940</v>
      </c>
      <c r="C19" t="s">
        <v>1120</v>
      </c>
      <c r="D19">
        <v>4</v>
      </c>
    </row>
    <row r="20" spans="1:4" x14ac:dyDescent="0.25">
      <c r="A20" t="s">
        <v>4</v>
      </c>
      <c r="B20" t="s">
        <v>2363</v>
      </c>
      <c r="C20" t="s">
        <v>1121</v>
      </c>
      <c r="D20">
        <v>2</v>
      </c>
    </row>
    <row r="21" spans="1:4" x14ac:dyDescent="0.25">
      <c r="A21" t="s">
        <v>4</v>
      </c>
      <c r="B21" t="s">
        <v>481</v>
      </c>
      <c r="C21" t="s">
        <v>713</v>
      </c>
      <c r="D21">
        <v>5</v>
      </c>
    </row>
    <row r="22" spans="1:4" x14ac:dyDescent="0.25">
      <c r="A22" t="s">
        <v>4</v>
      </c>
      <c r="B22" t="s">
        <v>301</v>
      </c>
      <c r="C22" t="s">
        <v>1440</v>
      </c>
      <c r="D22">
        <v>2</v>
      </c>
    </row>
    <row r="23" spans="1:4" x14ac:dyDescent="0.25">
      <c r="A23" t="s">
        <v>4</v>
      </c>
      <c r="B23" t="s">
        <v>1162</v>
      </c>
      <c r="C23" t="s">
        <v>2963</v>
      </c>
      <c r="D23">
        <v>5</v>
      </c>
    </row>
    <row r="24" spans="1:4" x14ac:dyDescent="0.25">
      <c r="A24" t="s">
        <v>40</v>
      </c>
      <c r="B24" t="s">
        <v>2052</v>
      </c>
      <c r="C24" t="s">
        <v>1583</v>
      </c>
      <c r="D24">
        <v>7</v>
      </c>
    </row>
    <row r="25" spans="1:4" x14ac:dyDescent="0.25">
      <c r="A25" t="s">
        <v>40</v>
      </c>
      <c r="B25" t="s">
        <v>1266</v>
      </c>
      <c r="C25" t="s">
        <v>3090</v>
      </c>
      <c r="D25">
        <v>9</v>
      </c>
    </row>
    <row r="26" spans="1:4" x14ac:dyDescent="0.25">
      <c r="A26" t="s">
        <v>40</v>
      </c>
      <c r="B26" t="s">
        <v>1735</v>
      </c>
      <c r="C26" t="s">
        <v>220</v>
      </c>
      <c r="D26">
        <v>6</v>
      </c>
    </row>
    <row r="27" spans="1:4" x14ac:dyDescent="0.25">
      <c r="A27" t="s">
        <v>40</v>
      </c>
      <c r="B27" t="s">
        <v>1010</v>
      </c>
      <c r="C27" t="s">
        <v>2160</v>
      </c>
      <c r="D27">
        <v>8</v>
      </c>
    </row>
    <row r="28" spans="1:4" x14ac:dyDescent="0.25">
      <c r="A28" t="s">
        <v>40</v>
      </c>
      <c r="B28" t="s">
        <v>1146</v>
      </c>
      <c r="C28" t="s">
        <v>1214</v>
      </c>
      <c r="D28">
        <v>5</v>
      </c>
    </row>
    <row r="29" spans="1:4" x14ac:dyDescent="0.25">
      <c r="A29" t="s">
        <v>40</v>
      </c>
      <c r="B29" t="s">
        <v>363</v>
      </c>
      <c r="C29" t="s">
        <v>2161</v>
      </c>
      <c r="D29">
        <v>7</v>
      </c>
    </row>
    <row r="30" spans="1:4" x14ac:dyDescent="0.25">
      <c r="A30" t="s">
        <v>40</v>
      </c>
      <c r="B30" t="s">
        <v>1069</v>
      </c>
      <c r="C30" t="s">
        <v>2162</v>
      </c>
      <c r="D30">
        <v>9</v>
      </c>
    </row>
    <row r="31" spans="1:4" x14ac:dyDescent="0.25">
      <c r="A31" t="s">
        <v>40</v>
      </c>
      <c r="B31" t="s">
        <v>99</v>
      </c>
      <c r="C31" t="s">
        <v>3124</v>
      </c>
      <c r="D31">
        <v>10</v>
      </c>
    </row>
    <row r="32" spans="1:4" x14ac:dyDescent="0.25">
      <c r="A32" t="s">
        <v>40</v>
      </c>
      <c r="B32" t="s">
        <v>99</v>
      </c>
      <c r="C32" t="s">
        <v>3663</v>
      </c>
      <c r="D32">
        <v>11</v>
      </c>
    </row>
    <row r="33" spans="1:4" x14ac:dyDescent="0.25">
      <c r="A33" t="s">
        <v>40</v>
      </c>
      <c r="B33" t="s">
        <v>1829</v>
      </c>
      <c r="C33" t="s">
        <v>1589</v>
      </c>
      <c r="D33">
        <v>9</v>
      </c>
    </row>
    <row r="34" spans="1:4" x14ac:dyDescent="0.25">
      <c r="A34" t="s">
        <v>40</v>
      </c>
      <c r="B34" t="s">
        <v>285</v>
      </c>
      <c r="C34" t="s">
        <v>1590</v>
      </c>
      <c r="D34">
        <v>7</v>
      </c>
    </row>
    <row r="35" spans="1:4" x14ac:dyDescent="0.25">
      <c r="A35" t="s">
        <v>40</v>
      </c>
      <c r="B35" t="s">
        <v>671</v>
      </c>
      <c r="C35" t="s">
        <v>946</v>
      </c>
      <c r="D35">
        <v>9</v>
      </c>
    </row>
    <row r="36" spans="1:4" x14ac:dyDescent="0.25">
      <c r="A36" t="s">
        <v>40</v>
      </c>
      <c r="B36" t="s">
        <v>1112</v>
      </c>
      <c r="C36" t="s">
        <v>4003</v>
      </c>
      <c r="D36">
        <v>11</v>
      </c>
    </row>
    <row r="37" spans="1:4" x14ac:dyDescent="0.25">
      <c r="A37" t="s">
        <v>40</v>
      </c>
      <c r="B37" t="s">
        <v>1402</v>
      </c>
      <c r="C37" t="s">
        <v>1141</v>
      </c>
      <c r="D37">
        <v>10</v>
      </c>
    </row>
    <row r="38" spans="1:4" x14ac:dyDescent="0.25">
      <c r="A38" t="s">
        <v>40</v>
      </c>
      <c r="B38" t="s">
        <v>1402</v>
      </c>
      <c r="C38" t="s">
        <v>3340</v>
      </c>
      <c r="D38">
        <v>9</v>
      </c>
    </row>
    <row r="39" spans="1:4" x14ac:dyDescent="0.25">
      <c r="A39" t="s">
        <v>40</v>
      </c>
      <c r="B39" t="s">
        <v>612</v>
      </c>
      <c r="C39" t="s">
        <v>949</v>
      </c>
      <c r="D39">
        <v>11</v>
      </c>
    </row>
    <row r="40" spans="1:4" x14ac:dyDescent="0.25">
      <c r="A40" t="s">
        <v>40</v>
      </c>
      <c r="B40" t="s">
        <v>673</v>
      </c>
      <c r="C40" t="s">
        <v>2167</v>
      </c>
      <c r="D40">
        <v>9</v>
      </c>
    </row>
    <row r="41" spans="1:4" x14ac:dyDescent="0.25">
      <c r="A41" t="s">
        <v>40</v>
      </c>
      <c r="B41" t="s">
        <v>483</v>
      </c>
      <c r="C41" t="s">
        <v>1674</v>
      </c>
      <c r="D41">
        <v>8</v>
      </c>
    </row>
    <row r="42" spans="1:4" x14ac:dyDescent="0.25">
      <c r="A42" t="s">
        <v>40</v>
      </c>
      <c r="B42" t="s">
        <v>483</v>
      </c>
      <c r="C42" t="s">
        <v>2168</v>
      </c>
      <c r="D42">
        <v>7</v>
      </c>
    </row>
    <row r="43" spans="1:4" x14ac:dyDescent="0.25">
      <c r="A43" t="s">
        <v>40</v>
      </c>
      <c r="B43" t="s">
        <v>1135</v>
      </c>
      <c r="C43" t="s">
        <v>1596</v>
      </c>
      <c r="D43">
        <v>10</v>
      </c>
    </row>
    <row r="44" spans="1:4" x14ac:dyDescent="0.25">
      <c r="A44" t="s">
        <v>40</v>
      </c>
      <c r="B44" t="s">
        <v>78</v>
      </c>
      <c r="C44" t="s">
        <v>3343</v>
      </c>
      <c r="D44">
        <v>13</v>
      </c>
    </row>
    <row r="45" spans="1:4" x14ac:dyDescent="0.25">
      <c r="A45" t="s">
        <v>40</v>
      </c>
      <c r="B45" t="s">
        <v>817</v>
      </c>
      <c r="C45" t="s">
        <v>3209</v>
      </c>
      <c r="D45">
        <v>12</v>
      </c>
    </row>
    <row r="46" spans="1:4" x14ac:dyDescent="0.25">
      <c r="A46" t="s">
        <v>80</v>
      </c>
      <c r="B46" t="s">
        <v>1929</v>
      </c>
      <c r="C46" t="s">
        <v>2862</v>
      </c>
      <c r="D46">
        <v>13</v>
      </c>
    </row>
    <row r="47" spans="1:4" x14ac:dyDescent="0.25">
      <c r="A47" t="s">
        <v>80</v>
      </c>
      <c r="B47" t="s">
        <v>565</v>
      </c>
      <c r="C47" t="s">
        <v>2600</v>
      </c>
      <c r="D47">
        <v>10</v>
      </c>
    </row>
    <row r="48" spans="1:4" x14ac:dyDescent="0.25">
      <c r="A48" t="s">
        <v>80</v>
      </c>
      <c r="B48" t="s">
        <v>693</v>
      </c>
      <c r="C48" t="s">
        <v>4142</v>
      </c>
      <c r="D48">
        <v>11</v>
      </c>
    </row>
    <row r="49" spans="1:4" x14ac:dyDescent="0.25">
      <c r="A49" t="s">
        <v>80</v>
      </c>
      <c r="B49" t="s">
        <v>250</v>
      </c>
      <c r="C49" t="s">
        <v>1951</v>
      </c>
      <c r="D49">
        <v>13</v>
      </c>
    </row>
    <row r="50" spans="1:4" x14ac:dyDescent="0.25">
      <c r="A50" t="s">
        <v>80</v>
      </c>
      <c r="B50" t="s">
        <v>1742</v>
      </c>
      <c r="C50" t="s">
        <v>1156</v>
      </c>
      <c r="D50">
        <v>10</v>
      </c>
    </row>
    <row r="51" spans="1:4" x14ac:dyDescent="0.25">
      <c r="A51" t="s">
        <v>80</v>
      </c>
      <c r="B51" t="s">
        <v>335</v>
      </c>
      <c r="C51" t="s">
        <v>2550</v>
      </c>
      <c r="D51">
        <v>8</v>
      </c>
    </row>
    <row r="52" spans="1:4" x14ac:dyDescent="0.25">
      <c r="A52" t="s">
        <v>80</v>
      </c>
      <c r="B52" t="s">
        <v>654</v>
      </c>
      <c r="C52" t="s">
        <v>4225</v>
      </c>
      <c r="D52">
        <v>9</v>
      </c>
    </row>
    <row r="53" spans="1:4" x14ac:dyDescent="0.25">
      <c r="A53" t="s">
        <v>80</v>
      </c>
      <c r="B53" t="s">
        <v>654</v>
      </c>
      <c r="C53" t="s">
        <v>1158</v>
      </c>
      <c r="D53">
        <v>10</v>
      </c>
    </row>
    <row r="54" spans="1:4" x14ac:dyDescent="0.25">
      <c r="A54" t="s">
        <v>80</v>
      </c>
      <c r="B54" t="s">
        <v>60</v>
      </c>
      <c r="C54" t="s">
        <v>2881</v>
      </c>
      <c r="D54">
        <v>9</v>
      </c>
    </row>
    <row r="55" spans="1:4" x14ac:dyDescent="0.25">
      <c r="A55" t="s">
        <v>80</v>
      </c>
      <c r="B55" t="s">
        <v>60</v>
      </c>
      <c r="C55" t="s">
        <v>1159</v>
      </c>
      <c r="D55">
        <v>8</v>
      </c>
    </row>
    <row r="56" spans="1:4" x14ac:dyDescent="0.25">
      <c r="A56" t="s">
        <v>80</v>
      </c>
      <c r="B56" t="s">
        <v>2962</v>
      </c>
      <c r="C56" t="s">
        <v>1160</v>
      </c>
      <c r="D56">
        <v>9</v>
      </c>
    </row>
    <row r="57" spans="1:4" x14ac:dyDescent="0.25">
      <c r="A57" t="s">
        <v>80</v>
      </c>
      <c r="B57" t="s">
        <v>922</v>
      </c>
      <c r="C57" t="s">
        <v>3982</v>
      </c>
      <c r="D57">
        <v>6</v>
      </c>
    </row>
    <row r="58" spans="1:4" x14ac:dyDescent="0.25">
      <c r="A58" t="s">
        <v>80</v>
      </c>
      <c r="B58" t="s">
        <v>667</v>
      </c>
      <c r="C58" t="s">
        <v>636</v>
      </c>
      <c r="D58">
        <v>3</v>
      </c>
    </row>
    <row r="59" spans="1:4" x14ac:dyDescent="0.25">
      <c r="A59" t="s">
        <v>80</v>
      </c>
      <c r="B59" t="s">
        <v>631</v>
      </c>
      <c r="C59" t="s">
        <v>2179</v>
      </c>
      <c r="D59">
        <v>4</v>
      </c>
    </row>
    <row r="60" spans="1:4" x14ac:dyDescent="0.25">
      <c r="A60" t="s">
        <v>80</v>
      </c>
      <c r="B60" t="s">
        <v>1619</v>
      </c>
      <c r="C60" t="s">
        <v>2181</v>
      </c>
      <c r="D60">
        <v>2</v>
      </c>
    </row>
    <row r="61" spans="1:4" x14ac:dyDescent="0.25">
      <c r="A61" t="s">
        <v>80</v>
      </c>
      <c r="B61" t="s">
        <v>198</v>
      </c>
      <c r="C61" t="s">
        <v>638</v>
      </c>
      <c r="D61">
        <v>4</v>
      </c>
    </row>
    <row r="62" spans="1:4" x14ac:dyDescent="0.25">
      <c r="A62" t="s">
        <v>80</v>
      </c>
      <c r="B62" t="s">
        <v>1484</v>
      </c>
      <c r="C62" t="s">
        <v>639</v>
      </c>
      <c r="D62">
        <v>2</v>
      </c>
    </row>
    <row r="63" spans="1:4" x14ac:dyDescent="0.25">
      <c r="A63" t="s">
        <v>80</v>
      </c>
      <c r="B63" t="s">
        <v>996</v>
      </c>
      <c r="C63" t="s">
        <v>640</v>
      </c>
      <c r="D63">
        <v>4</v>
      </c>
    </row>
    <row r="64" spans="1:4" x14ac:dyDescent="0.25">
      <c r="A64" t="s">
        <v>80</v>
      </c>
      <c r="B64" t="s">
        <v>675</v>
      </c>
      <c r="C64" t="s">
        <v>2183</v>
      </c>
      <c r="D64">
        <v>6</v>
      </c>
    </row>
    <row r="65" spans="1:4" x14ac:dyDescent="0.25">
      <c r="A65" t="s">
        <v>80</v>
      </c>
      <c r="B65" t="s">
        <v>1646</v>
      </c>
      <c r="C65" t="s">
        <v>644</v>
      </c>
      <c r="D65">
        <v>4</v>
      </c>
    </row>
    <row r="66" spans="1:4" x14ac:dyDescent="0.25">
      <c r="A66" t="s">
        <v>123</v>
      </c>
      <c r="B66" t="s">
        <v>170</v>
      </c>
      <c r="C66" t="s">
        <v>2184</v>
      </c>
      <c r="D66">
        <v>6</v>
      </c>
    </row>
    <row r="67" spans="1:4" x14ac:dyDescent="0.25">
      <c r="A67" t="s">
        <v>123</v>
      </c>
      <c r="B67" t="s">
        <v>205</v>
      </c>
      <c r="C67" t="s">
        <v>647</v>
      </c>
      <c r="D67">
        <v>4</v>
      </c>
    </row>
    <row r="68" spans="1:4" x14ac:dyDescent="0.25">
      <c r="A68" t="s">
        <v>123</v>
      </c>
      <c r="B68" t="s">
        <v>797</v>
      </c>
      <c r="C68" t="s">
        <v>2731</v>
      </c>
      <c r="D68">
        <v>6</v>
      </c>
    </row>
    <row r="69" spans="1:4" x14ac:dyDescent="0.25">
      <c r="A69" t="s">
        <v>123</v>
      </c>
      <c r="B69" t="s">
        <v>1029</v>
      </c>
      <c r="C69" t="s">
        <v>1178</v>
      </c>
      <c r="D69">
        <v>4</v>
      </c>
    </row>
    <row r="70" spans="1:4" x14ac:dyDescent="0.25">
      <c r="A70" t="s">
        <v>123</v>
      </c>
      <c r="B70" t="s">
        <v>1029</v>
      </c>
      <c r="C70" t="s">
        <v>2605</v>
      </c>
      <c r="D70">
        <v>3</v>
      </c>
    </row>
    <row r="71" spans="1:4" x14ac:dyDescent="0.25">
      <c r="A71" t="s">
        <v>123</v>
      </c>
      <c r="B71" t="s">
        <v>1824</v>
      </c>
      <c r="C71" t="s">
        <v>1846</v>
      </c>
      <c r="D71">
        <v>6</v>
      </c>
    </row>
    <row r="72" spans="1:4" x14ac:dyDescent="0.25">
      <c r="A72" t="s">
        <v>123</v>
      </c>
      <c r="B72" t="s">
        <v>1826</v>
      </c>
      <c r="C72" t="s">
        <v>413</v>
      </c>
      <c r="D72">
        <v>8</v>
      </c>
    </row>
    <row r="73" spans="1:4" x14ac:dyDescent="0.25">
      <c r="A73" t="s">
        <v>123</v>
      </c>
      <c r="B73" t="s">
        <v>1194</v>
      </c>
      <c r="C73" t="s">
        <v>1181</v>
      </c>
      <c r="D73">
        <v>7</v>
      </c>
    </row>
    <row r="74" spans="1:4" x14ac:dyDescent="0.25">
      <c r="A74" t="s">
        <v>123</v>
      </c>
      <c r="B74" t="s">
        <v>280</v>
      </c>
      <c r="C74" t="s">
        <v>3070</v>
      </c>
      <c r="D74">
        <v>5</v>
      </c>
    </row>
    <row r="75" spans="1:4" x14ac:dyDescent="0.25">
      <c r="A75" t="s">
        <v>123</v>
      </c>
      <c r="B75" t="s">
        <v>280</v>
      </c>
      <c r="C75" t="s">
        <v>3735</v>
      </c>
      <c r="D75">
        <v>4</v>
      </c>
    </row>
    <row r="76" spans="1:4" x14ac:dyDescent="0.25">
      <c r="A76" t="s">
        <v>123</v>
      </c>
      <c r="B76" t="s">
        <v>186</v>
      </c>
      <c r="C76" t="s">
        <v>4267</v>
      </c>
      <c r="D76">
        <v>1</v>
      </c>
    </row>
    <row r="77" spans="1:4" x14ac:dyDescent="0.25">
      <c r="A77" t="s">
        <v>123</v>
      </c>
      <c r="B77" t="s">
        <v>313</v>
      </c>
      <c r="C77" t="s">
        <v>669</v>
      </c>
      <c r="D77">
        <v>3</v>
      </c>
    </row>
    <row r="78" spans="1:4" x14ac:dyDescent="0.25">
      <c r="A78" t="s">
        <v>123</v>
      </c>
      <c r="B78" t="s">
        <v>21</v>
      </c>
      <c r="C78" t="s">
        <v>3071</v>
      </c>
      <c r="D78">
        <v>2</v>
      </c>
    </row>
    <row r="79" spans="1:4" x14ac:dyDescent="0.25">
      <c r="A79" t="s">
        <v>123</v>
      </c>
      <c r="B79" t="s">
        <v>21</v>
      </c>
      <c r="C79" t="s">
        <v>2735</v>
      </c>
      <c r="D79">
        <v>1</v>
      </c>
    </row>
    <row r="80" spans="1:4" x14ac:dyDescent="0.25">
      <c r="A80" t="s">
        <v>123</v>
      </c>
      <c r="B80" t="s">
        <v>1795</v>
      </c>
      <c r="C80" t="s">
        <v>672</v>
      </c>
      <c r="D80">
        <v>2</v>
      </c>
    </row>
    <row r="81" spans="1:4" x14ac:dyDescent="0.25">
      <c r="A81" t="s">
        <v>123</v>
      </c>
      <c r="B81" t="s">
        <v>1795</v>
      </c>
      <c r="C81" t="s">
        <v>4223</v>
      </c>
      <c r="D81">
        <v>3</v>
      </c>
    </row>
    <row r="82" spans="1:4" x14ac:dyDescent="0.25">
      <c r="A82" t="s">
        <v>123</v>
      </c>
      <c r="B82" t="s">
        <v>1198</v>
      </c>
      <c r="C82" t="s">
        <v>676</v>
      </c>
      <c r="D82">
        <v>5</v>
      </c>
    </row>
    <row r="83" spans="1:4" x14ac:dyDescent="0.25">
      <c r="A83" t="s">
        <v>123</v>
      </c>
      <c r="B83" t="s">
        <v>702</v>
      </c>
      <c r="C83" t="s">
        <v>678</v>
      </c>
      <c r="D83">
        <v>7</v>
      </c>
    </row>
    <row r="84" spans="1:4" x14ac:dyDescent="0.25">
      <c r="A84" t="s">
        <v>123</v>
      </c>
      <c r="B84" t="s">
        <v>702</v>
      </c>
      <c r="C84" t="s">
        <v>679</v>
      </c>
      <c r="D84">
        <v>8</v>
      </c>
    </row>
    <row r="85" spans="1:4" x14ac:dyDescent="0.25">
      <c r="A85" t="s">
        <v>123</v>
      </c>
      <c r="B85" t="s">
        <v>196</v>
      </c>
      <c r="C85" t="s">
        <v>4279</v>
      </c>
      <c r="D85">
        <v>9</v>
      </c>
    </row>
    <row r="86" spans="1:4" x14ac:dyDescent="0.25">
      <c r="A86" t="s">
        <v>123</v>
      </c>
      <c r="B86" t="s">
        <v>290</v>
      </c>
      <c r="C86" t="s">
        <v>684</v>
      </c>
      <c r="D86">
        <v>7</v>
      </c>
    </row>
    <row r="87" spans="1:4" x14ac:dyDescent="0.25">
      <c r="A87" t="s">
        <v>123</v>
      </c>
      <c r="B87" t="s">
        <v>1940</v>
      </c>
      <c r="C87" t="s">
        <v>685</v>
      </c>
      <c r="D87">
        <v>9</v>
      </c>
    </row>
    <row r="88" spans="1:4" x14ac:dyDescent="0.25">
      <c r="A88" t="s">
        <v>123</v>
      </c>
      <c r="B88" t="s">
        <v>231</v>
      </c>
      <c r="C88" t="s">
        <v>4403</v>
      </c>
      <c r="D88">
        <v>11</v>
      </c>
    </row>
    <row r="89" spans="1:4" x14ac:dyDescent="0.25">
      <c r="A89" t="s">
        <v>123</v>
      </c>
      <c r="B89" t="s">
        <v>72</v>
      </c>
      <c r="C89" t="s">
        <v>4404</v>
      </c>
      <c r="D89">
        <v>9</v>
      </c>
    </row>
    <row r="90" spans="1:4" x14ac:dyDescent="0.25">
      <c r="A90" t="s">
        <v>123</v>
      </c>
      <c r="B90" t="s">
        <v>72</v>
      </c>
      <c r="C90" t="s">
        <v>4405</v>
      </c>
      <c r="D90">
        <v>8</v>
      </c>
    </row>
    <row r="91" spans="1:4" x14ac:dyDescent="0.25">
      <c r="A91" t="s">
        <v>123</v>
      </c>
      <c r="B91" t="s">
        <v>72</v>
      </c>
      <c r="C91" t="s">
        <v>2467</v>
      </c>
      <c r="D91">
        <v>7</v>
      </c>
    </row>
    <row r="92" spans="1:4" x14ac:dyDescent="0.25">
      <c r="A92" t="s">
        <v>123</v>
      </c>
      <c r="B92" t="s">
        <v>346</v>
      </c>
      <c r="C92" t="s">
        <v>1859</v>
      </c>
      <c r="D92">
        <v>8</v>
      </c>
    </row>
    <row r="93" spans="1:4" x14ac:dyDescent="0.25">
      <c r="A93" t="s">
        <v>123</v>
      </c>
      <c r="B93" t="s">
        <v>346</v>
      </c>
      <c r="C93" t="s">
        <v>4395</v>
      </c>
      <c r="D93">
        <v>9</v>
      </c>
    </row>
    <row r="94" spans="1:4" x14ac:dyDescent="0.25">
      <c r="A94" t="s">
        <v>123</v>
      </c>
      <c r="B94" t="s">
        <v>481</v>
      </c>
      <c r="C94" t="s">
        <v>2471</v>
      </c>
      <c r="D94">
        <v>6</v>
      </c>
    </row>
    <row r="95" spans="1:4" x14ac:dyDescent="0.25">
      <c r="A95" t="s">
        <v>123</v>
      </c>
      <c r="B95" t="s">
        <v>2042</v>
      </c>
      <c r="C95" t="s">
        <v>2473</v>
      </c>
      <c r="D95">
        <v>8</v>
      </c>
    </row>
    <row r="96" spans="1:4" x14ac:dyDescent="0.25">
      <c r="A96" t="s">
        <v>123</v>
      </c>
      <c r="B96" t="s">
        <v>1733</v>
      </c>
      <c r="C96" t="s">
        <v>4406</v>
      </c>
      <c r="D96">
        <v>6</v>
      </c>
    </row>
    <row r="97" spans="1:4" x14ac:dyDescent="0.25">
      <c r="A97" t="s">
        <v>123</v>
      </c>
      <c r="B97" t="s">
        <v>972</v>
      </c>
      <c r="C97" t="s">
        <v>4407</v>
      </c>
      <c r="D97">
        <v>7</v>
      </c>
    </row>
    <row r="98" spans="1:4" x14ac:dyDescent="0.25">
      <c r="A98" t="s">
        <v>123</v>
      </c>
      <c r="B98" t="s">
        <v>972</v>
      </c>
      <c r="C98" t="s">
        <v>4408</v>
      </c>
      <c r="D98">
        <v>8</v>
      </c>
    </row>
    <row r="99" spans="1:4" x14ac:dyDescent="0.25">
      <c r="A99" t="s">
        <v>123</v>
      </c>
      <c r="B99" t="s">
        <v>422</v>
      </c>
      <c r="C99" t="s">
        <v>4409</v>
      </c>
      <c r="D99">
        <v>7</v>
      </c>
    </row>
    <row r="101" spans="1:4" x14ac:dyDescent="0.25">
      <c r="A101" s="2" t="s">
        <v>157</v>
      </c>
    </row>
    <row r="102" spans="1:4" x14ac:dyDescent="0.25">
      <c r="A102" t="s">
        <v>158</v>
      </c>
      <c r="D102">
        <f>AVERAGE(D2:D99)</f>
        <v>5.7244897959183669</v>
      </c>
    </row>
    <row r="103" spans="1:4" x14ac:dyDescent="0.25">
      <c r="A103" t="s">
        <v>159</v>
      </c>
      <c r="D103">
        <f>MAX(D2:D99)</f>
        <v>13</v>
      </c>
    </row>
    <row r="104" spans="1:4" x14ac:dyDescent="0.25">
      <c r="A104" t="s">
        <v>160</v>
      </c>
      <c r="D104">
        <f>MIN(D2:D99)</f>
        <v>-5</v>
      </c>
    </row>
    <row r="105" spans="1:4" x14ac:dyDescent="0.25">
      <c r="A105" t="s">
        <v>161</v>
      </c>
      <c r="D105">
        <f>COUNTIF(D2:D99,"&gt;0")</f>
        <v>88</v>
      </c>
    </row>
    <row r="106" spans="1:4" x14ac:dyDescent="0.25">
      <c r="A106" t="s">
        <v>162</v>
      </c>
      <c r="D106">
        <f>COUNTIF(D2:D99,"=0")</f>
        <v>3</v>
      </c>
    </row>
    <row r="107" spans="1:4" x14ac:dyDescent="0.25">
      <c r="A107" t="s">
        <v>2857</v>
      </c>
      <c r="D107">
        <f>COUNTIF(D2:D99,"&lt;0")</f>
        <v>7</v>
      </c>
    </row>
    <row r="109" spans="1:4" x14ac:dyDescent="0.25">
      <c r="A109" s="2" t="s">
        <v>164</v>
      </c>
    </row>
    <row r="110" spans="1:4" x14ac:dyDescent="0.25">
      <c r="A110" t="s">
        <v>165</v>
      </c>
      <c r="D110">
        <f>AVERAGE(D2,D3,D4,D5,D6,D7,D8,D9,D10,D11,D12,D13,D14,D15,D16,D17,D18,D19,D20,D21,D22,D23)</f>
        <v>0.68181818181818177</v>
      </c>
    </row>
    <row r="111" spans="1:4" x14ac:dyDescent="0.25">
      <c r="A111" t="s">
        <v>166</v>
      </c>
      <c r="D111">
        <f>AVERAGE(D24,D25,D26,D27,D28,D29,D30,D31,D32,D33,D34,D35,D36,D37,D38,D39,D40,D41,D42,D43,D44,D45)</f>
        <v>8.954545454545455</v>
      </c>
    </row>
    <row r="112" spans="1:4" x14ac:dyDescent="0.25">
      <c r="A112" t="s">
        <v>167</v>
      </c>
      <c r="D112">
        <f>AVERAGE(D46,D47,D48,D49,D50,D51,D52,D53,D54,D55,D56,D57,D58,D59,D60,D61,D62,D63,D64,D65)</f>
        <v>7.25</v>
      </c>
    </row>
    <row r="113" spans="1:4" x14ac:dyDescent="0.25">
      <c r="A113" t="s">
        <v>168</v>
      </c>
      <c r="D113">
        <f>AVERAGE(D66,D67,D68,D69,D70,D71,D72,D73,D74,D75,D76,D77,D78,D79,D80,D81,D82,D83,D84,D85,D86,D87,D88,D89,D90,D91,D92,D93,D94,D95,D96,D97,D98,D99)</f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D8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4410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4</v>
      </c>
      <c r="B3" t="s">
        <v>271</v>
      </c>
      <c r="C3" t="s">
        <v>8</v>
      </c>
      <c r="D3">
        <v>0</v>
      </c>
    </row>
    <row r="4" spans="1:4" x14ac:dyDescent="0.25">
      <c r="A4" t="s">
        <v>4</v>
      </c>
      <c r="B4" t="s">
        <v>1789</v>
      </c>
      <c r="C4" t="s">
        <v>564</v>
      </c>
      <c r="D4">
        <v>2</v>
      </c>
    </row>
    <row r="5" spans="1:4" x14ac:dyDescent="0.25">
      <c r="A5" t="s">
        <v>4</v>
      </c>
      <c r="B5" t="s">
        <v>1958</v>
      </c>
      <c r="C5" t="s">
        <v>176</v>
      </c>
      <c r="D5">
        <v>4</v>
      </c>
    </row>
    <row r="6" spans="1:4" x14ac:dyDescent="0.25">
      <c r="A6" t="s">
        <v>4</v>
      </c>
      <c r="B6" t="s">
        <v>2118</v>
      </c>
      <c r="C6" t="s">
        <v>1972</v>
      </c>
      <c r="D6">
        <v>6</v>
      </c>
    </row>
    <row r="7" spans="1:4" x14ac:dyDescent="0.25">
      <c r="A7" t="s">
        <v>4</v>
      </c>
      <c r="B7" t="s">
        <v>1498</v>
      </c>
      <c r="C7" t="s">
        <v>3466</v>
      </c>
      <c r="D7">
        <v>8</v>
      </c>
    </row>
    <row r="8" spans="1:4" x14ac:dyDescent="0.25">
      <c r="A8" t="s">
        <v>4</v>
      </c>
      <c r="B8" t="s">
        <v>1227</v>
      </c>
      <c r="C8" t="s">
        <v>183</v>
      </c>
      <c r="D8">
        <v>6</v>
      </c>
    </row>
    <row r="9" spans="1:4" x14ac:dyDescent="0.25">
      <c r="A9" t="s">
        <v>4</v>
      </c>
      <c r="B9" t="s">
        <v>1170</v>
      </c>
      <c r="C9" t="s">
        <v>185</v>
      </c>
      <c r="D9">
        <v>4</v>
      </c>
    </row>
    <row r="10" spans="1:4" x14ac:dyDescent="0.25">
      <c r="A10" t="s">
        <v>4</v>
      </c>
      <c r="B10" t="s">
        <v>539</v>
      </c>
      <c r="C10" t="s">
        <v>187</v>
      </c>
      <c r="D10">
        <v>7</v>
      </c>
    </row>
    <row r="11" spans="1:4" x14ac:dyDescent="0.25">
      <c r="A11" t="s">
        <v>4</v>
      </c>
      <c r="B11" t="s">
        <v>1016</v>
      </c>
      <c r="C11" t="s">
        <v>189</v>
      </c>
      <c r="D11">
        <v>10</v>
      </c>
    </row>
    <row r="12" spans="1:4" x14ac:dyDescent="0.25">
      <c r="A12" t="s">
        <v>4</v>
      </c>
      <c r="B12" t="s">
        <v>110</v>
      </c>
      <c r="C12" t="s">
        <v>191</v>
      </c>
      <c r="D12">
        <v>8</v>
      </c>
    </row>
    <row r="13" spans="1:4" x14ac:dyDescent="0.25">
      <c r="A13" t="s">
        <v>4</v>
      </c>
      <c r="B13" t="s">
        <v>110</v>
      </c>
      <c r="C13" t="s">
        <v>3195</v>
      </c>
      <c r="D13">
        <v>7</v>
      </c>
    </row>
    <row r="14" spans="1:4" x14ac:dyDescent="0.25">
      <c r="A14" t="s">
        <v>4</v>
      </c>
      <c r="B14" t="s">
        <v>384</v>
      </c>
      <c r="C14" t="s">
        <v>321</v>
      </c>
      <c r="D14">
        <v>6</v>
      </c>
    </row>
    <row r="15" spans="1:4" x14ac:dyDescent="0.25">
      <c r="A15" t="s">
        <v>4</v>
      </c>
      <c r="B15" t="s">
        <v>546</v>
      </c>
      <c r="C15" t="s">
        <v>195</v>
      </c>
      <c r="D15">
        <v>8</v>
      </c>
    </row>
    <row r="16" spans="1:4" x14ac:dyDescent="0.25">
      <c r="A16" t="s">
        <v>4</v>
      </c>
      <c r="B16" t="s">
        <v>1132</v>
      </c>
      <c r="C16" t="s">
        <v>197</v>
      </c>
      <c r="D16">
        <v>5</v>
      </c>
    </row>
    <row r="17" spans="1:4" x14ac:dyDescent="0.25">
      <c r="A17" t="s">
        <v>4</v>
      </c>
      <c r="B17" t="s">
        <v>815</v>
      </c>
      <c r="C17" t="s">
        <v>1876</v>
      </c>
      <c r="D17">
        <v>3</v>
      </c>
    </row>
    <row r="18" spans="1:4" x14ac:dyDescent="0.25">
      <c r="A18" t="s">
        <v>4</v>
      </c>
      <c r="B18" t="s">
        <v>2608</v>
      </c>
      <c r="C18" t="s">
        <v>1201</v>
      </c>
      <c r="D18">
        <v>4</v>
      </c>
    </row>
    <row r="19" spans="1:4" x14ac:dyDescent="0.25">
      <c r="A19" t="s">
        <v>40</v>
      </c>
      <c r="B19" t="s">
        <v>714</v>
      </c>
      <c r="C19" t="s">
        <v>201</v>
      </c>
      <c r="D19">
        <v>7</v>
      </c>
    </row>
    <row r="20" spans="1:4" x14ac:dyDescent="0.25">
      <c r="A20" t="s">
        <v>40</v>
      </c>
      <c r="B20" t="s">
        <v>170</v>
      </c>
      <c r="C20" t="s">
        <v>1120</v>
      </c>
      <c r="D20">
        <v>4</v>
      </c>
    </row>
    <row r="21" spans="1:4" x14ac:dyDescent="0.25">
      <c r="A21" t="s">
        <v>40</v>
      </c>
      <c r="B21" t="s">
        <v>954</v>
      </c>
      <c r="C21" t="s">
        <v>206</v>
      </c>
      <c r="D21">
        <v>6</v>
      </c>
    </row>
    <row r="22" spans="1:4" x14ac:dyDescent="0.25">
      <c r="A22" t="s">
        <v>40</v>
      </c>
      <c r="B22" t="s">
        <v>332</v>
      </c>
      <c r="C22" t="s">
        <v>1025</v>
      </c>
      <c r="D22">
        <v>8</v>
      </c>
    </row>
    <row r="23" spans="1:4" x14ac:dyDescent="0.25">
      <c r="A23" t="s">
        <v>40</v>
      </c>
      <c r="B23" t="s">
        <v>517</v>
      </c>
      <c r="C23" t="s">
        <v>210</v>
      </c>
      <c r="D23">
        <v>7</v>
      </c>
    </row>
    <row r="24" spans="1:4" x14ac:dyDescent="0.25">
      <c r="A24" t="s">
        <v>40</v>
      </c>
      <c r="B24" t="s">
        <v>93</v>
      </c>
      <c r="C24" t="s">
        <v>2927</v>
      </c>
      <c r="D24">
        <v>10</v>
      </c>
    </row>
    <row r="25" spans="1:4" x14ac:dyDescent="0.25">
      <c r="A25" t="s">
        <v>40</v>
      </c>
      <c r="B25" t="s">
        <v>1817</v>
      </c>
      <c r="C25" t="s">
        <v>2928</v>
      </c>
      <c r="D25">
        <v>12</v>
      </c>
    </row>
    <row r="26" spans="1:4" x14ac:dyDescent="0.25">
      <c r="A26" t="s">
        <v>40</v>
      </c>
      <c r="B26" t="s">
        <v>1829</v>
      </c>
      <c r="C26" t="s">
        <v>3005</v>
      </c>
      <c r="D26">
        <v>14</v>
      </c>
    </row>
    <row r="27" spans="1:4" x14ac:dyDescent="0.25">
      <c r="A27" t="s">
        <v>40</v>
      </c>
      <c r="B27" t="s">
        <v>108</v>
      </c>
      <c r="C27" t="s">
        <v>3391</v>
      </c>
      <c r="D27">
        <v>15</v>
      </c>
    </row>
    <row r="28" spans="1:4" x14ac:dyDescent="0.25">
      <c r="A28" t="s">
        <v>40</v>
      </c>
      <c r="B28" t="s">
        <v>108</v>
      </c>
      <c r="C28" t="s">
        <v>2056</v>
      </c>
      <c r="D28">
        <v>16</v>
      </c>
    </row>
    <row r="29" spans="1:4" x14ac:dyDescent="0.25">
      <c r="A29" t="s">
        <v>40</v>
      </c>
      <c r="B29" t="s">
        <v>876</v>
      </c>
      <c r="C29" t="s">
        <v>1293</v>
      </c>
      <c r="D29">
        <v>18</v>
      </c>
    </row>
    <row r="30" spans="1:4" x14ac:dyDescent="0.25">
      <c r="A30" t="s">
        <v>40</v>
      </c>
      <c r="B30" t="s">
        <v>611</v>
      </c>
      <c r="C30" t="s">
        <v>3392</v>
      </c>
      <c r="D30">
        <v>16</v>
      </c>
    </row>
    <row r="31" spans="1:4" x14ac:dyDescent="0.25">
      <c r="A31" t="s">
        <v>40</v>
      </c>
      <c r="B31" t="s">
        <v>581</v>
      </c>
      <c r="C31" t="s">
        <v>1296</v>
      </c>
      <c r="D31">
        <v>17</v>
      </c>
    </row>
    <row r="32" spans="1:4" x14ac:dyDescent="0.25">
      <c r="A32" t="s">
        <v>40</v>
      </c>
      <c r="B32" t="s">
        <v>581</v>
      </c>
      <c r="C32" t="s">
        <v>4347</v>
      </c>
      <c r="D32">
        <v>18</v>
      </c>
    </row>
    <row r="33" spans="1:4" x14ac:dyDescent="0.25">
      <c r="A33" t="s">
        <v>40</v>
      </c>
      <c r="B33" t="s">
        <v>1675</v>
      </c>
      <c r="C33" t="s">
        <v>2905</v>
      </c>
      <c r="D33">
        <v>16</v>
      </c>
    </row>
    <row r="34" spans="1:4" x14ac:dyDescent="0.25">
      <c r="A34" t="s">
        <v>40</v>
      </c>
      <c r="B34" t="s">
        <v>74</v>
      </c>
      <c r="C34" t="s">
        <v>2653</v>
      </c>
      <c r="D34">
        <v>15</v>
      </c>
    </row>
    <row r="35" spans="1:4" x14ac:dyDescent="0.25">
      <c r="A35" t="s">
        <v>40</v>
      </c>
      <c r="B35" t="s">
        <v>74</v>
      </c>
      <c r="C35" t="s">
        <v>2906</v>
      </c>
      <c r="D35">
        <v>14</v>
      </c>
    </row>
    <row r="36" spans="1:4" x14ac:dyDescent="0.25">
      <c r="A36" t="s">
        <v>40</v>
      </c>
      <c r="B36" t="s">
        <v>1180</v>
      </c>
      <c r="C36" t="s">
        <v>4240</v>
      </c>
      <c r="D36">
        <v>16</v>
      </c>
    </row>
    <row r="37" spans="1:4" x14ac:dyDescent="0.25">
      <c r="A37" t="s">
        <v>40</v>
      </c>
      <c r="B37" t="s">
        <v>1180</v>
      </c>
      <c r="C37" t="s">
        <v>2907</v>
      </c>
      <c r="D37">
        <v>17</v>
      </c>
    </row>
    <row r="38" spans="1:4" x14ac:dyDescent="0.25">
      <c r="A38" t="s">
        <v>40</v>
      </c>
      <c r="B38" t="s">
        <v>301</v>
      </c>
      <c r="C38" t="s">
        <v>4411</v>
      </c>
      <c r="D38">
        <v>19</v>
      </c>
    </row>
    <row r="39" spans="1:4" x14ac:dyDescent="0.25">
      <c r="A39" t="s">
        <v>40</v>
      </c>
      <c r="B39" t="s">
        <v>930</v>
      </c>
      <c r="C39" t="s">
        <v>3055</v>
      </c>
      <c r="D39">
        <v>18</v>
      </c>
    </row>
    <row r="40" spans="1:4" x14ac:dyDescent="0.25">
      <c r="A40" t="s">
        <v>80</v>
      </c>
      <c r="B40" t="s">
        <v>273</v>
      </c>
      <c r="C40" t="s">
        <v>3237</v>
      </c>
      <c r="D40">
        <v>20</v>
      </c>
    </row>
    <row r="41" spans="1:4" x14ac:dyDescent="0.25">
      <c r="A41" t="s">
        <v>80</v>
      </c>
      <c r="B41" t="s">
        <v>1573</v>
      </c>
      <c r="C41" t="s">
        <v>4389</v>
      </c>
      <c r="D41">
        <v>23</v>
      </c>
    </row>
    <row r="42" spans="1:4" x14ac:dyDescent="0.25">
      <c r="A42" t="s">
        <v>80</v>
      </c>
      <c r="B42" t="s">
        <v>1169</v>
      </c>
      <c r="C42" t="s">
        <v>4353</v>
      </c>
      <c r="D42">
        <v>20</v>
      </c>
    </row>
    <row r="43" spans="1:4" x14ac:dyDescent="0.25">
      <c r="A43" t="s">
        <v>80</v>
      </c>
      <c r="B43" t="s">
        <v>1411</v>
      </c>
      <c r="C43" t="s">
        <v>3397</v>
      </c>
      <c r="D43">
        <v>22</v>
      </c>
    </row>
    <row r="44" spans="1:4" x14ac:dyDescent="0.25">
      <c r="A44" t="s">
        <v>80</v>
      </c>
      <c r="B44" t="s">
        <v>937</v>
      </c>
      <c r="C44" t="s">
        <v>4391</v>
      </c>
      <c r="D44">
        <v>24</v>
      </c>
    </row>
    <row r="45" spans="1:4" x14ac:dyDescent="0.25">
      <c r="A45" t="s">
        <v>80</v>
      </c>
      <c r="B45" t="s">
        <v>497</v>
      </c>
      <c r="C45" t="s">
        <v>2662</v>
      </c>
      <c r="D45">
        <v>21</v>
      </c>
    </row>
    <row r="46" spans="1:4" x14ac:dyDescent="0.25">
      <c r="A46" t="s">
        <v>80</v>
      </c>
      <c r="B46" t="s">
        <v>335</v>
      </c>
      <c r="C46" t="s">
        <v>3240</v>
      </c>
      <c r="D46">
        <v>23</v>
      </c>
    </row>
    <row r="47" spans="1:4" x14ac:dyDescent="0.25">
      <c r="A47" t="s">
        <v>80</v>
      </c>
      <c r="B47" t="s">
        <v>700</v>
      </c>
      <c r="C47" t="s">
        <v>4149</v>
      </c>
      <c r="D47">
        <v>22</v>
      </c>
    </row>
    <row r="48" spans="1:4" x14ac:dyDescent="0.25">
      <c r="A48" t="s">
        <v>80</v>
      </c>
      <c r="B48" t="s">
        <v>1819</v>
      </c>
      <c r="C48" t="s">
        <v>955</v>
      </c>
      <c r="D48">
        <v>20</v>
      </c>
    </row>
    <row r="49" spans="1:4" x14ac:dyDescent="0.25">
      <c r="A49" t="s">
        <v>80</v>
      </c>
      <c r="B49" t="s">
        <v>374</v>
      </c>
      <c r="C49" t="s">
        <v>956</v>
      </c>
      <c r="D49">
        <v>22</v>
      </c>
    </row>
    <row r="50" spans="1:4" x14ac:dyDescent="0.25">
      <c r="A50" t="s">
        <v>80</v>
      </c>
      <c r="B50" t="s">
        <v>1092</v>
      </c>
      <c r="C50" t="s">
        <v>3061</v>
      </c>
      <c r="D50">
        <v>19</v>
      </c>
    </row>
    <row r="51" spans="1:4" x14ac:dyDescent="0.25">
      <c r="A51" t="s">
        <v>80</v>
      </c>
      <c r="B51" t="s">
        <v>341</v>
      </c>
      <c r="C51" t="s">
        <v>2822</v>
      </c>
      <c r="D51">
        <v>17</v>
      </c>
    </row>
    <row r="52" spans="1:4" x14ac:dyDescent="0.25">
      <c r="A52" t="s">
        <v>80</v>
      </c>
      <c r="B52" t="s">
        <v>341</v>
      </c>
      <c r="C52" t="s">
        <v>2787</v>
      </c>
      <c r="D52">
        <v>16</v>
      </c>
    </row>
    <row r="53" spans="1:4" x14ac:dyDescent="0.25">
      <c r="A53" t="s">
        <v>80</v>
      </c>
      <c r="B53" t="s">
        <v>749</v>
      </c>
      <c r="C53" t="s">
        <v>2666</v>
      </c>
      <c r="D53">
        <v>14</v>
      </c>
    </row>
    <row r="54" spans="1:4" x14ac:dyDescent="0.25">
      <c r="A54" t="s">
        <v>80</v>
      </c>
      <c r="B54" t="s">
        <v>732</v>
      </c>
      <c r="C54" t="s">
        <v>3017</v>
      </c>
      <c r="D54">
        <v>15</v>
      </c>
    </row>
    <row r="55" spans="1:4" x14ac:dyDescent="0.25">
      <c r="A55" t="s">
        <v>80</v>
      </c>
      <c r="B55" t="s">
        <v>732</v>
      </c>
      <c r="C55" t="s">
        <v>3065</v>
      </c>
      <c r="D55">
        <v>16</v>
      </c>
    </row>
    <row r="56" spans="1:4" x14ac:dyDescent="0.25">
      <c r="A56" t="s">
        <v>80</v>
      </c>
      <c r="B56" t="s">
        <v>296</v>
      </c>
      <c r="C56" t="s">
        <v>2788</v>
      </c>
      <c r="D56">
        <v>17</v>
      </c>
    </row>
    <row r="57" spans="1:4" x14ac:dyDescent="0.25">
      <c r="A57" t="s">
        <v>80</v>
      </c>
      <c r="B57" t="s">
        <v>296</v>
      </c>
      <c r="C57" t="s">
        <v>3685</v>
      </c>
      <c r="D57">
        <v>18</v>
      </c>
    </row>
    <row r="58" spans="1:4" x14ac:dyDescent="0.25">
      <c r="A58" t="s">
        <v>80</v>
      </c>
      <c r="B58" t="s">
        <v>556</v>
      </c>
      <c r="C58" t="s">
        <v>3133</v>
      </c>
      <c r="D58">
        <v>17</v>
      </c>
    </row>
    <row r="59" spans="1:4" x14ac:dyDescent="0.25">
      <c r="A59" t="s">
        <v>80</v>
      </c>
      <c r="B59" t="s">
        <v>556</v>
      </c>
      <c r="C59" t="s">
        <v>3686</v>
      </c>
      <c r="D59">
        <v>16</v>
      </c>
    </row>
    <row r="60" spans="1:4" x14ac:dyDescent="0.25">
      <c r="A60" t="s">
        <v>80</v>
      </c>
      <c r="B60" t="s">
        <v>1261</v>
      </c>
      <c r="C60" t="s">
        <v>965</v>
      </c>
      <c r="D60">
        <v>17</v>
      </c>
    </row>
    <row r="61" spans="1:4" x14ac:dyDescent="0.25">
      <c r="A61" t="s">
        <v>80</v>
      </c>
      <c r="B61" t="s">
        <v>1261</v>
      </c>
      <c r="C61" t="s">
        <v>3687</v>
      </c>
      <c r="D61">
        <v>18</v>
      </c>
    </row>
    <row r="62" spans="1:4" x14ac:dyDescent="0.25">
      <c r="A62" t="s">
        <v>123</v>
      </c>
      <c r="B62" t="s">
        <v>205</v>
      </c>
      <c r="C62" t="s">
        <v>2668</v>
      </c>
      <c r="D62">
        <v>15</v>
      </c>
    </row>
    <row r="63" spans="1:4" x14ac:dyDescent="0.25">
      <c r="A63" t="s">
        <v>123</v>
      </c>
      <c r="B63" t="s">
        <v>49</v>
      </c>
      <c r="C63" t="s">
        <v>2669</v>
      </c>
      <c r="D63">
        <v>13</v>
      </c>
    </row>
    <row r="64" spans="1:4" x14ac:dyDescent="0.25">
      <c r="A64" t="s">
        <v>123</v>
      </c>
      <c r="B64" t="s">
        <v>1851</v>
      </c>
      <c r="C64" t="s">
        <v>2937</v>
      </c>
      <c r="D64">
        <v>12</v>
      </c>
    </row>
    <row r="65" spans="1:4" x14ac:dyDescent="0.25">
      <c r="A65" t="s">
        <v>123</v>
      </c>
      <c r="B65" t="s">
        <v>1851</v>
      </c>
      <c r="C65" t="s">
        <v>3664</v>
      </c>
      <c r="D65">
        <v>11</v>
      </c>
    </row>
    <row r="66" spans="1:4" x14ac:dyDescent="0.25">
      <c r="A66" t="s">
        <v>123</v>
      </c>
      <c r="B66" t="s">
        <v>2118</v>
      </c>
      <c r="C66" t="s">
        <v>1955</v>
      </c>
      <c r="D66">
        <v>9</v>
      </c>
    </row>
    <row r="67" spans="1:4" x14ac:dyDescent="0.25">
      <c r="A67" t="s">
        <v>123</v>
      </c>
      <c r="B67" t="s">
        <v>280</v>
      </c>
      <c r="C67" t="s">
        <v>1956</v>
      </c>
      <c r="D67">
        <v>7</v>
      </c>
    </row>
    <row r="68" spans="1:4" x14ac:dyDescent="0.25">
      <c r="A68" t="s">
        <v>123</v>
      </c>
      <c r="B68" t="s">
        <v>2629</v>
      </c>
      <c r="C68" t="s">
        <v>395</v>
      </c>
      <c r="D68">
        <v>5</v>
      </c>
    </row>
    <row r="69" spans="1:4" x14ac:dyDescent="0.25">
      <c r="A69" t="s">
        <v>123</v>
      </c>
      <c r="B69" t="s">
        <v>1698</v>
      </c>
      <c r="C69" t="s">
        <v>397</v>
      </c>
      <c r="D69">
        <v>8</v>
      </c>
    </row>
    <row r="70" spans="1:4" x14ac:dyDescent="0.25">
      <c r="A70" t="s">
        <v>123</v>
      </c>
      <c r="B70" t="s">
        <v>1622</v>
      </c>
      <c r="C70" t="s">
        <v>2869</v>
      </c>
      <c r="D70">
        <v>11</v>
      </c>
    </row>
    <row r="71" spans="1:4" x14ac:dyDescent="0.25">
      <c r="A71" t="s">
        <v>123</v>
      </c>
      <c r="B71" t="s">
        <v>556</v>
      </c>
      <c r="C71" t="s">
        <v>2870</v>
      </c>
      <c r="D71">
        <v>12</v>
      </c>
    </row>
    <row r="72" spans="1:4" x14ac:dyDescent="0.25">
      <c r="A72" t="s">
        <v>123</v>
      </c>
      <c r="B72" t="s">
        <v>556</v>
      </c>
      <c r="C72" t="s">
        <v>2991</v>
      </c>
      <c r="D72">
        <v>13</v>
      </c>
    </row>
    <row r="73" spans="1:4" x14ac:dyDescent="0.25">
      <c r="A73" t="s">
        <v>123</v>
      </c>
      <c r="B73" t="s">
        <v>1489</v>
      </c>
      <c r="C73" t="s">
        <v>1471</v>
      </c>
      <c r="D73">
        <v>12</v>
      </c>
    </row>
    <row r="75" spans="1:4" x14ac:dyDescent="0.25">
      <c r="A75" s="2" t="s">
        <v>157</v>
      </c>
    </row>
    <row r="76" spans="1:4" x14ac:dyDescent="0.25">
      <c r="A76" t="s">
        <v>158</v>
      </c>
      <c r="D76">
        <f>AVERAGE(D2:D73)</f>
        <v>12.75</v>
      </c>
    </row>
    <row r="77" spans="1:4" x14ac:dyDescent="0.25">
      <c r="A77" t="s">
        <v>159</v>
      </c>
      <c r="D77">
        <f>MAX(D2:D73)</f>
        <v>24</v>
      </c>
    </row>
    <row r="78" spans="1:4" x14ac:dyDescent="0.25">
      <c r="A78" t="s">
        <v>160</v>
      </c>
      <c r="D78">
        <f>MIN(D2:D73)</f>
        <v>0</v>
      </c>
    </row>
    <row r="79" spans="1:4" x14ac:dyDescent="0.25">
      <c r="A79" t="s">
        <v>161</v>
      </c>
      <c r="D79">
        <f>COUNTIF(D2:D73,"&gt;0")</f>
        <v>71</v>
      </c>
    </row>
    <row r="80" spans="1:4" x14ac:dyDescent="0.25">
      <c r="A80" t="s">
        <v>162</v>
      </c>
      <c r="D80">
        <f>COUNTIF(D2:D73,"=0")</f>
        <v>1</v>
      </c>
    </row>
    <row r="81" spans="1:4" x14ac:dyDescent="0.25">
      <c r="A81" t="s">
        <v>4412</v>
      </c>
      <c r="D81">
        <f>COUNTIF(D2:D73,"&lt;0")</f>
        <v>0</v>
      </c>
    </row>
    <row r="83" spans="1:4" x14ac:dyDescent="0.25">
      <c r="A83" s="2" t="s">
        <v>164</v>
      </c>
    </row>
    <row r="84" spans="1:4" x14ac:dyDescent="0.25">
      <c r="A84" t="s">
        <v>165</v>
      </c>
      <c r="D84">
        <f>AVERAGE(D2,D3,D4,D5,D6,D7,D8,D9,D10,D11,D12,D13,D14,D15,D16,D17,D18)</f>
        <v>5.2941176470588234</v>
      </c>
    </row>
    <row r="85" spans="1:4" x14ac:dyDescent="0.25">
      <c r="A85" t="s">
        <v>166</v>
      </c>
      <c r="D85">
        <f>AVERAGE(D19,D20,D21,D22,D23,D24,D25,D26,D27,D28,D29,D30,D31,D32,D33,D34,D35,D36,D37,D38,D39)</f>
        <v>13.476190476190476</v>
      </c>
    </row>
    <row r="86" spans="1:4" x14ac:dyDescent="0.25">
      <c r="A86" t="s">
        <v>167</v>
      </c>
      <c r="D86">
        <f>AVERAGE(D40,D41,D42,D43,D44,D45,D46,D47,D48,D49,D50,D51,D52,D53,D54,D55,D56,D57,D58,D59,D60,D61)</f>
        <v>18.954545454545453</v>
      </c>
    </row>
    <row r="87" spans="1:4" x14ac:dyDescent="0.25">
      <c r="A87" t="s">
        <v>168</v>
      </c>
      <c r="D87">
        <f>AVERAGE(D62,D63,D64,D65,D66,D67,D68,D69,D70,D71,D72,D73)</f>
        <v>10.666666666666666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D10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453</v>
      </c>
      <c r="C2" t="s">
        <v>171</v>
      </c>
      <c r="D2">
        <v>3</v>
      </c>
    </row>
    <row r="3" spans="1:4" x14ac:dyDescent="0.25">
      <c r="A3" t="s">
        <v>4</v>
      </c>
      <c r="B3" t="s">
        <v>857</v>
      </c>
      <c r="C3" t="s">
        <v>174</v>
      </c>
      <c r="D3">
        <v>1</v>
      </c>
    </row>
    <row r="4" spans="1:4" x14ac:dyDescent="0.25">
      <c r="A4" t="s">
        <v>4</v>
      </c>
      <c r="B4" t="s">
        <v>857</v>
      </c>
      <c r="C4" t="s">
        <v>1191</v>
      </c>
      <c r="D4">
        <v>0</v>
      </c>
    </row>
    <row r="5" spans="1:4" x14ac:dyDescent="0.25">
      <c r="A5" t="s">
        <v>4</v>
      </c>
      <c r="B5" t="s">
        <v>43</v>
      </c>
      <c r="C5" t="s">
        <v>910</v>
      </c>
      <c r="D5">
        <v>-2</v>
      </c>
    </row>
    <row r="6" spans="1:4" x14ac:dyDescent="0.25">
      <c r="A6" t="s">
        <v>4</v>
      </c>
      <c r="B6" t="s">
        <v>797</v>
      </c>
      <c r="C6" t="s">
        <v>1193</v>
      </c>
      <c r="D6">
        <v>1</v>
      </c>
    </row>
    <row r="7" spans="1:4" x14ac:dyDescent="0.25">
      <c r="A7" t="s">
        <v>4</v>
      </c>
      <c r="B7" t="s">
        <v>641</v>
      </c>
      <c r="C7" t="s">
        <v>695</v>
      </c>
      <c r="D7">
        <v>3</v>
      </c>
    </row>
    <row r="8" spans="1:4" x14ac:dyDescent="0.25">
      <c r="A8" t="s">
        <v>4</v>
      </c>
      <c r="B8" t="s">
        <v>568</v>
      </c>
      <c r="C8" t="s">
        <v>696</v>
      </c>
      <c r="D8">
        <v>1</v>
      </c>
    </row>
    <row r="9" spans="1:4" x14ac:dyDescent="0.25">
      <c r="A9" t="s">
        <v>4</v>
      </c>
      <c r="B9" t="s">
        <v>623</v>
      </c>
      <c r="C9" t="s">
        <v>697</v>
      </c>
      <c r="D9">
        <v>-1</v>
      </c>
    </row>
    <row r="10" spans="1:4" x14ac:dyDescent="0.25">
      <c r="A10" t="s">
        <v>4</v>
      </c>
      <c r="B10" t="s">
        <v>868</v>
      </c>
      <c r="C10" t="s">
        <v>699</v>
      </c>
      <c r="D10">
        <v>1</v>
      </c>
    </row>
    <row r="11" spans="1:4" x14ac:dyDescent="0.25">
      <c r="A11" t="s">
        <v>4</v>
      </c>
      <c r="B11" t="s">
        <v>870</v>
      </c>
      <c r="C11" t="s">
        <v>573</v>
      </c>
      <c r="D11">
        <v>2</v>
      </c>
    </row>
    <row r="12" spans="1:4" x14ac:dyDescent="0.25">
      <c r="A12" t="s">
        <v>4</v>
      </c>
      <c r="B12" t="s">
        <v>870</v>
      </c>
      <c r="C12" t="s">
        <v>26</v>
      </c>
      <c r="D12">
        <v>3</v>
      </c>
    </row>
    <row r="13" spans="1:4" x14ac:dyDescent="0.25">
      <c r="A13" t="s">
        <v>4</v>
      </c>
      <c r="B13" t="s">
        <v>1817</v>
      </c>
      <c r="C13" t="s">
        <v>2155</v>
      </c>
      <c r="D13">
        <v>0</v>
      </c>
    </row>
    <row r="14" spans="1:4" x14ac:dyDescent="0.25">
      <c r="A14" t="s">
        <v>4</v>
      </c>
      <c r="B14" t="s">
        <v>1434</v>
      </c>
      <c r="C14" t="s">
        <v>920</v>
      </c>
      <c r="D14">
        <v>3</v>
      </c>
    </row>
    <row r="15" spans="1:4" x14ac:dyDescent="0.25">
      <c r="A15" t="s">
        <v>4</v>
      </c>
      <c r="B15" t="s">
        <v>1350</v>
      </c>
      <c r="C15" t="s">
        <v>2121</v>
      </c>
      <c r="D15">
        <v>0</v>
      </c>
    </row>
    <row r="16" spans="1:4" x14ac:dyDescent="0.25">
      <c r="A16" t="s">
        <v>4</v>
      </c>
      <c r="B16" t="s">
        <v>1829</v>
      </c>
      <c r="C16" t="s">
        <v>4224</v>
      </c>
      <c r="D16">
        <v>2</v>
      </c>
    </row>
    <row r="17" spans="1:4" x14ac:dyDescent="0.25">
      <c r="A17" t="s">
        <v>4</v>
      </c>
      <c r="B17" t="s">
        <v>1442</v>
      </c>
      <c r="C17" t="s">
        <v>1820</v>
      </c>
      <c r="D17">
        <v>0</v>
      </c>
    </row>
    <row r="18" spans="1:4" x14ac:dyDescent="0.25">
      <c r="A18" t="s">
        <v>4</v>
      </c>
      <c r="B18" t="s">
        <v>605</v>
      </c>
      <c r="C18" t="s">
        <v>1821</v>
      </c>
      <c r="D18">
        <v>-2</v>
      </c>
    </row>
    <row r="19" spans="1:4" x14ac:dyDescent="0.25">
      <c r="A19" t="s">
        <v>4</v>
      </c>
      <c r="B19" t="s">
        <v>706</v>
      </c>
      <c r="C19" t="s">
        <v>585</v>
      </c>
      <c r="D19">
        <v>0</v>
      </c>
    </row>
    <row r="20" spans="1:4" x14ac:dyDescent="0.25">
      <c r="A20" t="s">
        <v>4</v>
      </c>
      <c r="B20" t="s">
        <v>1177</v>
      </c>
      <c r="C20" t="s">
        <v>44</v>
      </c>
      <c r="D20">
        <v>-2</v>
      </c>
    </row>
    <row r="21" spans="1:4" x14ac:dyDescent="0.25">
      <c r="A21" t="s">
        <v>4</v>
      </c>
      <c r="B21" t="s">
        <v>1622</v>
      </c>
      <c r="C21" t="s">
        <v>587</v>
      </c>
      <c r="D21">
        <v>1</v>
      </c>
    </row>
    <row r="22" spans="1:4" x14ac:dyDescent="0.25">
      <c r="A22" t="s">
        <v>4</v>
      </c>
      <c r="B22" t="s">
        <v>675</v>
      </c>
      <c r="C22" t="s">
        <v>334</v>
      </c>
      <c r="D22">
        <v>3</v>
      </c>
    </row>
    <row r="23" spans="1:4" x14ac:dyDescent="0.25">
      <c r="A23" t="s">
        <v>4</v>
      </c>
      <c r="B23" t="s">
        <v>1733</v>
      </c>
      <c r="C23" t="s">
        <v>2780</v>
      </c>
      <c r="D23">
        <v>0</v>
      </c>
    </row>
    <row r="24" spans="1:4" x14ac:dyDescent="0.25">
      <c r="A24" t="s">
        <v>40</v>
      </c>
      <c r="B24" t="s">
        <v>1138</v>
      </c>
      <c r="C24" t="s">
        <v>592</v>
      </c>
      <c r="D24">
        <v>-2</v>
      </c>
    </row>
    <row r="25" spans="1:4" x14ac:dyDescent="0.25">
      <c r="A25" t="s">
        <v>40</v>
      </c>
      <c r="B25" t="s">
        <v>45</v>
      </c>
      <c r="C25" t="s">
        <v>2331</v>
      </c>
      <c r="D25">
        <v>0</v>
      </c>
    </row>
    <row r="26" spans="1:4" x14ac:dyDescent="0.25">
      <c r="A26" t="s">
        <v>40</v>
      </c>
      <c r="B26" t="s">
        <v>2405</v>
      </c>
      <c r="C26" t="s">
        <v>597</v>
      </c>
      <c r="D26">
        <v>-2</v>
      </c>
    </row>
    <row r="27" spans="1:4" x14ac:dyDescent="0.25">
      <c r="A27" t="s">
        <v>40</v>
      </c>
      <c r="B27" t="s">
        <v>49</v>
      </c>
      <c r="C27" t="s">
        <v>1715</v>
      </c>
      <c r="D27">
        <v>-3</v>
      </c>
    </row>
    <row r="28" spans="1:4" x14ac:dyDescent="0.25">
      <c r="A28" t="s">
        <v>40</v>
      </c>
      <c r="B28" t="s">
        <v>862</v>
      </c>
      <c r="C28" t="s">
        <v>2209</v>
      </c>
      <c r="D28">
        <v>-5</v>
      </c>
    </row>
    <row r="29" spans="1:4" x14ac:dyDescent="0.25">
      <c r="A29" t="s">
        <v>40</v>
      </c>
      <c r="B29" t="s">
        <v>800</v>
      </c>
      <c r="C29" t="s">
        <v>1514</v>
      </c>
      <c r="D29">
        <v>-2</v>
      </c>
    </row>
    <row r="30" spans="1:4" x14ac:dyDescent="0.25">
      <c r="A30" t="s">
        <v>40</v>
      </c>
      <c r="B30" t="s">
        <v>914</v>
      </c>
      <c r="C30" t="s">
        <v>345</v>
      </c>
      <c r="D30">
        <v>0</v>
      </c>
    </row>
    <row r="31" spans="1:4" x14ac:dyDescent="0.25">
      <c r="A31" t="s">
        <v>40</v>
      </c>
      <c r="B31" t="s">
        <v>135</v>
      </c>
      <c r="C31" t="s">
        <v>3981</v>
      </c>
      <c r="D31">
        <v>-2</v>
      </c>
    </row>
    <row r="32" spans="1:4" x14ac:dyDescent="0.25">
      <c r="A32" t="s">
        <v>40</v>
      </c>
      <c r="B32" t="s">
        <v>2431</v>
      </c>
      <c r="C32" t="s">
        <v>351</v>
      </c>
      <c r="D32">
        <v>1</v>
      </c>
    </row>
    <row r="33" spans="1:4" x14ac:dyDescent="0.25">
      <c r="A33" t="s">
        <v>40</v>
      </c>
      <c r="B33" t="s">
        <v>19</v>
      </c>
      <c r="C33" t="s">
        <v>1828</v>
      </c>
      <c r="D33">
        <v>-2</v>
      </c>
    </row>
    <row r="34" spans="1:4" x14ac:dyDescent="0.25">
      <c r="A34" t="s">
        <v>40</v>
      </c>
      <c r="B34" t="s">
        <v>437</v>
      </c>
      <c r="C34" t="s">
        <v>2362</v>
      </c>
      <c r="D34">
        <v>-3</v>
      </c>
    </row>
    <row r="35" spans="1:4" x14ac:dyDescent="0.25">
      <c r="A35" t="s">
        <v>40</v>
      </c>
      <c r="B35" t="s">
        <v>437</v>
      </c>
      <c r="C35" t="s">
        <v>1720</v>
      </c>
      <c r="D35">
        <v>-4</v>
      </c>
    </row>
    <row r="36" spans="1:4" x14ac:dyDescent="0.25">
      <c r="A36" t="s">
        <v>40</v>
      </c>
      <c r="B36" t="s">
        <v>1829</v>
      </c>
      <c r="C36" t="s">
        <v>2876</v>
      </c>
      <c r="D36">
        <v>-3</v>
      </c>
    </row>
    <row r="37" spans="1:4" x14ac:dyDescent="0.25">
      <c r="A37" t="s">
        <v>40</v>
      </c>
      <c r="B37" t="s">
        <v>1829</v>
      </c>
      <c r="C37" t="s">
        <v>2763</v>
      </c>
      <c r="D37">
        <v>-2</v>
      </c>
    </row>
    <row r="38" spans="1:4" x14ac:dyDescent="0.25">
      <c r="A38" t="s">
        <v>40</v>
      </c>
      <c r="B38" t="s">
        <v>440</v>
      </c>
      <c r="C38" t="s">
        <v>236</v>
      </c>
      <c r="D38">
        <v>-4</v>
      </c>
    </row>
    <row r="39" spans="1:4" x14ac:dyDescent="0.25">
      <c r="A39" t="s">
        <v>40</v>
      </c>
      <c r="B39" t="s">
        <v>2048</v>
      </c>
      <c r="C39" t="s">
        <v>1722</v>
      </c>
      <c r="D39">
        <v>-1</v>
      </c>
    </row>
    <row r="40" spans="1:4" x14ac:dyDescent="0.25">
      <c r="A40" t="s">
        <v>40</v>
      </c>
      <c r="B40" t="s">
        <v>472</v>
      </c>
      <c r="C40" t="s">
        <v>2218</v>
      </c>
      <c r="D40">
        <v>-3</v>
      </c>
    </row>
    <row r="41" spans="1:4" x14ac:dyDescent="0.25">
      <c r="A41" t="s">
        <v>40</v>
      </c>
      <c r="B41" t="s">
        <v>290</v>
      </c>
      <c r="C41" t="s">
        <v>243</v>
      </c>
      <c r="D41">
        <v>-1</v>
      </c>
    </row>
    <row r="42" spans="1:4" x14ac:dyDescent="0.25">
      <c r="A42" t="s">
        <v>40</v>
      </c>
      <c r="B42" t="s">
        <v>477</v>
      </c>
      <c r="C42" t="s">
        <v>3706</v>
      </c>
      <c r="D42">
        <v>-3</v>
      </c>
    </row>
    <row r="43" spans="1:4" x14ac:dyDescent="0.25">
      <c r="A43" t="s">
        <v>40</v>
      </c>
      <c r="B43" t="s">
        <v>1402</v>
      </c>
      <c r="C43" t="s">
        <v>367</v>
      </c>
      <c r="D43">
        <v>0</v>
      </c>
    </row>
    <row r="44" spans="1:4" x14ac:dyDescent="0.25">
      <c r="A44" t="s">
        <v>40</v>
      </c>
      <c r="B44" t="s">
        <v>996</v>
      </c>
      <c r="C44" t="s">
        <v>2416</v>
      </c>
      <c r="D44">
        <v>-3</v>
      </c>
    </row>
    <row r="45" spans="1:4" x14ac:dyDescent="0.25">
      <c r="A45" t="s">
        <v>40</v>
      </c>
      <c r="B45" t="s">
        <v>880</v>
      </c>
      <c r="C45" t="s">
        <v>2877</v>
      </c>
      <c r="D45">
        <v>-2</v>
      </c>
    </row>
    <row r="46" spans="1:4" x14ac:dyDescent="0.25">
      <c r="A46" t="s">
        <v>40</v>
      </c>
      <c r="B46" t="s">
        <v>1276</v>
      </c>
      <c r="C46" t="s">
        <v>1726</v>
      </c>
      <c r="D46">
        <v>-5</v>
      </c>
    </row>
    <row r="47" spans="1:4" x14ac:dyDescent="0.25">
      <c r="A47" t="s">
        <v>80</v>
      </c>
      <c r="B47" t="s">
        <v>1680</v>
      </c>
      <c r="C47" t="s">
        <v>2224</v>
      </c>
      <c r="D47">
        <v>-8</v>
      </c>
    </row>
    <row r="48" spans="1:4" x14ac:dyDescent="0.25">
      <c r="A48" t="s">
        <v>80</v>
      </c>
      <c r="B48" t="s">
        <v>43</v>
      </c>
      <c r="C48" t="s">
        <v>2417</v>
      </c>
      <c r="D48">
        <v>-6</v>
      </c>
    </row>
    <row r="49" spans="1:4" x14ac:dyDescent="0.25">
      <c r="A49" t="s">
        <v>80</v>
      </c>
      <c r="B49" t="s">
        <v>565</v>
      </c>
      <c r="C49" t="s">
        <v>2225</v>
      </c>
      <c r="D49">
        <v>-5</v>
      </c>
    </row>
    <row r="50" spans="1:4" x14ac:dyDescent="0.25">
      <c r="A50" t="s">
        <v>80</v>
      </c>
      <c r="B50" t="s">
        <v>359</v>
      </c>
      <c r="C50" t="s">
        <v>1229</v>
      </c>
      <c r="D50">
        <v>-4</v>
      </c>
    </row>
    <row r="51" spans="1:4" x14ac:dyDescent="0.25">
      <c r="A51" t="s">
        <v>80</v>
      </c>
      <c r="B51" t="s">
        <v>359</v>
      </c>
      <c r="C51" t="s">
        <v>2765</v>
      </c>
      <c r="D51">
        <v>-3</v>
      </c>
    </row>
    <row r="52" spans="1:4" x14ac:dyDescent="0.25">
      <c r="A52" t="s">
        <v>80</v>
      </c>
      <c r="B52" t="s">
        <v>431</v>
      </c>
      <c r="C52" t="s">
        <v>2448</v>
      </c>
      <c r="D52">
        <v>0</v>
      </c>
    </row>
    <row r="53" spans="1:4" x14ac:dyDescent="0.25">
      <c r="A53" t="s">
        <v>80</v>
      </c>
      <c r="B53" t="s">
        <v>335</v>
      </c>
      <c r="C53" t="s">
        <v>382</v>
      </c>
      <c r="D53">
        <v>1</v>
      </c>
    </row>
    <row r="54" spans="1:4" x14ac:dyDescent="0.25">
      <c r="A54" t="s">
        <v>80</v>
      </c>
      <c r="B54" t="s">
        <v>335</v>
      </c>
      <c r="C54" t="s">
        <v>383</v>
      </c>
      <c r="D54">
        <v>2</v>
      </c>
    </row>
    <row r="55" spans="1:4" x14ac:dyDescent="0.25">
      <c r="A55" t="s">
        <v>80</v>
      </c>
      <c r="B55" t="s">
        <v>1069</v>
      </c>
      <c r="C55" t="s">
        <v>385</v>
      </c>
      <c r="D55">
        <v>0</v>
      </c>
    </row>
    <row r="56" spans="1:4" x14ac:dyDescent="0.25">
      <c r="A56" t="s">
        <v>80</v>
      </c>
      <c r="B56" t="s">
        <v>1724</v>
      </c>
      <c r="C56" t="s">
        <v>387</v>
      </c>
      <c r="D56">
        <v>2</v>
      </c>
    </row>
    <row r="57" spans="1:4" x14ac:dyDescent="0.25">
      <c r="A57" t="s">
        <v>80</v>
      </c>
      <c r="B57" t="s">
        <v>872</v>
      </c>
      <c r="C57" t="s">
        <v>2495</v>
      </c>
      <c r="D57">
        <v>0</v>
      </c>
    </row>
    <row r="58" spans="1:4" x14ac:dyDescent="0.25">
      <c r="A58" t="s">
        <v>80</v>
      </c>
      <c r="B58" t="s">
        <v>1151</v>
      </c>
      <c r="C58" t="s">
        <v>2180</v>
      </c>
      <c r="D58">
        <v>3</v>
      </c>
    </row>
    <row r="59" spans="1:4" x14ac:dyDescent="0.25">
      <c r="A59" t="s">
        <v>80</v>
      </c>
      <c r="B59" t="s">
        <v>108</v>
      </c>
      <c r="C59" t="s">
        <v>2533</v>
      </c>
      <c r="D59">
        <v>1</v>
      </c>
    </row>
    <row r="60" spans="1:4" x14ac:dyDescent="0.25">
      <c r="A60" t="s">
        <v>80</v>
      </c>
      <c r="B60" t="s">
        <v>341</v>
      </c>
      <c r="C60" t="s">
        <v>1840</v>
      </c>
      <c r="D60">
        <v>2</v>
      </c>
    </row>
    <row r="61" spans="1:4" x14ac:dyDescent="0.25">
      <c r="A61" t="s">
        <v>80</v>
      </c>
      <c r="B61" t="s">
        <v>341</v>
      </c>
      <c r="C61" t="s">
        <v>3584</v>
      </c>
      <c r="D61">
        <v>3</v>
      </c>
    </row>
    <row r="62" spans="1:4" x14ac:dyDescent="0.25">
      <c r="A62" t="s">
        <v>80</v>
      </c>
      <c r="B62" t="s">
        <v>114</v>
      </c>
      <c r="C62" t="s">
        <v>2498</v>
      </c>
      <c r="D62">
        <v>0</v>
      </c>
    </row>
    <row r="63" spans="1:4" x14ac:dyDescent="0.25">
      <c r="A63" t="s">
        <v>80</v>
      </c>
      <c r="B63" t="s">
        <v>877</v>
      </c>
      <c r="C63" t="s">
        <v>642</v>
      </c>
      <c r="D63">
        <v>2</v>
      </c>
    </row>
    <row r="64" spans="1:4" x14ac:dyDescent="0.25">
      <c r="A64" t="s">
        <v>80</v>
      </c>
      <c r="B64" t="s">
        <v>120</v>
      </c>
      <c r="C64" t="s">
        <v>644</v>
      </c>
      <c r="D64">
        <v>4</v>
      </c>
    </row>
    <row r="65" spans="1:4" x14ac:dyDescent="0.25">
      <c r="A65" t="s">
        <v>80</v>
      </c>
      <c r="B65" t="s">
        <v>76</v>
      </c>
      <c r="C65" t="s">
        <v>4284</v>
      </c>
      <c r="D65">
        <v>1</v>
      </c>
    </row>
    <row r="66" spans="1:4" x14ac:dyDescent="0.25">
      <c r="A66" t="s">
        <v>80</v>
      </c>
      <c r="B66" t="s">
        <v>38</v>
      </c>
      <c r="C66" t="s">
        <v>649</v>
      </c>
      <c r="D66">
        <v>3</v>
      </c>
    </row>
    <row r="67" spans="1:4" x14ac:dyDescent="0.25">
      <c r="A67" t="s">
        <v>80</v>
      </c>
      <c r="B67" t="s">
        <v>38</v>
      </c>
      <c r="C67" t="s">
        <v>2555</v>
      </c>
      <c r="D67">
        <v>4</v>
      </c>
    </row>
    <row r="68" spans="1:4" x14ac:dyDescent="0.25">
      <c r="A68" t="s">
        <v>123</v>
      </c>
      <c r="B68" t="s">
        <v>81</v>
      </c>
      <c r="C68" t="s">
        <v>409</v>
      </c>
      <c r="D68">
        <v>7</v>
      </c>
    </row>
    <row r="69" spans="1:4" x14ac:dyDescent="0.25">
      <c r="A69" t="s">
        <v>123</v>
      </c>
      <c r="B69" t="s">
        <v>43</v>
      </c>
      <c r="C69" t="s">
        <v>410</v>
      </c>
      <c r="D69">
        <v>5</v>
      </c>
    </row>
    <row r="70" spans="1:4" x14ac:dyDescent="0.25">
      <c r="A70" t="s">
        <v>123</v>
      </c>
      <c r="B70" t="s">
        <v>273</v>
      </c>
      <c r="C70" t="s">
        <v>3069</v>
      </c>
      <c r="D70">
        <v>2</v>
      </c>
    </row>
    <row r="71" spans="1:4" x14ac:dyDescent="0.25">
      <c r="A71" t="s">
        <v>123</v>
      </c>
      <c r="B71" t="s">
        <v>1851</v>
      </c>
      <c r="C71" t="s">
        <v>662</v>
      </c>
      <c r="D71">
        <v>-1</v>
      </c>
    </row>
    <row r="72" spans="1:4" x14ac:dyDescent="0.25">
      <c r="A72" t="s">
        <v>123</v>
      </c>
      <c r="B72" t="s">
        <v>1411</v>
      </c>
      <c r="C72" t="s">
        <v>4372</v>
      </c>
      <c r="D72">
        <v>-4</v>
      </c>
    </row>
    <row r="73" spans="1:4" x14ac:dyDescent="0.25">
      <c r="A73" t="s">
        <v>123</v>
      </c>
      <c r="B73" t="s">
        <v>177</v>
      </c>
      <c r="C73" t="s">
        <v>527</v>
      </c>
      <c r="D73">
        <v>-2</v>
      </c>
    </row>
    <row r="74" spans="1:4" x14ac:dyDescent="0.25">
      <c r="A74" t="s">
        <v>123</v>
      </c>
      <c r="B74" t="s">
        <v>648</v>
      </c>
      <c r="C74" t="s">
        <v>2316</v>
      </c>
      <c r="D74">
        <v>-4</v>
      </c>
    </row>
    <row r="75" spans="1:4" x14ac:dyDescent="0.25">
      <c r="A75" t="s">
        <v>123</v>
      </c>
      <c r="B75" t="s">
        <v>1816</v>
      </c>
      <c r="C75" t="s">
        <v>3459</v>
      </c>
      <c r="D75">
        <v>-3</v>
      </c>
    </row>
    <row r="76" spans="1:4" x14ac:dyDescent="0.25">
      <c r="A76" t="s">
        <v>123</v>
      </c>
      <c r="B76" t="s">
        <v>184</v>
      </c>
      <c r="C76" t="s">
        <v>532</v>
      </c>
      <c r="D76">
        <v>-1</v>
      </c>
    </row>
    <row r="77" spans="1:4" x14ac:dyDescent="0.25">
      <c r="A77" t="s">
        <v>123</v>
      </c>
      <c r="B77" t="s">
        <v>184</v>
      </c>
      <c r="C77" t="s">
        <v>533</v>
      </c>
      <c r="D77">
        <v>0</v>
      </c>
    </row>
    <row r="78" spans="1:4" x14ac:dyDescent="0.25">
      <c r="A78" t="s">
        <v>123</v>
      </c>
      <c r="B78" t="s">
        <v>140</v>
      </c>
      <c r="C78" t="s">
        <v>2504</v>
      </c>
      <c r="D78">
        <v>-2</v>
      </c>
    </row>
    <row r="79" spans="1:4" x14ac:dyDescent="0.25">
      <c r="A79" t="s">
        <v>123</v>
      </c>
      <c r="B79" t="s">
        <v>1819</v>
      </c>
      <c r="C79" t="s">
        <v>2505</v>
      </c>
      <c r="D79">
        <v>1</v>
      </c>
    </row>
    <row r="80" spans="1:4" x14ac:dyDescent="0.25">
      <c r="A80" t="s">
        <v>123</v>
      </c>
      <c r="B80" t="s">
        <v>1436</v>
      </c>
      <c r="C80" t="s">
        <v>3038</v>
      </c>
      <c r="D80">
        <v>2</v>
      </c>
    </row>
    <row r="81" spans="1:4" x14ac:dyDescent="0.25">
      <c r="A81" t="s">
        <v>123</v>
      </c>
      <c r="B81" t="s">
        <v>1038</v>
      </c>
      <c r="C81" t="s">
        <v>540</v>
      </c>
      <c r="D81">
        <v>1</v>
      </c>
    </row>
    <row r="82" spans="1:4" x14ac:dyDescent="0.25">
      <c r="A82" t="s">
        <v>123</v>
      </c>
      <c r="B82" t="s">
        <v>1038</v>
      </c>
      <c r="C82" t="s">
        <v>3074</v>
      </c>
      <c r="D82">
        <v>0</v>
      </c>
    </row>
    <row r="83" spans="1:4" x14ac:dyDescent="0.25">
      <c r="A83" t="s">
        <v>123</v>
      </c>
      <c r="B83" t="s">
        <v>110</v>
      </c>
      <c r="C83" t="s">
        <v>2507</v>
      </c>
      <c r="D83">
        <v>1</v>
      </c>
    </row>
    <row r="84" spans="1:4" x14ac:dyDescent="0.25">
      <c r="A84" t="s">
        <v>123</v>
      </c>
      <c r="B84" t="s">
        <v>70</v>
      </c>
      <c r="C84" t="s">
        <v>3582</v>
      </c>
      <c r="D84">
        <v>-2</v>
      </c>
    </row>
    <row r="85" spans="1:4" x14ac:dyDescent="0.25">
      <c r="A85" t="s">
        <v>123</v>
      </c>
      <c r="B85" t="s">
        <v>1619</v>
      </c>
      <c r="C85" t="s">
        <v>2710</v>
      </c>
      <c r="D85">
        <v>-1</v>
      </c>
    </row>
    <row r="86" spans="1:4" x14ac:dyDescent="0.25">
      <c r="A86" t="s">
        <v>123</v>
      </c>
      <c r="B86" t="s">
        <v>198</v>
      </c>
      <c r="C86" t="s">
        <v>2741</v>
      </c>
      <c r="D86">
        <v>0</v>
      </c>
    </row>
    <row r="87" spans="1:4" x14ac:dyDescent="0.25">
      <c r="A87" t="s">
        <v>123</v>
      </c>
      <c r="B87" t="s">
        <v>1844</v>
      </c>
      <c r="C87" t="s">
        <v>545</v>
      </c>
      <c r="D87">
        <v>-2</v>
      </c>
    </row>
    <row r="89" spans="1:4" x14ac:dyDescent="0.25">
      <c r="A89" s="2" t="s">
        <v>157</v>
      </c>
    </row>
    <row r="90" spans="1:4" x14ac:dyDescent="0.25">
      <c r="A90" t="s">
        <v>158</v>
      </c>
      <c r="D90">
        <f>AVERAGE(D2:D87)</f>
        <v>-0.40697674418604651</v>
      </c>
    </row>
    <row r="91" spans="1:4" x14ac:dyDescent="0.25">
      <c r="A91" t="s">
        <v>159</v>
      </c>
      <c r="D91">
        <f>MAX(D2:D87)</f>
        <v>7</v>
      </c>
    </row>
    <row r="92" spans="1:4" x14ac:dyDescent="0.25">
      <c r="A92" t="s">
        <v>160</v>
      </c>
      <c r="D92">
        <f>MIN(D2:D87)</f>
        <v>-8</v>
      </c>
    </row>
    <row r="93" spans="1:4" x14ac:dyDescent="0.25">
      <c r="A93" t="s">
        <v>161</v>
      </c>
      <c r="D93">
        <f>COUNTIF(D2:D87,"&gt;0")</f>
        <v>32</v>
      </c>
    </row>
    <row r="94" spans="1:4" x14ac:dyDescent="0.25">
      <c r="A94" t="s">
        <v>162</v>
      </c>
      <c r="D94">
        <f>COUNTIF(D2:D87,"=0")</f>
        <v>16</v>
      </c>
    </row>
    <row r="95" spans="1:4" x14ac:dyDescent="0.25">
      <c r="A95" t="s">
        <v>2150</v>
      </c>
      <c r="D95">
        <f>COUNTIF(D2:D87,"&lt;0")</f>
        <v>38</v>
      </c>
    </row>
    <row r="97" spans="1:4" x14ac:dyDescent="0.25">
      <c r="A97" s="2" t="s">
        <v>164</v>
      </c>
    </row>
    <row r="98" spans="1:4" x14ac:dyDescent="0.25">
      <c r="A98" t="s">
        <v>165</v>
      </c>
      <c r="D98">
        <f>AVERAGE(D2,D3,D4,D5,D6,D7,D8,D9,D10,D11,D12,D13,D14,D15,D16,D17,D18,D19,D20,D21,D22,D23)</f>
        <v>0.77272727272727271</v>
      </c>
    </row>
    <row r="99" spans="1:4" x14ac:dyDescent="0.25">
      <c r="A99" t="s">
        <v>166</v>
      </c>
      <c r="D99">
        <f>AVERAGE(D24,D25,D26,D27,D28,D29,D30,D31,D32,D33,D34,D35,D36,D37,D38,D39,D40,D41,D42,D43,D44,D45,D46)</f>
        <v>-2.2173913043478262</v>
      </c>
    </row>
    <row r="100" spans="1:4" x14ac:dyDescent="0.25">
      <c r="A100" t="s">
        <v>167</v>
      </c>
      <c r="D100">
        <f>AVERAGE(D47,D48,D49,D50,D51,D52,D53,D54,D55,D56,D57,D58,D59,D60,D61,D62,D63,D64,D65,D66,D67)</f>
        <v>9.5238095238095233E-2</v>
      </c>
    </row>
    <row r="101" spans="1:4" x14ac:dyDescent="0.25">
      <c r="A101" t="s">
        <v>168</v>
      </c>
      <c r="D101">
        <f>AVERAGE(D68,D69,D70,D71,D72,D73,D74,D75,D76,D77,D78,D79,D80,D81,D82,D83,D84,D85,D86,D87)</f>
        <v>-0.15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D11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1608</v>
      </c>
      <c r="C2" t="s">
        <v>1923</v>
      </c>
      <c r="D2">
        <v>1</v>
      </c>
    </row>
    <row r="3" spans="1:4" x14ac:dyDescent="0.25">
      <c r="A3" t="s">
        <v>4</v>
      </c>
      <c r="B3" t="s">
        <v>1608</v>
      </c>
      <c r="C3" t="s">
        <v>6</v>
      </c>
      <c r="D3">
        <v>2</v>
      </c>
    </row>
    <row r="4" spans="1:4" x14ac:dyDescent="0.25">
      <c r="A4" t="s">
        <v>4</v>
      </c>
      <c r="B4" t="s">
        <v>1136</v>
      </c>
      <c r="C4" t="s">
        <v>8</v>
      </c>
      <c r="D4">
        <v>0</v>
      </c>
    </row>
    <row r="5" spans="1:4" x14ac:dyDescent="0.25">
      <c r="A5" t="s">
        <v>4</v>
      </c>
      <c r="B5" t="s">
        <v>1346</v>
      </c>
      <c r="C5" t="s">
        <v>564</v>
      </c>
      <c r="D5">
        <v>2</v>
      </c>
    </row>
    <row r="6" spans="1:4" x14ac:dyDescent="0.25">
      <c r="A6" t="s">
        <v>4</v>
      </c>
      <c r="B6" t="s">
        <v>43</v>
      </c>
      <c r="C6" t="s">
        <v>308</v>
      </c>
      <c r="D6">
        <v>1</v>
      </c>
    </row>
    <row r="7" spans="1:4" x14ac:dyDescent="0.25">
      <c r="A7" t="s">
        <v>4</v>
      </c>
      <c r="B7" t="s">
        <v>2355</v>
      </c>
      <c r="C7" t="s">
        <v>309</v>
      </c>
      <c r="D7">
        <v>-1</v>
      </c>
    </row>
    <row r="8" spans="1:4" x14ac:dyDescent="0.25">
      <c r="A8" t="s">
        <v>4</v>
      </c>
      <c r="B8" t="s">
        <v>1010</v>
      </c>
      <c r="C8" t="s">
        <v>2430</v>
      </c>
      <c r="D8">
        <v>0</v>
      </c>
    </row>
    <row r="9" spans="1:4" x14ac:dyDescent="0.25">
      <c r="A9" t="s">
        <v>4</v>
      </c>
      <c r="B9" t="s">
        <v>1010</v>
      </c>
      <c r="C9" t="s">
        <v>1193</v>
      </c>
      <c r="D9">
        <v>1</v>
      </c>
    </row>
    <row r="10" spans="1:4" x14ac:dyDescent="0.25">
      <c r="A10" t="s">
        <v>4</v>
      </c>
      <c r="B10" t="s">
        <v>1169</v>
      </c>
      <c r="C10" t="s">
        <v>695</v>
      </c>
      <c r="D10">
        <v>3</v>
      </c>
    </row>
    <row r="11" spans="1:4" x14ac:dyDescent="0.25">
      <c r="A11" t="s">
        <v>4</v>
      </c>
      <c r="B11" t="s">
        <v>1146</v>
      </c>
      <c r="C11" t="s">
        <v>2594</v>
      </c>
      <c r="D11">
        <v>6</v>
      </c>
    </row>
    <row r="12" spans="1:4" x14ac:dyDescent="0.25">
      <c r="A12" t="s">
        <v>4</v>
      </c>
      <c r="B12" t="s">
        <v>1693</v>
      </c>
      <c r="C12" t="s">
        <v>1195</v>
      </c>
      <c r="D12">
        <v>9</v>
      </c>
    </row>
    <row r="13" spans="1:4" x14ac:dyDescent="0.25">
      <c r="A13" t="s">
        <v>4</v>
      </c>
      <c r="B13" t="s">
        <v>93</v>
      </c>
      <c r="C13" t="s">
        <v>316</v>
      </c>
      <c r="D13">
        <v>8</v>
      </c>
    </row>
    <row r="14" spans="1:4" x14ac:dyDescent="0.25">
      <c r="A14" t="s">
        <v>4</v>
      </c>
      <c r="B14" t="s">
        <v>95</v>
      </c>
      <c r="C14" t="s">
        <v>189</v>
      </c>
      <c r="D14">
        <v>10</v>
      </c>
    </row>
    <row r="15" spans="1:4" x14ac:dyDescent="0.25">
      <c r="A15" t="s">
        <v>4</v>
      </c>
      <c r="B15" t="s">
        <v>2250</v>
      </c>
      <c r="C15" t="s">
        <v>191</v>
      </c>
      <c r="D15">
        <v>8</v>
      </c>
    </row>
    <row r="16" spans="1:4" x14ac:dyDescent="0.25">
      <c r="A16" t="s">
        <v>4</v>
      </c>
      <c r="B16" t="s">
        <v>661</v>
      </c>
      <c r="C16" t="s">
        <v>1015</v>
      </c>
      <c r="D16">
        <v>9</v>
      </c>
    </row>
    <row r="17" spans="1:4" x14ac:dyDescent="0.25">
      <c r="A17" t="s">
        <v>4</v>
      </c>
      <c r="B17" t="s">
        <v>541</v>
      </c>
      <c r="C17" t="s">
        <v>1576</v>
      </c>
      <c r="D17">
        <v>7</v>
      </c>
    </row>
    <row r="18" spans="1:4" x14ac:dyDescent="0.25">
      <c r="A18" t="s">
        <v>4</v>
      </c>
      <c r="B18" t="s">
        <v>380</v>
      </c>
      <c r="C18" t="s">
        <v>2479</v>
      </c>
      <c r="D18">
        <v>6</v>
      </c>
    </row>
    <row r="19" spans="1:4" x14ac:dyDescent="0.25">
      <c r="A19" t="s">
        <v>4</v>
      </c>
      <c r="B19" t="s">
        <v>114</v>
      </c>
      <c r="C19" t="s">
        <v>787</v>
      </c>
      <c r="D19">
        <v>7</v>
      </c>
    </row>
    <row r="20" spans="1:4" x14ac:dyDescent="0.25">
      <c r="A20" t="s">
        <v>4</v>
      </c>
      <c r="B20" t="s">
        <v>114</v>
      </c>
      <c r="C20" t="s">
        <v>2921</v>
      </c>
      <c r="D20">
        <v>8</v>
      </c>
    </row>
    <row r="21" spans="1:4" x14ac:dyDescent="0.25">
      <c r="A21" t="s">
        <v>4</v>
      </c>
      <c r="B21" t="s">
        <v>27</v>
      </c>
      <c r="C21" t="s">
        <v>1579</v>
      </c>
      <c r="D21">
        <v>6</v>
      </c>
    </row>
    <row r="22" spans="1:4" x14ac:dyDescent="0.25">
      <c r="A22" t="s">
        <v>4</v>
      </c>
      <c r="B22" t="s">
        <v>27</v>
      </c>
      <c r="C22" t="s">
        <v>1580</v>
      </c>
      <c r="D22">
        <v>5</v>
      </c>
    </row>
    <row r="23" spans="1:4" x14ac:dyDescent="0.25">
      <c r="A23" t="s">
        <v>4</v>
      </c>
      <c r="B23" t="s">
        <v>529</v>
      </c>
      <c r="C23" t="s">
        <v>328</v>
      </c>
      <c r="D23">
        <v>7</v>
      </c>
    </row>
    <row r="24" spans="1:4" x14ac:dyDescent="0.25">
      <c r="A24" t="s">
        <v>4</v>
      </c>
      <c r="B24" t="s">
        <v>732</v>
      </c>
      <c r="C24" t="s">
        <v>2480</v>
      </c>
      <c r="D24">
        <v>4</v>
      </c>
    </row>
    <row r="25" spans="1:4" x14ac:dyDescent="0.25">
      <c r="A25" t="s">
        <v>4</v>
      </c>
      <c r="B25" t="s">
        <v>1988</v>
      </c>
      <c r="C25" t="s">
        <v>331</v>
      </c>
      <c r="D25">
        <v>3</v>
      </c>
    </row>
    <row r="26" spans="1:4" x14ac:dyDescent="0.25">
      <c r="A26" t="s">
        <v>4</v>
      </c>
      <c r="B26" t="s">
        <v>556</v>
      </c>
      <c r="C26" t="s">
        <v>1120</v>
      </c>
      <c r="D26">
        <v>4</v>
      </c>
    </row>
    <row r="27" spans="1:4" x14ac:dyDescent="0.25">
      <c r="A27" t="s">
        <v>4</v>
      </c>
      <c r="B27" t="s">
        <v>1162</v>
      </c>
      <c r="C27" t="s">
        <v>206</v>
      </c>
      <c r="D27">
        <v>6</v>
      </c>
    </row>
    <row r="28" spans="1:4" x14ac:dyDescent="0.25">
      <c r="A28" t="s">
        <v>40</v>
      </c>
      <c r="B28" t="s">
        <v>1208</v>
      </c>
      <c r="C28" t="s">
        <v>1122</v>
      </c>
      <c r="D28">
        <v>4</v>
      </c>
    </row>
    <row r="29" spans="1:4" x14ac:dyDescent="0.25">
      <c r="A29" t="s">
        <v>40</v>
      </c>
      <c r="B29" t="s">
        <v>1922</v>
      </c>
      <c r="C29" t="s">
        <v>1123</v>
      </c>
      <c r="D29">
        <v>6</v>
      </c>
    </row>
    <row r="30" spans="1:4" x14ac:dyDescent="0.25">
      <c r="A30" t="s">
        <v>40</v>
      </c>
      <c r="B30" t="s">
        <v>1524</v>
      </c>
      <c r="C30" t="s">
        <v>212</v>
      </c>
      <c r="D30">
        <v>5</v>
      </c>
    </row>
    <row r="31" spans="1:4" x14ac:dyDescent="0.25">
      <c r="A31" t="s">
        <v>40</v>
      </c>
      <c r="B31" t="s">
        <v>128</v>
      </c>
      <c r="C31" t="s">
        <v>2482</v>
      </c>
      <c r="D31">
        <v>6</v>
      </c>
    </row>
    <row r="32" spans="1:4" x14ac:dyDescent="0.25">
      <c r="A32" t="s">
        <v>40</v>
      </c>
      <c r="B32" t="s">
        <v>273</v>
      </c>
      <c r="C32" t="s">
        <v>717</v>
      </c>
      <c r="D32">
        <v>4</v>
      </c>
    </row>
    <row r="33" spans="1:4" x14ac:dyDescent="0.25">
      <c r="A33" t="s">
        <v>40</v>
      </c>
      <c r="B33" t="s">
        <v>273</v>
      </c>
      <c r="C33" t="s">
        <v>929</v>
      </c>
      <c r="D33">
        <v>3</v>
      </c>
    </row>
    <row r="34" spans="1:4" x14ac:dyDescent="0.25">
      <c r="A34" t="s">
        <v>40</v>
      </c>
      <c r="B34" t="s">
        <v>1408</v>
      </c>
      <c r="C34" t="s">
        <v>718</v>
      </c>
      <c r="D34">
        <v>1</v>
      </c>
    </row>
    <row r="35" spans="1:4" x14ac:dyDescent="0.25">
      <c r="A35" t="s">
        <v>40</v>
      </c>
      <c r="B35" t="s">
        <v>274</v>
      </c>
      <c r="C35" t="s">
        <v>3962</v>
      </c>
      <c r="D35">
        <v>-1</v>
      </c>
    </row>
    <row r="36" spans="1:4" x14ac:dyDescent="0.25">
      <c r="A36" t="s">
        <v>40</v>
      </c>
      <c r="B36" t="s">
        <v>54</v>
      </c>
      <c r="C36" t="s">
        <v>2484</v>
      </c>
      <c r="D36">
        <v>1</v>
      </c>
    </row>
    <row r="37" spans="1:4" x14ac:dyDescent="0.25">
      <c r="A37" t="s">
        <v>40</v>
      </c>
      <c r="B37" t="s">
        <v>2842</v>
      </c>
      <c r="C37" t="s">
        <v>2332</v>
      </c>
      <c r="D37">
        <v>-1</v>
      </c>
    </row>
    <row r="38" spans="1:4" x14ac:dyDescent="0.25">
      <c r="A38" t="s">
        <v>40</v>
      </c>
      <c r="B38" t="s">
        <v>181</v>
      </c>
      <c r="C38" t="s">
        <v>1128</v>
      </c>
      <c r="D38">
        <v>1</v>
      </c>
    </row>
    <row r="39" spans="1:4" x14ac:dyDescent="0.25">
      <c r="A39" t="s">
        <v>40</v>
      </c>
      <c r="B39" t="s">
        <v>804</v>
      </c>
      <c r="C39" t="s">
        <v>2127</v>
      </c>
      <c r="D39">
        <v>-1</v>
      </c>
    </row>
    <row r="40" spans="1:4" x14ac:dyDescent="0.25">
      <c r="A40" t="s">
        <v>40</v>
      </c>
      <c r="B40" t="s">
        <v>374</v>
      </c>
      <c r="C40" t="s">
        <v>1515</v>
      </c>
      <c r="D40">
        <v>-3</v>
      </c>
    </row>
    <row r="41" spans="1:4" x14ac:dyDescent="0.25">
      <c r="A41" t="s">
        <v>40</v>
      </c>
      <c r="B41" t="s">
        <v>729</v>
      </c>
      <c r="C41" t="s">
        <v>470</v>
      </c>
      <c r="D41">
        <v>0</v>
      </c>
    </row>
    <row r="42" spans="1:4" x14ac:dyDescent="0.25">
      <c r="A42" t="s">
        <v>40</v>
      </c>
      <c r="B42" t="s">
        <v>2562</v>
      </c>
      <c r="C42" t="s">
        <v>1828</v>
      </c>
      <c r="D42">
        <v>-2</v>
      </c>
    </row>
    <row r="43" spans="1:4" x14ac:dyDescent="0.25">
      <c r="A43" t="s">
        <v>40</v>
      </c>
      <c r="B43" t="s">
        <v>1040</v>
      </c>
      <c r="C43" t="s">
        <v>1720</v>
      </c>
      <c r="D43">
        <v>-4</v>
      </c>
    </row>
    <row r="44" spans="1:4" x14ac:dyDescent="0.25">
      <c r="A44" t="s">
        <v>40</v>
      </c>
      <c r="B44" t="s">
        <v>1200</v>
      </c>
      <c r="C44" t="s">
        <v>2876</v>
      </c>
      <c r="D44">
        <v>-3</v>
      </c>
    </row>
    <row r="45" spans="1:4" x14ac:dyDescent="0.25">
      <c r="A45" t="s">
        <v>40</v>
      </c>
      <c r="B45" t="s">
        <v>1200</v>
      </c>
      <c r="C45" t="s">
        <v>2763</v>
      </c>
      <c r="D45">
        <v>-2</v>
      </c>
    </row>
    <row r="46" spans="1:4" x14ac:dyDescent="0.25">
      <c r="A46" t="s">
        <v>40</v>
      </c>
      <c r="B46" t="s">
        <v>116</v>
      </c>
      <c r="C46" t="s">
        <v>1830</v>
      </c>
      <c r="D46">
        <v>-1</v>
      </c>
    </row>
    <row r="47" spans="1:4" x14ac:dyDescent="0.25">
      <c r="A47" t="s">
        <v>40</v>
      </c>
      <c r="B47" t="s">
        <v>116</v>
      </c>
      <c r="C47" t="s">
        <v>3574</v>
      </c>
      <c r="D47">
        <v>0</v>
      </c>
    </row>
    <row r="48" spans="1:4" x14ac:dyDescent="0.25">
      <c r="A48" t="s">
        <v>40</v>
      </c>
      <c r="B48" t="s">
        <v>1112</v>
      </c>
      <c r="C48" t="s">
        <v>1519</v>
      </c>
      <c r="D48">
        <v>-1</v>
      </c>
    </row>
    <row r="49" spans="1:4" x14ac:dyDescent="0.25">
      <c r="A49" t="s">
        <v>40</v>
      </c>
      <c r="B49" t="s">
        <v>1112</v>
      </c>
      <c r="C49" t="s">
        <v>238</v>
      </c>
      <c r="D49">
        <v>-2</v>
      </c>
    </row>
    <row r="50" spans="1:4" x14ac:dyDescent="0.25">
      <c r="A50" t="s">
        <v>40</v>
      </c>
      <c r="B50" t="s">
        <v>298</v>
      </c>
      <c r="C50" t="s">
        <v>1520</v>
      </c>
      <c r="D50">
        <v>-5</v>
      </c>
    </row>
    <row r="51" spans="1:4" x14ac:dyDescent="0.25">
      <c r="A51" t="s">
        <v>40</v>
      </c>
      <c r="B51" t="s">
        <v>154</v>
      </c>
      <c r="C51" t="s">
        <v>617</v>
      </c>
      <c r="D51">
        <v>-4</v>
      </c>
    </row>
    <row r="52" spans="1:4" x14ac:dyDescent="0.25">
      <c r="A52" t="s">
        <v>40</v>
      </c>
      <c r="B52" t="s">
        <v>154</v>
      </c>
      <c r="C52" t="s">
        <v>1521</v>
      </c>
      <c r="D52">
        <v>-3</v>
      </c>
    </row>
    <row r="53" spans="1:4" x14ac:dyDescent="0.25">
      <c r="A53" t="s">
        <v>40</v>
      </c>
      <c r="B53" t="s">
        <v>396</v>
      </c>
      <c r="C53" t="s">
        <v>818</v>
      </c>
      <c r="D53">
        <v>-6</v>
      </c>
    </row>
    <row r="54" spans="1:4" x14ac:dyDescent="0.25">
      <c r="A54" t="s">
        <v>80</v>
      </c>
      <c r="B54" t="s">
        <v>41</v>
      </c>
      <c r="C54" t="s">
        <v>94</v>
      </c>
      <c r="D54">
        <v>-4</v>
      </c>
    </row>
    <row r="55" spans="1:4" x14ac:dyDescent="0.25">
      <c r="A55" t="s">
        <v>80</v>
      </c>
      <c r="B55" t="s">
        <v>1680</v>
      </c>
      <c r="C55" t="s">
        <v>2415</v>
      </c>
      <c r="D55">
        <v>-2</v>
      </c>
    </row>
    <row r="56" spans="1:4" x14ac:dyDescent="0.25">
      <c r="A56" t="s">
        <v>80</v>
      </c>
      <c r="B56" t="s">
        <v>616</v>
      </c>
      <c r="C56" t="s">
        <v>2310</v>
      </c>
      <c r="D56">
        <v>0</v>
      </c>
    </row>
    <row r="57" spans="1:4" x14ac:dyDescent="0.25">
      <c r="A57" t="s">
        <v>80</v>
      </c>
      <c r="B57" t="s">
        <v>2405</v>
      </c>
      <c r="C57" t="s">
        <v>257</v>
      </c>
      <c r="D57">
        <v>-2</v>
      </c>
    </row>
    <row r="58" spans="1:4" x14ac:dyDescent="0.25">
      <c r="A58" t="s">
        <v>80</v>
      </c>
      <c r="B58" t="s">
        <v>723</v>
      </c>
      <c r="C58" t="s">
        <v>2490</v>
      </c>
      <c r="D58">
        <v>0</v>
      </c>
    </row>
    <row r="59" spans="1:4" x14ac:dyDescent="0.25">
      <c r="A59" t="s">
        <v>80</v>
      </c>
      <c r="B59" t="s">
        <v>211</v>
      </c>
      <c r="C59" t="s">
        <v>1727</v>
      </c>
      <c r="D59">
        <v>-2</v>
      </c>
    </row>
    <row r="60" spans="1:4" x14ac:dyDescent="0.25">
      <c r="A60" t="s">
        <v>80</v>
      </c>
      <c r="B60" t="s">
        <v>566</v>
      </c>
      <c r="C60" t="s">
        <v>1767</v>
      </c>
      <c r="D60">
        <v>-4</v>
      </c>
    </row>
    <row r="61" spans="1:4" x14ac:dyDescent="0.25">
      <c r="A61" t="s">
        <v>80</v>
      </c>
      <c r="B61" t="s">
        <v>566</v>
      </c>
      <c r="C61" t="s">
        <v>2225</v>
      </c>
      <c r="D61">
        <v>-5</v>
      </c>
    </row>
    <row r="62" spans="1:4" x14ac:dyDescent="0.25">
      <c r="A62" t="s">
        <v>80</v>
      </c>
      <c r="B62" t="s">
        <v>1755</v>
      </c>
      <c r="C62" t="s">
        <v>2612</v>
      </c>
      <c r="D62">
        <v>-2</v>
      </c>
    </row>
    <row r="63" spans="1:4" x14ac:dyDescent="0.25">
      <c r="A63" t="s">
        <v>80</v>
      </c>
      <c r="B63" t="s">
        <v>307</v>
      </c>
      <c r="C63" t="s">
        <v>2448</v>
      </c>
      <c r="D63">
        <v>0</v>
      </c>
    </row>
    <row r="64" spans="1:4" x14ac:dyDescent="0.25">
      <c r="A64" t="s">
        <v>80</v>
      </c>
      <c r="B64" t="s">
        <v>93</v>
      </c>
      <c r="C64" t="s">
        <v>383</v>
      </c>
      <c r="D64">
        <v>2</v>
      </c>
    </row>
    <row r="65" spans="1:4" x14ac:dyDescent="0.25">
      <c r="A65" t="s">
        <v>80</v>
      </c>
      <c r="B65" t="s">
        <v>1598</v>
      </c>
      <c r="C65" t="s">
        <v>2177</v>
      </c>
      <c r="D65">
        <v>4</v>
      </c>
    </row>
    <row r="66" spans="1:4" x14ac:dyDescent="0.25">
      <c r="A66" t="s">
        <v>80</v>
      </c>
      <c r="B66" t="s">
        <v>2311</v>
      </c>
      <c r="C66" t="s">
        <v>387</v>
      </c>
      <c r="D66">
        <v>2</v>
      </c>
    </row>
    <row r="67" spans="1:4" x14ac:dyDescent="0.25">
      <c r="A67" t="s">
        <v>80</v>
      </c>
      <c r="B67" t="s">
        <v>2311</v>
      </c>
      <c r="C67" t="s">
        <v>635</v>
      </c>
      <c r="D67">
        <v>1</v>
      </c>
    </row>
    <row r="68" spans="1:4" x14ac:dyDescent="0.25">
      <c r="A68" t="s">
        <v>80</v>
      </c>
      <c r="B68" t="s">
        <v>1829</v>
      </c>
      <c r="C68" t="s">
        <v>2179</v>
      </c>
      <c r="D68">
        <v>4</v>
      </c>
    </row>
    <row r="69" spans="1:4" x14ac:dyDescent="0.25">
      <c r="A69" t="s">
        <v>80</v>
      </c>
      <c r="B69" t="s">
        <v>1829</v>
      </c>
      <c r="C69" t="s">
        <v>1607</v>
      </c>
      <c r="D69">
        <v>5</v>
      </c>
    </row>
    <row r="70" spans="1:4" x14ac:dyDescent="0.25">
      <c r="A70" t="s">
        <v>80</v>
      </c>
      <c r="B70" t="s">
        <v>1698</v>
      </c>
      <c r="C70" t="s">
        <v>502</v>
      </c>
      <c r="D70">
        <v>4</v>
      </c>
    </row>
    <row r="71" spans="1:4" x14ac:dyDescent="0.25">
      <c r="A71" t="s">
        <v>80</v>
      </c>
      <c r="B71" t="s">
        <v>1698</v>
      </c>
      <c r="C71" t="s">
        <v>393</v>
      </c>
      <c r="D71">
        <v>3</v>
      </c>
    </row>
    <row r="72" spans="1:4" x14ac:dyDescent="0.25">
      <c r="A72" t="s">
        <v>80</v>
      </c>
      <c r="B72" t="s">
        <v>469</v>
      </c>
      <c r="C72" t="s">
        <v>3019</v>
      </c>
      <c r="D72">
        <v>6</v>
      </c>
    </row>
    <row r="73" spans="1:4" x14ac:dyDescent="0.25">
      <c r="A73" t="s">
        <v>80</v>
      </c>
      <c r="B73" t="s">
        <v>503</v>
      </c>
      <c r="C73" t="s">
        <v>4367</v>
      </c>
      <c r="D73">
        <v>9</v>
      </c>
    </row>
    <row r="74" spans="1:4" x14ac:dyDescent="0.25">
      <c r="A74" t="s">
        <v>80</v>
      </c>
      <c r="B74" t="s">
        <v>477</v>
      </c>
      <c r="C74" t="s">
        <v>2456</v>
      </c>
      <c r="D74">
        <v>7</v>
      </c>
    </row>
    <row r="75" spans="1:4" x14ac:dyDescent="0.25">
      <c r="A75" t="s">
        <v>80</v>
      </c>
      <c r="B75" t="s">
        <v>1356</v>
      </c>
      <c r="C75" t="s">
        <v>1173</v>
      </c>
      <c r="D75">
        <v>5</v>
      </c>
    </row>
    <row r="76" spans="1:4" x14ac:dyDescent="0.25">
      <c r="A76" t="s">
        <v>80</v>
      </c>
      <c r="B76" t="s">
        <v>296</v>
      </c>
      <c r="C76" t="s">
        <v>3701</v>
      </c>
      <c r="D76">
        <v>8</v>
      </c>
    </row>
    <row r="77" spans="1:4" x14ac:dyDescent="0.25">
      <c r="A77" t="s">
        <v>80</v>
      </c>
      <c r="B77" t="s">
        <v>301</v>
      </c>
      <c r="C77" t="s">
        <v>404</v>
      </c>
      <c r="D77">
        <v>7</v>
      </c>
    </row>
    <row r="78" spans="1:4" x14ac:dyDescent="0.25">
      <c r="A78" t="s">
        <v>80</v>
      </c>
      <c r="B78" t="s">
        <v>301</v>
      </c>
      <c r="C78" t="s">
        <v>2731</v>
      </c>
      <c r="D78">
        <v>6</v>
      </c>
    </row>
    <row r="79" spans="1:4" x14ac:dyDescent="0.25">
      <c r="A79" t="s">
        <v>80</v>
      </c>
      <c r="B79" t="s">
        <v>817</v>
      </c>
      <c r="C79" t="s">
        <v>2280</v>
      </c>
      <c r="D79">
        <v>9</v>
      </c>
    </row>
    <row r="80" spans="1:4" x14ac:dyDescent="0.25">
      <c r="A80" t="s">
        <v>123</v>
      </c>
      <c r="B80" t="s">
        <v>907</v>
      </c>
      <c r="C80" t="s">
        <v>765</v>
      </c>
      <c r="D80">
        <v>7</v>
      </c>
    </row>
    <row r="81" spans="1:4" x14ac:dyDescent="0.25">
      <c r="A81" t="s">
        <v>123</v>
      </c>
      <c r="B81" t="s">
        <v>2052</v>
      </c>
      <c r="C81" t="s">
        <v>767</v>
      </c>
      <c r="D81">
        <v>9</v>
      </c>
    </row>
    <row r="82" spans="1:4" x14ac:dyDescent="0.25">
      <c r="A82" t="s">
        <v>123</v>
      </c>
      <c r="B82" t="s">
        <v>1083</v>
      </c>
      <c r="C82" t="s">
        <v>4413</v>
      </c>
      <c r="D82">
        <v>11</v>
      </c>
    </row>
    <row r="83" spans="1:4" x14ac:dyDescent="0.25">
      <c r="A83" t="s">
        <v>123</v>
      </c>
      <c r="B83" t="s">
        <v>1083</v>
      </c>
      <c r="C83" t="s">
        <v>2997</v>
      </c>
      <c r="D83">
        <v>12</v>
      </c>
    </row>
    <row r="84" spans="1:4" x14ac:dyDescent="0.25">
      <c r="A84" t="s">
        <v>123</v>
      </c>
      <c r="B84" t="s">
        <v>271</v>
      </c>
      <c r="C84" t="s">
        <v>4398</v>
      </c>
      <c r="D84">
        <v>15</v>
      </c>
    </row>
    <row r="85" spans="1:4" x14ac:dyDescent="0.25">
      <c r="A85" t="s">
        <v>123</v>
      </c>
      <c r="B85" t="s">
        <v>490</v>
      </c>
      <c r="C85" t="s">
        <v>4394</v>
      </c>
      <c r="D85">
        <v>12</v>
      </c>
    </row>
    <row r="86" spans="1:4" x14ac:dyDescent="0.25">
      <c r="A86" t="s">
        <v>123</v>
      </c>
      <c r="B86" t="s">
        <v>721</v>
      </c>
      <c r="C86" t="s">
        <v>2460</v>
      </c>
      <c r="D86">
        <v>10</v>
      </c>
    </row>
    <row r="87" spans="1:4" x14ac:dyDescent="0.25">
      <c r="A87" t="s">
        <v>123</v>
      </c>
      <c r="B87" t="s">
        <v>723</v>
      </c>
      <c r="C87" t="s">
        <v>2286</v>
      </c>
      <c r="D87">
        <v>12</v>
      </c>
    </row>
    <row r="88" spans="1:4" x14ac:dyDescent="0.25">
      <c r="A88" t="s">
        <v>123</v>
      </c>
      <c r="B88" t="s">
        <v>211</v>
      </c>
      <c r="C88" t="s">
        <v>4278</v>
      </c>
      <c r="D88">
        <v>11</v>
      </c>
    </row>
    <row r="89" spans="1:4" x14ac:dyDescent="0.25">
      <c r="A89" t="s">
        <v>123</v>
      </c>
      <c r="B89" t="s">
        <v>211</v>
      </c>
      <c r="C89" t="s">
        <v>1853</v>
      </c>
      <c r="D89">
        <v>10</v>
      </c>
    </row>
    <row r="90" spans="1:4" x14ac:dyDescent="0.25">
      <c r="A90" t="s">
        <v>123</v>
      </c>
      <c r="B90" t="s">
        <v>211</v>
      </c>
      <c r="C90" t="s">
        <v>2680</v>
      </c>
      <c r="D90">
        <v>9</v>
      </c>
    </row>
    <row r="91" spans="1:4" x14ac:dyDescent="0.25">
      <c r="A91" t="s">
        <v>123</v>
      </c>
      <c r="B91" t="s">
        <v>1169</v>
      </c>
      <c r="C91" t="s">
        <v>1488</v>
      </c>
      <c r="D91">
        <v>12</v>
      </c>
    </row>
    <row r="92" spans="1:4" x14ac:dyDescent="0.25">
      <c r="A92" t="s">
        <v>123</v>
      </c>
      <c r="B92" t="s">
        <v>759</v>
      </c>
      <c r="C92" t="s">
        <v>2197</v>
      </c>
      <c r="D92">
        <v>10</v>
      </c>
    </row>
    <row r="93" spans="1:4" x14ac:dyDescent="0.25">
      <c r="A93" t="s">
        <v>123</v>
      </c>
      <c r="B93" t="s">
        <v>93</v>
      </c>
      <c r="C93" t="s">
        <v>3360</v>
      </c>
      <c r="D93">
        <v>8</v>
      </c>
    </row>
    <row r="94" spans="1:4" x14ac:dyDescent="0.25">
      <c r="A94" t="s">
        <v>123</v>
      </c>
      <c r="B94" t="s">
        <v>138</v>
      </c>
      <c r="C94" t="s">
        <v>685</v>
      </c>
      <c r="D94">
        <v>9</v>
      </c>
    </row>
    <row r="95" spans="1:4" x14ac:dyDescent="0.25">
      <c r="A95" t="s">
        <v>123</v>
      </c>
      <c r="B95" t="s">
        <v>138</v>
      </c>
      <c r="C95" t="s">
        <v>3728</v>
      </c>
      <c r="D95">
        <v>10</v>
      </c>
    </row>
    <row r="96" spans="1:4" x14ac:dyDescent="0.25">
      <c r="A96" t="s">
        <v>123</v>
      </c>
      <c r="B96" t="s">
        <v>1776</v>
      </c>
      <c r="C96" t="s">
        <v>4403</v>
      </c>
      <c r="D96">
        <v>11</v>
      </c>
    </row>
    <row r="97" spans="1:4" x14ac:dyDescent="0.25">
      <c r="A97" t="s">
        <v>123</v>
      </c>
      <c r="B97" t="s">
        <v>1776</v>
      </c>
      <c r="C97" t="s">
        <v>4236</v>
      </c>
      <c r="D97">
        <v>12</v>
      </c>
    </row>
    <row r="98" spans="1:4" x14ac:dyDescent="0.25">
      <c r="A98" t="s">
        <v>123</v>
      </c>
      <c r="B98" t="s">
        <v>1819</v>
      </c>
      <c r="C98" t="s">
        <v>2686</v>
      </c>
      <c r="D98">
        <v>14</v>
      </c>
    </row>
    <row r="99" spans="1:4" x14ac:dyDescent="0.25">
      <c r="A99" t="s">
        <v>123</v>
      </c>
      <c r="B99" t="s">
        <v>544</v>
      </c>
      <c r="C99" t="s">
        <v>2687</v>
      </c>
      <c r="D99">
        <v>15</v>
      </c>
    </row>
    <row r="100" spans="1:4" x14ac:dyDescent="0.25">
      <c r="A100" t="s">
        <v>123</v>
      </c>
      <c r="B100" t="s">
        <v>629</v>
      </c>
      <c r="C100" t="s">
        <v>4414</v>
      </c>
      <c r="D100">
        <v>13</v>
      </c>
    </row>
    <row r="101" spans="1:4" x14ac:dyDescent="0.25">
      <c r="A101" t="s">
        <v>123</v>
      </c>
      <c r="B101" t="s">
        <v>442</v>
      </c>
      <c r="C101" t="s">
        <v>4415</v>
      </c>
      <c r="D101">
        <v>12</v>
      </c>
    </row>
    <row r="102" spans="1:4" x14ac:dyDescent="0.25">
      <c r="A102" t="s">
        <v>123</v>
      </c>
      <c r="B102" t="s">
        <v>876</v>
      </c>
      <c r="C102" t="s">
        <v>4416</v>
      </c>
      <c r="D102">
        <v>15</v>
      </c>
    </row>
    <row r="103" spans="1:4" x14ac:dyDescent="0.25">
      <c r="A103" t="s">
        <v>123</v>
      </c>
      <c r="B103" t="s">
        <v>1045</v>
      </c>
      <c r="C103" t="s">
        <v>4417</v>
      </c>
      <c r="D103">
        <v>18</v>
      </c>
    </row>
    <row r="105" spans="1:4" x14ac:dyDescent="0.25">
      <c r="A105" s="2" t="s">
        <v>157</v>
      </c>
    </row>
    <row r="106" spans="1:4" x14ac:dyDescent="0.25">
      <c r="A106" t="s">
        <v>158</v>
      </c>
      <c r="D106">
        <f>AVERAGE(D2:D103)</f>
        <v>4.4313725490196081</v>
      </c>
    </row>
    <row r="107" spans="1:4" x14ac:dyDescent="0.25">
      <c r="A107" t="s">
        <v>159</v>
      </c>
      <c r="D107">
        <f>MAX(D2:D103)</f>
        <v>18</v>
      </c>
    </row>
    <row r="108" spans="1:4" x14ac:dyDescent="0.25">
      <c r="A108" t="s">
        <v>160</v>
      </c>
      <c r="D108">
        <f>MIN(D2:D103)</f>
        <v>-6</v>
      </c>
    </row>
    <row r="109" spans="1:4" x14ac:dyDescent="0.25">
      <c r="A109" t="s">
        <v>161</v>
      </c>
      <c r="D109">
        <f>COUNTIF(D2:D103,"&gt;0")</f>
        <v>72</v>
      </c>
    </row>
    <row r="110" spans="1:4" x14ac:dyDescent="0.25">
      <c r="A110" t="s">
        <v>162</v>
      </c>
      <c r="D110">
        <f>COUNTIF(D2:D103,"=0")</f>
        <v>7</v>
      </c>
    </row>
    <row r="111" spans="1:4" x14ac:dyDescent="0.25">
      <c r="A111" t="s">
        <v>1186</v>
      </c>
      <c r="D111">
        <f>COUNTIF(D2:D103,"&lt;0")</f>
        <v>23</v>
      </c>
    </row>
    <row r="113" spans="1:4" x14ac:dyDescent="0.25">
      <c r="A113" s="2" t="s">
        <v>164</v>
      </c>
    </row>
    <row r="114" spans="1:4" x14ac:dyDescent="0.25">
      <c r="A114" t="s">
        <v>165</v>
      </c>
      <c r="D114">
        <f>AVERAGE(D2,D3,D4,D5,D6,D7,D8,D9,D10,D11,D12,D13,D14,D15,D16,D17,D18,D19,D20,D21,D22,D23,D24,D25,D26,D27)</f>
        <v>4.6923076923076925</v>
      </c>
    </row>
    <row r="115" spans="1:4" x14ac:dyDescent="0.25">
      <c r="A115" t="s">
        <v>166</v>
      </c>
      <c r="D115">
        <f>AVERAGE(D28,D29,D30,D31,D32,D33,D34,D35,D36,D37,D38,D39,D40,D41,D42,D43,D44,D45,D46,D47,D48,D49,D50,D51,D52,D53)</f>
        <v>-0.30769230769230771</v>
      </c>
    </row>
    <row r="116" spans="1:4" x14ac:dyDescent="0.25">
      <c r="A116" t="s">
        <v>167</v>
      </c>
      <c r="D116">
        <f>AVERAGE(D54,D55,D56,D57,D58,D59,D60,D61,D62,D63,D64,D65,D66,D67,D68,D69,D70,D71,D72,D73,D74,D75,D76,D77,D78,D79)</f>
        <v>2.3461538461538463</v>
      </c>
    </row>
    <row r="117" spans="1:4" x14ac:dyDescent="0.25">
      <c r="A117" t="s">
        <v>168</v>
      </c>
      <c r="D117">
        <f>AVERAGE(D80,D81,D82,D83,D84,D85,D86,D87,D88,D89,D90,D91,D92,D93,D94,D95,D96,D97,D98,D99,D100,D101,D102,D103)</f>
        <v>11.541666666666666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12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1691</v>
      </c>
      <c r="C2" t="s">
        <v>908</v>
      </c>
      <c r="D2">
        <v>-2</v>
      </c>
    </row>
    <row r="3" spans="1:4" x14ac:dyDescent="0.25">
      <c r="A3" t="s">
        <v>4</v>
      </c>
      <c r="B3" t="s">
        <v>1210</v>
      </c>
      <c r="C3" t="s">
        <v>174</v>
      </c>
      <c r="D3">
        <v>1</v>
      </c>
    </row>
    <row r="4" spans="1:4" x14ac:dyDescent="0.25">
      <c r="A4" t="s">
        <v>4</v>
      </c>
      <c r="B4" t="s">
        <v>862</v>
      </c>
      <c r="C4" t="s">
        <v>2045</v>
      </c>
      <c r="D4">
        <v>-1</v>
      </c>
    </row>
    <row r="5" spans="1:4" x14ac:dyDescent="0.25">
      <c r="A5" t="s">
        <v>4</v>
      </c>
      <c r="B5" t="s">
        <v>175</v>
      </c>
      <c r="C5" t="s">
        <v>1494</v>
      </c>
      <c r="D5">
        <v>-3</v>
      </c>
    </row>
    <row r="6" spans="1:4" x14ac:dyDescent="0.25">
      <c r="A6" t="s">
        <v>4</v>
      </c>
      <c r="B6" t="s">
        <v>570</v>
      </c>
      <c r="C6" t="s">
        <v>911</v>
      </c>
      <c r="D6">
        <v>-4</v>
      </c>
    </row>
    <row r="7" spans="1:4" x14ac:dyDescent="0.25">
      <c r="A7" t="s">
        <v>4</v>
      </c>
      <c r="B7" t="s">
        <v>570</v>
      </c>
      <c r="C7" t="s">
        <v>2200</v>
      </c>
      <c r="D7">
        <v>-5</v>
      </c>
    </row>
    <row r="8" spans="1:4" x14ac:dyDescent="0.25">
      <c r="A8" t="s">
        <v>4</v>
      </c>
      <c r="B8" t="s">
        <v>1742</v>
      </c>
      <c r="C8" t="s">
        <v>1741</v>
      </c>
      <c r="D8">
        <v>-7</v>
      </c>
    </row>
    <row r="9" spans="1:4" x14ac:dyDescent="0.25">
      <c r="A9" t="s">
        <v>4</v>
      </c>
      <c r="B9" t="s">
        <v>1742</v>
      </c>
      <c r="C9" t="s">
        <v>4066</v>
      </c>
      <c r="D9">
        <v>-8</v>
      </c>
    </row>
    <row r="10" spans="1:4" x14ac:dyDescent="0.25">
      <c r="A10" t="s">
        <v>4</v>
      </c>
      <c r="B10" t="s">
        <v>2170</v>
      </c>
      <c r="C10" t="s">
        <v>3696</v>
      </c>
      <c r="D10">
        <v>-6</v>
      </c>
    </row>
    <row r="11" spans="1:4" x14ac:dyDescent="0.25">
      <c r="A11" t="s">
        <v>4</v>
      </c>
      <c r="B11" t="s">
        <v>215</v>
      </c>
      <c r="C11" t="s">
        <v>4067</v>
      </c>
      <c r="D11">
        <v>-8</v>
      </c>
    </row>
    <row r="12" spans="1:4" x14ac:dyDescent="0.25">
      <c r="A12" t="s">
        <v>4</v>
      </c>
      <c r="B12" t="s">
        <v>805</v>
      </c>
      <c r="C12" t="s">
        <v>4161</v>
      </c>
      <c r="D12">
        <v>-7</v>
      </c>
    </row>
    <row r="13" spans="1:4" x14ac:dyDescent="0.25">
      <c r="A13" t="s">
        <v>4</v>
      </c>
      <c r="B13" t="s">
        <v>339</v>
      </c>
      <c r="C13" t="s">
        <v>3697</v>
      </c>
      <c r="D13">
        <v>-5</v>
      </c>
    </row>
    <row r="14" spans="1:4" x14ac:dyDescent="0.25">
      <c r="A14" t="s">
        <v>4</v>
      </c>
      <c r="B14" t="s">
        <v>1198</v>
      </c>
      <c r="C14" t="s">
        <v>4418</v>
      </c>
      <c r="D14">
        <v>-8</v>
      </c>
    </row>
    <row r="15" spans="1:4" x14ac:dyDescent="0.25">
      <c r="A15" t="s">
        <v>4</v>
      </c>
      <c r="B15" t="s">
        <v>749</v>
      </c>
      <c r="C15" t="s">
        <v>2607</v>
      </c>
      <c r="D15">
        <v>-6</v>
      </c>
    </row>
    <row r="16" spans="1:4" x14ac:dyDescent="0.25">
      <c r="A16" t="s">
        <v>4</v>
      </c>
      <c r="B16" t="s">
        <v>1739</v>
      </c>
      <c r="C16" t="s">
        <v>1702</v>
      </c>
      <c r="D16">
        <v>-8</v>
      </c>
    </row>
    <row r="17" spans="1:4" x14ac:dyDescent="0.25">
      <c r="A17" t="s">
        <v>4</v>
      </c>
      <c r="B17" t="s">
        <v>999</v>
      </c>
      <c r="C17" t="s">
        <v>1645</v>
      </c>
      <c r="D17">
        <v>-9</v>
      </c>
    </row>
    <row r="18" spans="1:4" x14ac:dyDescent="0.25">
      <c r="A18" t="s">
        <v>4</v>
      </c>
      <c r="B18" t="s">
        <v>999</v>
      </c>
      <c r="C18" t="s">
        <v>3612</v>
      </c>
      <c r="D18">
        <v>-10</v>
      </c>
    </row>
    <row r="19" spans="1:4" x14ac:dyDescent="0.25">
      <c r="A19" t="s">
        <v>4</v>
      </c>
      <c r="B19" t="s">
        <v>582</v>
      </c>
      <c r="C19" t="s">
        <v>2398</v>
      </c>
      <c r="D19">
        <v>-9</v>
      </c>
    </row>
    <row r="20" spans="1:4" x14ac:dyDescent="0.25">
      <c r="A20" t="s">
        <v>4</v>
      </c>
      <c r="B20" t="s">
        <v>1733</v>
      </c>
      <c r="C20" t="s">
        <v>2400</v>
      </c>
      <c r="D20">
        <v>-11</v>
      </c>
    </row>
    <row r="21" spans="1:4" x14ac:dyDescent="0.25">
      <c r="A21" t="s">
        <v>4</v>
      </c>
      <c r="B21" t="s">
        <v>537</v>
      </c>
      <c r="C21" t="s">
        <v>3669</v>
      </c>
      <c r="D21">
        <v>-10</v>
      </c>
    </row>
    <row r="22" spans="1:4" x14ac:dyDescent="0.25">
      <c r="A22" t="s">
        <v>4</v>
      </c>
      <c r="B22" t="s">
        <v>396</v>
      </c>
      <c r="C22" t="s">
        <v>4419</v>
      </c>
      <c r="D22">
        <v>-12</v>
      </c>
    </row>
    <row r="23" spans="1:4" x14ac:dyDescent="0.25">
      <c r="A23" t="s">
        <v>40</v>
      </c>
      <c r="B23" t="s">
        <v>81</v>
      </c>
      <c r="C23" t="s">
        <v>3670</v>
      </c>
      <c r="D23">
        <v>-10</v>
      </c>
    </row>
    <row r="24" spans="1:4" x14ac:dyDescent="0.25">
      <c r="A24" t="s">
        <v>40</v>
      </c>
      <c r="B24" t="s">
        <v>2355</v>
      </c>
      <c r="C24" t="s">
        <v>4420</v>
      </c>
      <c r="D24">
        <v>-13</v>
      </c>
    </row>
    <row r="25" spans="1:4" x14ac:dyDescent="0.25">
      <c r="A25" t="s">
        <v>40</v>
      </c>
      <c r="B25" t="s">
        <v>693</v>
      </c>
      <c r="C25" t="s">
        <v>2435</v>
      </c>
      <c r="D25">
        <v>-10</v>
      </c>
    </row>
    <row r="26" spans="1:4" x14ac:dyDescent="0.25">
      <c r="A26" t="s">
        <v>40</v>
      </c>
      <c r="B26" t="s">
        <v>246</v>
      </c>
      <c r="C26" t="s">
        <v>2436</v>
      </c>
      <c r="D26">
        <v>-12</v>
      </c>
    </row>
    <row r="27" spans="1:4" x14ac:dyDescent="0.25">
      <c r="A27" t="s">
        <v>40</v>
      </c>
      <c r="B27" t="s">
        <v>89</v>
      </c>
      <c r="C27" t="s">
        <v>3881</v>
      </c>
      <c r="D27">
        <v>-11</v>
      </c>
    </row>
    <row r="28" spans="1:4" x14ac:dyDescent="0.25">
      <c r="A28" t="s">
        <v>40</v>
      </c>
      <c r="B28" t="s">
        <v>1773</v>
      </c>
      <c r="C28" t="s">
        <v>4421</v>
      </c>
      <c r="D28">
        <v>-14</v>
      </c>
    </row>
    <row r="29" spans="1:4" x14ac:dyDescent="0.25">
      <c r="A29" t="s">
        <v>40</v>
      </c>
      <c r="B29" t="s">
        <v>623</v>
      </c>
      <c r="C29" t="s">
        <v>1659</v>
      </c>
      <c r="D29">
        <v>-11</v>
      </c>
    </row>
    <row r="30" spans="1:4" x14ac:dyDescent="0.25">
      <c r="A30" t="s">
        <v>40</v>
      </c>
      <c r="B30" t="s">
        <v>335</v>
      </c>
      <c r="C30" t="s">
        <v>1660</v>
      </c>
      <c r="D30">
        <v>-10</v>
      </c>
    </row>
    <row r="31" spans="1:4" x14ac:dyDescent="0.25">
      <c r="A31" t="s">
        <v>40</v>
      </c>
      <c r="B31" t="s">
        <v>335</v>
      </c>
      <c r="C31" t="s">
        <v>2409</v>
      </c>
      <c r="D31">
        <v>-9</v>
      </c>
    </row>
    <row r="32" spans="1:4" x14ac:dyDescent="0.25">
      <c r="A32" t="s">
        <v>40</v>
      </c>
      <c r="B32" t="s">
        <v>802</v>
      </c>
      <c r="C32" t="s">
        <v>2860</v>
      </c>
      <c r="D32">
        <v>-11</v>
      </c>
    </row>
    <row r="33" spans="1:4" x14ac:dyDescent="0.25">
      <c r="A33" t="s">
        <v>40</v>
      </c>
      <c r="B33" t="s">
        <v>1230</v>
      </c>
      <c r="C33" t="s">
        <v>4101</v>
      </c>
      <c r="D33">
        <v>-13</v>
      </c>
    </row>
    <row r="34" spans="1:4" x14ac:dyDescent="0.25">
      <c r="A34" t="s">
        <v>40</v>
      </c>
      <c r="B34" t="s">
        <v>1855</v>
      </c>
      <c r="C34" t="s">
        <v>4134</v>
      </c>
      <c r="D34">
        <v>-11</v>
      </c>
    </row>
    <row r="35" spans="1:4" x14ac:dyDescent="0.25">
      <c r="A35" t="s">
        <v>40</v>
      </c>
      <c r="B35" t="s">
        <v>337</v>
      </c>
      <c r="C35" t="s">
        <v>4199</v>
      </c>
      <c r="D35">
        <v>-13</v>
      </c>
    </row>
    <row r="36" spans="1:4" x14ac:dyDescent="0.25">
      <c r="A36" t="s">
        <v>40</v>
      </c>
      <c r="B36" t="s">
        <v>337</v>
      </c>
      <c r="C36" t="s">
        <v>4422</v>
      </c>
      <c r="D36">
        <v>-14</v>
      </c>
    </row>
    <row r="37" spans="1:4" x14ac:dyDescent="0.25">
      <c r="A37" t="s">
        <v>40</v>
      </c>
      <c r="B37" t="s">
        <v>1698</v>
      </c>
      <c r="C37" t="s">
        <v>808</v>
      </c>
      <c r="D37">
        <v>-11</v>
      </c>
    </row>
    <row r="38" spans="1:4" x14ac:dyDescent="0.25">
      <c r="A38" t="s">
        <v>40</v>
      </c>
      <c r="B38" t="s">
        <v>924</v>
      </c>
      <c r="C38" t="s">
        <v>4201</v>
      </c>
      <c r="D38">
        <v>-13</v>
      </c>
    </row>
    <row r="39" spans="1:4" x14ac:dyDescent="0.25">
      <c r="A39" t="s">
        <v>40</v>
      </c>
      <c r="B39" t="s">
        <v>112</v>
      </c>
      <c r="C39" t="s">
        <v>811</v>
      </c>
      <c r="D39">
        <v>-11</v>
      </c>
    </row>
    <row r="40" spans="1:4" x14ac:dyDescent="0.25">
      <c r="A40" t="s">
        <v>40</v>
      </c>
      <c r="B40" t="s">
        <v>472</v>
      </c>
      <c r="C40" t="s">
        <v>4423</v>
      </c>
      <c r="D40">
        <v>-13</v>
      </c>
    </row>
    <row r="41" spans="1:4" x14ac:dyDescent="0.25">
      <c r="A41" t="s">
        <v>40</v>
      </c>
      <c r="B41" t="s">
        <v>290</v>
      </c>
      <c r="C41" t="s">
        <v>3587</v>
      </c>
      <c r="D41">
        <v>-10</v>
      </c>
    </row>
    <row r="42" spans="1:4" x14ac:dyDescent="0.25">
      <c r="A42" t="s">
        <v>40</v>
      </c>
      <c r="B42" t="s">
        <v>1398</v>
      </c>
      <c r="C42" t="s">
        <v>3775</v>
      </c>
      <c r="D42">
        <v>-12</v>
      </c>
    </row>
    <row r="43" spans="1:4" x14ac:dyDescent="0.25">
      <c r="A43" t="s">
        <v>40</v>
      </c>
      <c r="B43" t="s">
        <v>709</v>
      </c>
      <c r="C43" t="s">
        <v>86</v>
      </c>
      <c r="D43">
        <v>-9</v>
      </c>
    </row>
    <row r="44" spans="1:4" x14ac:dyDescent="0.25">
      <c r="A44" t="s">
        <v>40</v>
      </c>
      <c r="B44" t="s">
        <v>1019</v>
      </c>
      <c r="C44" t="s">
        <v>816</v>
      </c>
      <c r="D44">
        <v>-10</v>
      </c>
    </row>
    <row r="45" spans="1:4" x14ac:dyDescent="0.25">
      <c r="A45" t="s">
        <v>40</v>
      </c>
      <c r="B45" t="s">
        <v>1019</v>
      </c>
      <c r="C45" t="s">
        <v>4297</v>
      </c>
      <c r="D45">
        <v>-11</v>
      </c>
    </row>
    <row r="46" spans="1:4" x14ac:dyDescent="0.25">
      <c r="A46" t="s">
        <v>40</v>
      </c>
      <c r="B46" t="s">
        <v>1437</v>
      </c>
      <c r="C46" t="s">
        <v>2220</v>
      </c>
      <c r="D46">
        <v>-8</v>
      </c>
    </row>
    <row r="47" spans="1:4" x14ac:dyDescent="0.25">
      <c r="A47" t="s">
        <v>40</v>
      </c>
      <c r="B47" t="s">
        <v>1206</v>
      </c>
      <c r="C47" t="s">
        <v>4371</v>
      </c>
      <c r="D47">
        <v>-6</v>
      </c>
    </row>
    <row r="48" spans="1:4" x14ac:dyDescent="0.25">
      <c r="A48" t="s">
        <v>40</v>
      </c>
      <c r="B48" t="s">
        <v>154</v>
      </c>
      <c r="C48" t="s">
        <v>4424</v>
      </c>
      <c r="D48">
        <v>-4</v>
      </c>
    </row>
    <row r="49" spans="1:4" x14ac:dyDescent="0.25">
      <c r="A49" t="s">
        <v>40</v>
      </c>
      <c r="B49" t="s">
        <v>78</v>
      </c>
      <c r="C49" t="s">
        <v>2566</v>
      </c>
      <c r="D49">
        <v>-7</v>
      </c>
    </row>
    <row r="50" spans="1:4" x14ac:dyDescent="0.25">
      <c r="A50" t="s">
        <v>80</v>
      </c>
      <c r="B50" t="s">
        <v>1704</v>
      </c>
      <c r="C50" t="s">
        <v>824</v>
      </c>
      <c r="D50">
        <v>-8</v>
      </c>
    </row>
    <row r="51" spans="1:4" x14ac:dyDescent="0.25">
      <c r="A51" t="s">
        <v>80</v>
      </c>
      <c r="B51" t="s">
        <v>1704</v>
      </c>
      <c r="C51" t="s">
        <v>825</v>
      </c>
      <c r="D51">
        <v>-9</v>
      </c>
    </row>
    <row r="52" spans="1:4" x14ac:dyDescent="0.25">
      <c r="A52" t="s">
        <v>80</v>
      </c>
      <c r="B52" t="s">
        <v>239</v>
      </c>
      <c r="C52" t="s">
        <v>4425</v>
      </c>
      <c r="D52">
        <v>-7</v>
      </c>
    </row>
    <row r="53" spans="1:4" x14ac:dyDescent="0.25">
      <c r="A53" t="s">
        <v>80</v>
      </c>
      <c r="B53" t="s">
        <v>81</v>
      </c>
      <c r="C53" t="s">
        <v>4426</v>
      </c>
      <c r="D53">
        <v>-9</v>
      </c>
    </row>
    <row r="54" spans="1:4" x14ac:dyDescent="0.25">
      <c r="A54" t="s">
        <v>80</v>
      </c>
      <c r="B54" t="s">
        <v>2443</v>
      </c>
      <c r="C54" t="s">
        <v>1769</v>
      </c>
      <c r="D54">
        <v>-6</v>
      </c>
    </row>
    <row r="55" spans="1:4" x14ac:dyDescent="0.25">
      <c r="A55" t="s">
        <v>80</v>
      </c>
      <c r="B55" t="s">
        <v>1267</v>
      </c>
      <c r="C55" t="s">
        <v>4427</v>
      </c>
      <c r="D55">
        <v>-8</v>
      </c>
    </row>
    <row r="56" spans="1:4" x14ac:dyDescent="0.25">
      <c r="A56" t="s">
        <v>80</v>
      </c>
      <c r="B56" t="s">
        <v>458</v>
      </c>
      <c r="C56" t="s">
        <v>4428</v>
      </c>
      <c r="D56">
        <v>-11</v>
      </c>
    </row>
    <row r="57" spans="1:4" x14ac:dyDescent="0.25">
      <c r="A57" t="s">
        <v>80</v>
      </c>
      <c r="B57" t="s">
        <v>332</v>
      </c>
      <c r="C57" t="s">
        <v>4429</v>
      </c>
      <c r="D57">
        <v>-9</v>
      </c>
    </row>
    <row r="58" spans="1:4" x14ac:dyDescent="0.25">
      <c r="A58" t="s">
        <v>80</v>
      </c>
      <c r="B58" t="s">
        <v>2118</v>
      </c>
      <c r="C58" t="s">
        <v>3562</v>
      </c>
      <c r="D58">
        <v>-11</v>
      </c>
    </row>
    <row r="59" spans="1:4" x14ac:dyDescent="0.25">
      <c r="A59" t="s">
        <v>80</v>
      </c>
      <c r="B59" t="s">
        <v>779</v>
      </c>
      <c r="C59" t="s">
        <v>4430</v>
      </c>
      <c r="D59">
        <v>-8</v>
      </c>
    </row>
    <row r="60" spans="1:4" x14ac:dyDescent="0.25">
      <c r="A60" t="s">
        <v>80</v>
      </c>
      <c r="B60" t="s">
        <v>405</v>
      </c>
      <c r="C60" t="s">
        <v>2574</v>
      </c>
      <c r="D60">
        <v>-10</v>
      </c>
    </row>
    <row r="61" spans="1:4" x14ac:dyDescent="0.25">
      <c r="A61" t="s">
        <v>80</v>
      </c>
      <c r="B61" t="s">
        <v>17</v>
      </c>
      <c r="C61" t="s">
        <v>3987</v>
      </c>
      <c r="D61">
        <v>-9</v>
      </c>
    </row>
    <row r="62" spans="1:4" x14ac:dyDescent="0.25">
      <c r="A62" t="s">
        <v>80</v>
      </c>
      <c r="B62" t="s">
        <v>17</v>
      </c>
      <c r="C62" t="s">
        <v>2420</v>
      </c>
      <c r="D62">
        <v>-8</v>
      </c>
    </row>
    <row r="63" spans="1:4" x14ac:dyDescent="0.25">
      <c r="A63" t="s">
        <v>80</v>
      </c>
      <c r="B63" t="s">
        <v>1695</v>
      </c>
      <c r="C63" t="s">
        <v>4333</v>
      </c>
      <c r="D63">
        <v>-9</v>
      </c>
    </row>
    <row r="64" spans="1:4" x14ac:dyDescent="0.25">
      <c r="A64" t="s">
        <v>80</v>
      </c>
      <c r="B64" t="s">
        <v>1695</v>
      </c>
      <c r="C64" t="s">
        <v>3989</v>
      </c>
      <c r="D64">
        <v>-10</v>
      </c>
    </row>
    <row r="65" spans="1:4" x14ac:dyDescent="0.25">
      <c r="A65" t="s">
        <v>80</v>
      </c>
      <c r="B65" t="s">
        <v>374</v>
      </c>
      <c r="C65" t="s">
        <v>3607</v>
      </c>
      <c r="D65">
        <v>-12</v>
      </c>
    </row>
    <row r="66" spans="1:4" x14ac:dyDescent="0.25">
      <c r="A66" t="s">
        <v>80</v>
      </c>
      <c r="B66" t="s">
        <v>374</v>
      </c>
      <c r="C66" t="s">
        <v>3608</v>
      </c>
      <c r="D66">
        <v>-14</v>
      </c>
    </row>
    <row r="67" spans="1:4" x14ac:dyDescent="0.25">
      <c r="A67" t="s">
        <v>80</v>
      </c>
      <c r="B67" t="s">
        <v>890</v>
      </c>
      <c r="C67" t="s">
        <v>3609</v>
      </c>
      <c r="D67">
        <v>-12</v>
      </c>
    </row>
    <row r="68" spans="1:4" x14ac:dyDescent="0.25">
      <c r="A68" t="s">
        <v>80</v>
      </c>
      <c r="B68" t="s">
        <v>546</v>
      </c>
      <c r="C68" t="s">
        <v>2968</v>
      </c>
      <c r="D68">
        <v>-10</v>
      </c>
    </row>
    <row r="69" spans="1:4" x14ac:dyDescent="0.25">
      <c r="A69" t="s">
        <v>80</v>
      </c>
      <c r="B69" t="s">
        <v>579</v>
      </c>
      <c r="C69" t="s">
        <v>2615</v>
      </c>
      <c r="D69">
        <v>-13</v>
      </c>
    </row>
    <row r="70" spans="1:4" x14ac:dyDescent="0.25">
      <c r="A70" t="s">
        <v>80</v>
      </c>
      <c r="B70" t="s">
        <v>1843</v>
      </c>
      <c r="C70" t="s">
        <v>136</v>
      </c>
      <c r="D70">
        <v>-11</v>
      </c>
    </row>
    <row r="71" spans="1:4" x14ac:dyDescent="0.25">
      <c r="A71" t="s">
        <v>80</v>
      </c>
      <c r="B71" t="s">
        <v>1844</v>
      </c>
      <c r="C71" t="s">
        <v>2144</v>
      </c>
      <c r="D71">
        <v>-9</v>
      </c>
    </row>
    <row r="72" spans="1:4" x14ac:dyDescent="0.25">
      <c r="A72" t="s">
        <v>80</v>
      </c>
      <c r="B72" t="s">
        <v>1222</v>
      </c>
      <c r="C72" t="s">
        <v>137</v>
      </c>
      <c r="D72">
        <v>-8</v>
      </c>
    </row>
    <row r="73" spans="1:4" x14ac:dyDescent="0.25">
      <c r="A73" t="s">
        <v>80</v>
      </c>
      <c r="B73" t="s">
        <v>1222</v>
      </c>
      <c r="C73" t="s">
        <v>139</v>
      </c>
      <c r="D73">
        <v>-7</v>
      </c>
    </row>
    <row r="74" spans="1:4" x14ac:dyDescent="0.25">
      <c r="A74" t="s">
        <v>80</v>
      </c>
      <c r="B74" t="s">
        <v>1733</v>
      </c>
      <c r="C74" t="s">
        <v>2769</v>
      </c>
      <c r="D74">
        <v>-8</v>
      </c>
    </row>
    <row r="75" spans="1:4" x14ac:dyDescent="0.25">
      <c r="A75" t="s">
        <v>80</v>
      </c>
      <c r="B75" t="s">
        <v>1733</v>
      </c>
      <c r="C75" t="s">
        <v>3993</v>
      </c>
      <c r="D75">
        <v>-9</v>
      </c>
    </row>
    <row r="76" spans="1:4" x14ac:dyDescent="0.25">
      <c r="A76" t="s">
        <v>123</v>
      </c>
      <c r="B76" t="s">
        <v>855</v>
      </c>
      <c r="C76" t="s">
        <v>2146</v>
      </c>
      <c r="D76">
        <v>-7</v>
      </c>
    </row>
    <row r="77" spans="1:4" x14ac:dyDescent="0.25">
      <c r="A77" t="s">
        <v>123</v>
      </c>
      <c r="B77" t="s">
        <v>1541</v>
      </c>
      <c r="C77" t="s">
        <v>2426</v>
      </c>
      <c r="D77">
        <v>-9</v>
      </c>
    </row>
    <row r="78" spans="1:4" x14ac:dyDescent="0.25">
      <c r="A78" t="s">
        <v>123</v>
      </c>
      <c r="B78" t="s">
        <v>857</v>
      </c>
      <c r="C78" t="s">
        <v>4431</v>
      </c>
      <c r="D78">
        <v>-8</v>
      </c>
    </row>
    <row r="79" spans="1:4" x14ac:dyDescent="0.25">
      <c r="A79" t="s">
        <v>123</v>
      </c>
      <c r="B79" t="s">
        <v>1009</v>
      </c>
      <c r="C79" t="s">
        <v>2972</v>
      </c>
      <c r="D79">
        <v>-7</v>
      </c>
    </row>
    <row r="80" spans="1:4" x14ac:dyDescent="0.25">
      <c r="A80" t="s">
        <v>123</v>
      </c>
      <c r="B80" t="s">
        <v>1009</v>
      </c>
      <c r="C80" t="s">
        <v>854</v>
      </c>
      <c r="D80">
        <v>-6</v>
      </c>
    </row>
    <row r="81" spans="1:4" x14ac:dyDescent="0.25">
      <c r="A81" t="s">
        <v>123</v>
      </c>
      <c r="B81" t="s">
        <v>1029</v>
      </c>
      <c r="C81" t="s">
        <v>2502</v>
      </c>
      <c r="D81">
        <v>-3</v>
      </c>
    </row>
    <row r="82" spans="1:4" x14ac:dyDescent="0.25">
      <c r="A82" t="s">
        <v>123</v>
      </c>
      <c r="B82" t="s">
        <v>1549</v>
      </c>
      <c r="C82" t="s">
        <v>3458</v>
      </c>
      <c r="D82">
        <v>-1</v>
      </c>
    </row>
    <row r="83" spans="1:4" x14ac:dyDescent="0.25">
      <c r="A83" t="s">
        <v>123</v>
      </c>
      <c r="B83" t="s">
        <v>307</v>
      </c>
      <c r="C83" t="s">
        <v>3036</v>
      </c>
      <c r="D83">
        <v>-2</v>
      </c>
    </row>
    <row r="84" spans="1:4" x14ac:dyDescent="0.25">
      <c r="A84" t="s">
        <v>123</v>
      </c>
      <c r="B84" t="s">
        <v>625</v>
      </c>
      <c r="C84" t="s">
        <v>3072</v>
      </c>
      <c r="D84">
        <v>0</v>
      </c>
    </row>
    <row r="85" spans="1:4" x14ac:dyDescent="0.25">
      <c r="A85" t="s">
        <v>123</v>
      </c>
      <c r="B85" t="s">
        <v>58</v>
      </c>
      <c r="C85" t="s">
        <v>532</v>
      </c>
      <c r="D85">
        <v>-1</v>
      </c>
    </row>
    <row r="86" spans="1:4" x14ac:dyDescent="0.25">
      <c r="A86" t="s">
        <v>123</v>
      </c>
      <c r="B86" t="s">
        <v>941</v>
      </c>
      <c r="C86" t="s">
        <v>2346</v>
      </c>
      <c r="D86">
        <v>-4</v>
      </c>
    </row>
    <row r="87" spans="1:4" x14ac:dyDescent="0.25">
      <c r="A87" t="s">
        <v>123</v>
      </c>
      <c r="B87" t="s">
        <v>21</v>
      </c>
      <c r="C87" t="s">
        <v>536</v>
      </c>
      <c r="D87">
        <v>-3</v>
      </c>
    </row>
    <row r="88" spans="1:4" x14ac:dyDescent="0.25">
      <c r="A88" t="s">
        <v>123</v>
      </c>
      <c r="B88" t="s">
        <v>21</v>
      </c>
      <c r="C88" t="s">
        <v>3581</v>
      </c>
      <c r="D88">
        <v>-2</v>
      </c>
    </row>
    <row r="89" spans="1:4" x14ac:dyDescent="0.25">
      <c r="A89" t="s">
        <v>123</v>
      </c>
      <c r="B89" t="s">
        <v>2562</v>
      </c>
      <c r="C89" t="s">
        <v>864</v>
      </c>
      <c r="D89">
        <v>-5</v>
      </c>
    </row>
    <row r="90" spans="1:4" x14ac:dyDescent="0.25">
      <c r="A90" t="s">
        <v>123</v>
      </c>
      <c r="B90" t="s">
        <v>1038</v>
      </c>
      <c r="C90" t="s">
        <v>866</v>
      </c>
      <c r="D90">
        <v>-3</v>
      </c>
    </row>
    <row r="91" spans="1:4" x14ac:dyDescent="0.25">
      <c r="A91" t="s">
        <v>123</v>
      </c>
      <c r="B91" t="s">
        <v>384</v>
      </c>
      <c r="C91" t="s">
        <v>3965</v>
      </c>
      <c r="D91">
        <v>-1</v>
      </c>
    </row>
    <row r="92" spans="1:4" x14ac:dyDescent="0.25">
      <c r="A92" t="s">
        <v>123</v>
      </c>
      <c r="B92" t="s">
        <v>1127</v>
      </c>
      <c r="C92" t="s">
        <v>4338</v>
      </c>
      <c r="D92">
        <v>-3</v>
      </c>
    </row>
    <row r="93" spans="1:4" x14ac:dyDescent="0.25">
      <c r="A93" t="s">
        <v>123</v>
      </c>
      <c r="B93" t="s">
        <v>148</v>
      </c>
      <c r="C93" t="s">
        <v>3547</v>
      </c>
      <c r="D93">
        <v>-5</v>
      </c>
    </row>
    <row r="94" spans="1:4" x14ac:dyDescent="0.25">
      <c r="A94" t="s">
        <v>123</v>
      </c>
      <c r="B94" t="s">
        <v>788</v>
      </c>
      <c r="C94" t="s">
        <v>2257</v>
      </c>
      <c r="D94">
        <v>-2</v>
      </c>
    </row>
    <row r="95" spans="1:4" x14ac:dyDescent="0.25">
      <c r="A95" t="s">
        <v>123</v>
      </c>
      <c r="B95" t="s">
        <v>552</v>
      </c>
      <c r="C95" t="s">
        <v>2713</v>
      </c>
      <c r="D95">
        <v>-3</v>
      </c>
    </row>
    <row r="96" spans="1:4" x14ac:dyDescent="0.25">
      <c r="A96" t="s">
        <v>123</v>
      </c>
      <c r="B96" t="s">
        <v>531</v>
      </c>
      <c r="C96" t="s">
        <v>2714</v>
      </c>
      <c r="D96">
        <v>-1</v>
      </c>
    </row>
    <row r="97" spans="1:4" x14ac:dyDescent="0.25">
      <c r="A97" t="s">
        <v>123</v>
      </c>
      <c r="B97" t="s">
        <v>322</v>
      </c>
      <c r="C97" t="s">
        <v>4432</v>
      </c>
      <c r="D97">
        <v>2</v>
      </c>
    </row>
    <row r="98" spans="1:4" x14ac:dyDescent="0.25">
      <c r="A98" t="s">
        <v>123</v>
      </c>
      <c r="B98" t="s">
        <v>817</v>
      </c>
      <c r="C98" t="s">
        <v>2717</v>
      </c>
      <c r="D98">
        <v>0</v>
      </c>
    </row>
    <row r="99" spans="1:4" x14ac:dyDescent="0.25">
      <c r="A99" t="s">
        <v>4</v>
      </c>
      <c r="B99" t="s">
        <v>941</v>
      </c>
      <c r="C99" t="s">
        <v>2718</v>
      </c>
      <c r="D99">
        <v>-2</v>
      </c>
    </row>
    <row r="100" spans="1:4" x14ac:dyDescent="0.25">
      <c r="A100" t="s">
        <v>4</v>
      </c>
      <c r="B100" t="s">
        <v>943</v>
      </c>
      <c r="C100" t="s">
        <v>3572</v>
      </c>
      <c r="D100">
        <v>1</v>
      </c>
    </row>
    <row r="101" spans="1:4" x14ac:dyDescent="0.25">
      <c r="A101" t="s">
        <v>4</v>
      </c>
      <c r="B101" t="s">
        <v>2562</v>
      </c>
      <c r="C101" t="s">
        <v>3573</v>
      </c>
      <c r="D101">
        <v>-1</v>
      </c>
    </row>
    <row r="102" spans="1:4" x14ac:dyDescent="0.25">
      <c r="A102" t="s">
        <v>4</v>
      </c>
      <c r="B102" t="s">
        <v>890</v>
      </c>
      <c r="C102" t="s">
        <v>4433</v>
      </c>
      <c r="D102">
        <v>0</v>
      </c>
    </row>
    <row r="103" spans="1:4" x14ac:dyDescent="0.25">
      <c r="A103" t="s">
        <v>4</v>
      </c>
      <c r="B103" t="s">
        <v>845</v>
      </c>
      <c r="C103" t="s">
        <v>3660</v>
      </c>
      <c r="D103">
        <v>-2</v>
      </c>
    </row>
    <row r="104" spans="1:4" x14ac:dyDescent="0.25">
      <c r="A104" t="s">
        <v>4</v>
      </c>
      <c r="B104" t="s">
        <v>581</v>
      </c>
      <c r="C104" t="s">
        <v>4434</v>
      </c>
      <c r="D104">
        <v>1</v>
      </c>
    </row>
    <row r="105" spans="1:4" x14ac:dyDescent="0.25">
      <c r="A105" t="s">
        <v>4</v>
      </c>
      <c r="B105" t="s">
        <v>296</v>
      </c>
      <c r="C105" t="s">
        <v>889</v>
      </c>
      <c r="D105">
        <v>3</v>
      </c>
    </row>
    <row r="106" spans="1:4" x14ac:dyDescent="0.25">
      <c r="A106" t="s">
        <v>4</v>
      </c>
      <c r="B106" t="s">
        <v>2042</v>
      </c>
      <c r="C106" t="s">
        <v>4435</v>
      </c>
      <c r="D106">
        <v>5</v>
      </c>
    </row>
    <row r="107" spans="1:4" x14ac:dyDescent="0.25">
      <c r="A107" t="s">
        <v>4</v>
      </c>
      <c r="B107" t="s">
        <v>1990</v>
      </c>
      <c r="C107" t="s">
        <v>4436</v>
      </c>
      <c r="D107">
        <v>3</v>
      </c>
    </row>
    <row r="108" spans="1:4" x14ac:dyDescent="0.25">
      <c r="A108" t="s">
        <v>4</v>
      </c>
      <c r="B108" t="s">
        <v>1990</v>
      </c>
      <c r="C108" t="s">
        <v>893</v>
      </c>
      <c r="D108">
        <v>2</v>
      </c>
    </row>
    <row r="109" spans="1:4" x14ac:dyDescent="0.25">
      <c r="A109" t="s">
        <v>4</v>
      </c>
      <c r="B109" t="s">
        <v>422</v>
      </c>
      <c r="C109" t="s">
        <v>4437</v>
      </c>
      <c r="D109">
        <v>4</v>
      </c>
    </row>
    <row r="110" spans="1:4" x14ac:dyDescent="0.25">
      <c r="A110" t="s">
        <v>4</v>
      </c>
      <c r="B110" t="s">
        <v>422</v>
      </c>
      <c r="C110" t="s">
        <v>4438</v>
      </c>
      <c r="D110">
        <v>5</v>
      </c>
    </row>
    <row r="111" spans="1:4" x14ac:dyDescent="0.25">
      <c r="A111" t="s">
        <v>4</v>
      </c>
      <c r="B111" t="s">
        <v>1002</v>
      </c>
      <c r="C111" t="s">
        <v>4439</v>
      </c>
      <c r="D111">
        <v>4</v>
      </c>
    </row>
    <row r="112" spans="1:4" x14ac:dyDescent="0.25">
      <c r="A112" t="s">
        <v>4</v>
      </c>
      <c r="B112" t="s">
        <v>1002</v>
      </c>
      <c r="C112" t="s">
        <v>4440</v>
      </c>
      <c r="D112">
        <v>3</v>
      </c>
    </row>
    <row r="113" spans="1:4" x14ac:dyDescent="0.25">
      <c r="A113" t="s">
        <v>4</v>
      </c>
      <c r="B113" t="s">
        <v>1276</v>
      </c>
      <c r="C113" t="s">
        <v>4441</v>
      </c>
      <c r="D113">
        <v>4</v>
      </c>
    </row>
    <row r="114" spans="1:4" x14ac:dyDescent="0.25">
      <c r="A114" t="s">
        <v>4</v>
      </c>
      <c r="B114" t="s">
        <v>1276</v>
      </c>
      <c r="C114" t="s">
        <v>4442</v>
      </c>
      <c r="D114">
        <v>5</v>
      </c>
    </row>
    <row r="116" spans="1:4" x14ac:dyDescent="0.25">
      <c r="A116" s="2" t="s">
        <v>157</v>
      </c>
    </row>
    <row r="117" spans="1:4" x14ac:dyDescent="0.25">
      <c r="A117" t="s">
        <v>158</v>
      </c>
      <c r="D117">
        <f>AVERAGE(D2:D114)</f>
        <v>-6.2743362831858409</v>
      </c>
    </row>
    <row r="118" spans="1:4" x14ac:dyDescent="0.25">
      <c r="A118" t="s">
        <v>159</v>
      </c>
      <c r="D118">
        <f>MAX(D2:D114)</f>
        <v>5</v>
      </c>
    </row>
    <row r="119" spans="1:4" x14ac:dyDescent="0.25">
      <c r="A119" t="s">
        <v>160</v>
      </c>
      <c r="D119">
        <f>MIN(D2:D114)</f>
        <v>-14</v>
      </c>
    </row>
    <row r="120" spans="1:4" x14ac:dyDescent="0.25">
      <c r="A120" t="s">
        <v>161</v>
      </c>
      <c r="D120">
        <f>COUNTIF(D2:D114,"&gt;0")</f>
        <v>14</v>
      </c>
    </row>
    <row r="121" spans="1:4" x14ac:dyDescent="0.25">
      <c r="A121" t="s">
        <v>162</v>
      </c>
      <c r="D121">
        <f>COUNTIF(D2:D114,"=0")</f>
        <v>3</v>
      </c>
    </row>
    <row r="122" spans="1:4" x14ac:dyDescent="0.25">
      <c r="A122" t="s">
        <v>1633</v>
      </c>
      <c r="D122">
        <f>COUNTIF(D2:D114,"&lt;0")</f>
        <v>96</v>
      </c>
    </row>
    <row r="124" spans="1:4" x14ac:dyDescent="0.25">
      <c r="A124" s="2" t="s">
        <v>164</v>
      </c>
    </row>
    <row r="125" spans="1:4" x14ac:dyDescent="0.25">
      <c r="A125" t="s">
        <v>165</v>
      </c>
      <c r="D125">
        <f>AVERAGE(D2,D3,D4,D5,D6,D7,D8,D9,D10,D11,D12,D13,D14,D15,D16,D17,D18,D19,D20,D21,D22,D99,D100,D101,D102,D103,D104,D105,D106,D107,D108,D109,D110,D111,D112,D113,D114)</f>
        <v>-2.7837837837837838</v>
      </c>
    </row>
    <row r="126" spans="1:4" x14ac:dyDescent="0.25">
      <c r="A126" t="s">
        <v>166</v>
      </c>
      <c r="D126">
        <f>AVERAGE(D23,D24,D25,D26,D27,D28,D29,D30,D31,D32,D33,D34,D35,D36,D37,D38,D39,D40,D41,D42,D43,D44,D45,D46,D47,D48,D49)</f>
        <v>-10.62962962962963</v>
      </c>
    </row>
    <row r="127" spans="1:4" x14ac:dyDescent="0.25">
      <c r="A127" t="s">
        <v>167</v>
      </c>
      <c r="D127">
        <f>AVERAGE(D50,D51,D52,D53,D54,D55,D56,D57,D58,D59,D60,D61,D62,D63,D64,D65,D66,D67,D68,D69,D70,D71,D72,D73,D74,D75)</f>
        <v>-9.4230769230769234</v>
      </c>
    </row>
    <row r="128" spans="1:4" x14ac:dyDescent="0.25">
      <c r="A128" t="s">
        <v>168</v>
      </c>
      <c r="D128">
        <f>AVERAGE(D76,D77,D78,D79,D80,D81,D82,D83,D84,D85,D86,D87,D88,D89,D90,D91,D92,D93,D94,D95,D96,D97,D98)</f>
        <v>-3.2173913043478262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1055</v>
      </c>
      <c r="C2" t="s">
        <v>908</v>
      </c>
      <c r="D2">
        <v>-2</v>
      </c>
    </row>
    <row r="3" spans="1:4" x14ac:dyDescent="0.25">
      <c r="A3" t="s">
        <v>4</v>
      </c>
      <c r="B3" t="s">
        <v>2405</v>
      </c>
      <c r="C3" t="s">
        <v>8</v>
      </c>
      <c r="D3">
        <v>0</v>
      </c>
    </row>
    <row r="4" spans="1:4" x14ac:dyDescent="0.25">
      <c r="A4" t="s">
        <v>4</v>
      </c>
      <c r="B4" t="s">
        <v>862</v>
      </c>
      <c r="C4" t="s">
        <v>306</v>
      </c>
      <c r="D4">
        <v>-1</v>
      </c>
    </row>
    <row r="5" spans="1:4" x14ac:dyDescent="0.25">
      <c r="A5" t="s">
        <v>4</v>
      </c>
      <c r="B5" t="s">
        <v>862</v>
      </c>
      <c r="C5" t="s">
        <v>10</v>
      </c>
      <c r="D5">
        <v>-2</v>
      </c>
    </row>
    <row r="6" spans="1:4" x14ac:dyDescent="0.25">
      <c r="A6" t="s">
        <v>4</v>
      </c>
      <c r="B6" t="s">
        <v>89</v>
      </c>
      <c r="C6" t="s">
        <v>12</v>
      </c>
      <c r="D6">
        <v>0</v>
      </c>
    </row>
    <row r="7" spans="1:4" x14ac:dyDescent="0.25">
      <c r="A7" t="s">
        <v>4</v>
      </c>
      <c r="B7" t="s">
        <v>645</v>
      </c>
      <c r="C7" t="s">
        <v>310</v>
      </c>
      <c r="D7">
        <v>-2</v>
      </c>
    </row>
    <row r="8" spans="1:4" x14ac:dyDescent="0.25">
      <c r="A8" t="s">
        <v>4</v>
      </c>
      <c r="B8" t="s">
        <v>834</v>
      </c>
      <c r="C8" t="s">
        <v>1107</v>
      </c>
      <c r="D8">
        <v>-1</v>
      </c>
    </row>
    <row r="9" spans="1:4" x14ac:dyDescent="0.25">
      <c r="A9" t="s">
        <v>4</v>
      </c>
      <c r="B9" t="s">
        <v>15</v>
      </c>
      <c r="C9" t="s">
        <v>913</v>
      </c>
      <c r="D9">
        <v>-2</v>
      </c>
    </row>
    <row r="10" spans="1:4" x14ac:dyDescent="0.25">
      <c r="A10" t="s">
        <v>4</v>
      </c>
      <c r="B10" t="s">
        <v>15</v>
      </c>
      <c r="C10" t="s">
        <v>1109</v>
      </c>
      <c r="D10">
        <v>-3</v>
      </c>
    </row>
    <row r="11" spans="1:4" x14ac:dyDescent="0.25">
      <c r="A11" t="s">
        <v>4</v>
      </c>
      <c r="B11" t="s">
        <v>804</v>
      </c>
      <c r="C11" t="s">
        <v>18</v>
      </c>
      <c r="D11">
        <v>-2</v>
      </c>
    </row>
    <row r="12" spans="1:4" x14ac:dyDescent="0.25">
      <c r="A12" t="s">
        <v>4</v>
      </c>
      <c r="B12" t="s">
        <v>184</v>
      </c>
      <c r="C12" t="s">
        <v>2153</v>
      </c>
      <c r="D12">
        <v>-3</v>
      </c>
    </row>
    <row r="13" spans="1:4" x14ac:dyDescent="0.25">
      <c r="A13" t="s">
        <v>4</v>
      </c>
      <c r="B13" t="s">
        <v>184</v>
      </c>
      <c r="C13" t="s">
        <v>1636</v>
      </c>
      <c r="D13">
        <v>-4</v>
      </c>
    </row>
    <row r="14" spans="1:4" x14ac:dyDescent="0.25">
      <c r="A14" t="s">
        <v>4</v>
      </c>
      <c r="B14" t="s">
        <v>1170</v>
      </c>
      <c r="C14" t="s">
        <v>4161</v>
      </c>
      <c r="D14">
        <v>-7</v>
      </c>
    </row>
    <row r="15" spans="1:4" x14ac:dyDescent="0.25">
      <c r="A15" t="s">
        <v>4</v>
      </c>
      <c r="B15" t="s">
        <v>374</v>
      </c>
      <c r="C15" t="s">
        <v>4443</v>
      </c>
      <c r="D15">
        <v>-10</v>
      </c>
    </row>
    <row r="16" spans="1:4" x14ac:dyDescent="0.25">
      <c r="A16" t="s">
        <v>4</v>
      </c>
      <c r="B16" t="s">
        <v>339</v>
      </c>
      <c r="C16" t="s">
        <v>4418</v>
      </c>
      <c r="D16">
        <v>-8</v>
      </c>
    </row>
    <row r="17" spans="1:4" x14ac:dyDescent="0.25">
      <c r="A17" t="s">
        <v>4</v>
      </c>
      <c r="B17" t="s">
        <v>1153</v>
      </c>
      <c r="C17" t="s">
        <v>2607</v>
      </c>
      <c r="D17">
        <v>-6</v>
      </c>
    </row>
    <row r="18" spans="1:4" x14ac:dyDescent="0.25">
      <c r="A18" t="s">
        <v>4</v>
      </c>
      <c r="B18" t="s">
        <v>546</v>
      </c>
      <c r="C18" t="s">
        <v>1645</v>
      </c>
      <c r="D18">
        <v>-9</v>
      </c>
    </row>
    <row r="19" spans="1:4" x14ac:dyDescent="0.25">
      <c r="A19" t="s">
        <v>4</v>
      </c>
      <c r="B19" t="s">
        <v>990</v>
      </c>
      <c r="C19" t="s">
        <v>1703</v>
      </c>
      <c r="D19">
        <v>-7</v>
      </c>
    </row>
    <row r="20" spans="1:4" x14ac:dyDescent="0.25">
      <c r="A20" t="s">
        <v>4</v>
      </c>
      <c r="B20" t="s">
        <v>290</v>
      </c>
      <c r="C20" t="s">
        <v>4191</v>
      </c>
      <c r="D20">
        <v>-9</v>
      </c>
    </row>
    <row r="21" spans="1:4" x14ac:dyDescent="0.25">
      <c r="A21" t="s">
        <v>4</v>
      </c>
      <c r="B21" t="s">
        <v>148</v>
      </c>
      <c r="C21" t="s">
        <v>4099</v>
      </c>
      <c r="D21">
        <v>-7</v>
      </c>
    </row>
    <row r="22" spans="1:4" x14ac:dyDescent="0.25">
      <c r="A22" t="s">
        <v>4</v>
      </c>
      <c r="B22" t="s">
        <v>877</v>
      </c>
      <c r="C22" t="s">
        <v>3670</v>
      </c>
      <c r="D22">
        <v>-10</v>
      </c>
    </row>
    <row r="23" spans="1:4" x14ac:dyDescent="0.25">
      <c r="A23" t="s">
        <v>4</v>
      </c>
      <c r="B23" t="s">
        <v>2390</v>
      </c>
      <c r="C23" t="s">
        <v>4420</v>
      </c>
      <c r="D23">
        <v>-13</v>
      </c>
    </row>
    <row r="24" spans="1:4" x14ac:dyDescent="0.25">
      <c r="A24" t="s">
        <v>4</v>
      </c>
      <c r="B24" t="s">
        <v>999</v>
      </c>
      <c r="C24" t="s">
        <v>2434</v>
      </c>
      <c r="D24">
        <v>-12</v>
      </c>
    </row>
    <row r="25" spans="1:4" x14ac:dyDescent="0.25">
      <c r="A25" t="s">
        <v>4</v>
      </c>
      <c r="B25" t="s">
        <v>298</v>
      </c>
      <c r="C25" t="s">
        <v>2406</v>
      </c>
      <c r="D25">
        <v>-9</v>
      </c>
    </row>
    <row r="26" spans="1:4" x14ac:dyDescent="0.25">
      <c r="A26" t="s">
        <v>4</v>
      </c>
      <c r="B26" t="s">
        <v>350</v>
      </c>
      <c r="C26" t="s">
        <v>3881</v>
      </c>
      <c r="D26">
        <v>-11</v>
      </c>
    </row>
    <row r="27" spans="1:4" x14ac:dyDescent="0.25">
      <c r="A27" t="s">
        <v>40</v>
      </c>
      <c r="B27" t="s">
        <v>716</v>
      </c>
      <c r="C27" t="s">
        <v>4444</v>
      </c>
      <c r="D27">
        <v>-13</v>
      </c>
    </row>
    <row r="28" spans="1:4" x14ac:dyDescent="0.25">
      <c r="A28" t="s">
        <v>40</v>
      </c>
      <c r="B28" t="s">
        <v>932</v>
      </c>
      <c r="C28" t="s">
        <v>4445</v>
      </c>
      <c r="D28">
        <v>-10</v>
      </c>
    </row>
    <row r="29" spans="1:4" x14ac:dyDescent="0.25">
      <c r="A29" t="s">
        <v>40</v>
      </c>
      <c r="B29" t="s">
        <v>244</v>
      </c>
      <c r="C29" t="s">
        <v>4446</v>
      </c>
      <c r="D29">
        <v>-12</v>
      </c>
    </row>
    <row r="30" spans="1:4" x14ac:dyDescent="0.25">
      <c r="A30" t="s">
        <v>40</v>
      </c>
      <c r="B30" t="s">
        <v>9</v>
      </c>
      <c r="C30" t="s">
        <v>3885</v>
      </c>
      <c r="D30">
        <v>-10</v>
      </c>
    </row>
    <row r="31" spans="1:4" x14ac:dyDescent="0.25">
      <c r="A31" t="s">
        <v>40</v>
      </c>
      <c r="B31" t="s">
        <v>359</v>
      </c>
      <c r="C31" t="s">
        <v>601</v>
      </c>
      <c r="D31">
        <v>-7</v>
      </c>
    </row>
    <row r="32" spans="1:4" x14ac:dyDescent="0.25">
      <c r="A32" t="s">
        <v>40</v>
      </c>
      <c r="B32" t="s">
        <v>333</v>
      </c>
      <c r="C32" t="s">
        <v>2210</v>
      </c>
      <c r="D32">
        <v>-8</v>
      </c>
    </row>
    <row r="33" spans="1:4" x14ac:dyDescent="0.25">
      <c r="A33" t="s">
        <v>40</v>
      </c>
      <c r="B33" t="s">
        <v>1417</v>
      </c>
      <c r="C33" t="s">
        <v>2485</v>
      </c>
      <c r="D33">
        <v>-5</v>
      </c>
    </row>
    <row r="34" spans="1:4" x14ac:dyDescent="0.25">
      <c r="A34" t="s">
        <v>40</v>
      </c>
      <c r="B34" t="s">
        <v>2431</v>
      </c>
      <c r="C34" t="s">
        <v>2761</v>
      </c>
      <c r="D34">
        <v>-7</v>
      </c>
    </row>
    <row r="35" spans="1:4" x14ac:dyDescent="0.25">
      <c r="A35" t="s">
        <v>40</v>
      </c>
      <c r="B35" t="s">
        <v>2158</v>
      </c>
      <c r="C35" t="s">
        <v>3626</v>
      </c>
      <c r="D35">
        <v>-10</v>
      </c>
    </row>
    <row r="36" spans="1:4" x14ac:dyDescent="0.25">
      <c r="A36" t="s">
        <v>40</v>
      </c>
      <c r="B36" t="s">
        <v>943</v>
      </c>
      <c r="C36" t="s">
        <v>3559</v>
      </c>
      <c r="D36">
        <v>-7</v>
      </c>
    </row>
    <row r="37" spans="1:4" x14ac:dyDescent="0.25">
      <c r="A37" t="s">
        <v>40</v>
      </c>
      <c r="B37" t="s">
        <v>106</v>
      </c>
      <c r="C37" t="s">
        <v>77</v>
      </c>
      <c r="D37">
        <v>-10</v>
      </c>
    </row>
    <row r="38" spans="1:4" x14ac:dyDescent="0.25">
      <c r="A38" t="s">
        <v>40</v>
      </c>
      <c r="B38" t="s">
        <v>890</v>
      </c>
      <c r="C38" t="s">
        <v>3586</v>
      </c>
      <c r="D38">
        <v>-9</v>
      </c>
    </row>
    <row r="39" spans="1:4" x14ac:dyDescent="0.25">
      <c r="A39" t="s">
        <v>40</v>
      </c>
      <c r="B39" t="s">
        <v>319</v>
      </c>
      <c r="C39" t="s">
        <v>4138</v>
      </c>
      <c r="D39">
        <v>-7</v>
      </c>
    </row>
    <row r="40" spans="1:4" x14ac:dyDescent="0.25">
      <c r="A40" t="s">
        <v>40</v>
      </c>
      <c r="B40" t="s">
        <v>292</v>
      </c>
      <c r="C40" t="s">
        <v>4139</v>
      </c>
      <c r="D40">
        <v>-9</v>
      </c>
    </row>
    <row r="41" spans="1:4" x14ac:dyDescent="0.25">
      <c r="A41" t="s">
        <v>40</v>
      </c>
      <c r="B41" t="s">
        <v>1112</v>
      </c>
      <c r="C41" t="s">
        <v>3536</v>
      </c>
      <c r="D41">
        <v>-7</v>
      </c>
    </row>
    <row r="42" spans="1:4" x14ac:dyDescent="0.25">
      <c r="A42" t="s">
        <v>40</v>
      </c>
      <c r="B42" t="s">
        <v>346</v>
      </c>
      <c r="C42" t="s">
        <v>2414</v>
      </c>
      <c r="D42">
        <v>-5</v>
      </c>
    </row>
    <row r="43" spans="1:4" x14ac:dyDescent="0.25">
      <c r="A43" t="s">
        <v>40</v>
      </c>
      <c r="B43" t="s">
        <v>681</v>
      </c>
      <c r="C43" t="s">
        <v>3706</v>
      </c>
      <c r="D43">
        <v>-3</v>
      </c>
    </row>
    <row r="44" spans="1:4" x14ac:dyDescent="0.25">
      <c r="A44" t="s">
        <v>40</v>
      </c>
      <c r="B44" t="s">
        <v>1627</v>
      </c>
      <c r="C44" t="s">
        <v>3561</v>
      </c>
      <c r="D44">
        <v>-4</v>
      </c>
    </row>
    <row r="45" spans="1:4" x14ac:dyDescent="0.25">
      <c r="A45" t="s">
        <v>40</v>
      </c>
      <c r="B45" t="s">
        <v>1627</v>
      </c>
      <c r="C45" t="s">
        <v>92</v>
      </c>
      <c r="D45">
        <v>-5</v>
      </c>
    </row>
    <row r="46" spans="1:4" x14ac:dyDescent="0.25">
      <c r="A46" t="s">
        <v>80</v>
      </c>
      <c r="B46" t="s">
        <v>1022</v>
      </c>
      <c r="C46" t="s">
        <v>1763</v>
      </c>
      <c r="D46">
        <v>-3</v>
      </c>
    </row>
    <row r="47" spans="1:4" x14ac:dyDescent="0.25">
      <c r="A47" t="s">
        <v>80</v>
      </c>
      <c r="B47" t="s">
        <v>1545</v>
      </c>
      <c r="C47" t="s">
        <v>2310</v>
      </c>
      <c r="D47">
        <v>0</v>
      </c>
    </row>
    <row r="48" spans="1:4" x14ac:dyDescent="0.25">
      <c r="A48" t="s">
        <v>80</v>
      </c>
      <c r="B48" t="s">
        <v>398</v>
      </c>
      <c r="C48" t="s">
        <v>373</v>
      </c>
      <c r="D48">
        <v>3</v>
      </c>
    </row>
    <row r="49" spans="1:4" x14ac:dyDescent="0.25">
      <c r="A49" t="s">
        <v>80</v>
      </c>
      <c r="B49" t="s">
        <v>800</v>
      </c>
      <c r="C49" t="s">
        <v>489</v>
      </c>
      <c r="D49">
        <v>4</v>
      </c>
    </row>
    <row r="50" spans="1:4" x14ac:dyDescent="0.25">
      <c r="A50" t="s">
        <v>80</v>
      </c>
      <c r="B50" t="s">
        <v>800</v>
      </c>
      <c r="C50" t="s">
        <v>2172</v>
      </c>
      <c r="D50">
        <v>5</v>
      </c>
    </row>
    <row r="51" spans="1:4" x14ac:dyDescent="0.25">
      <c r="A51" t="s">
        <v>80</v>
      </c>
      <c r="B51" t="s">
        <v>361</v>
      </c>
      <c r="C51" t="s">
        <v>1525</v>
      </c>
      <c r="D51">
        <v>3</v>
      </c>
    </row>
    <row r="52" spans="1:4" x14ac:dyDescent="0.25">
      <c r="A52" t="s">
        <v>80</v>
      </c>
      <c r="B52" t="s">
        <v>916</v>
      </c>
      <c r="C52" t="s">
        <v>2173</v>
      </c>
      <c r="D52">
        <v>2</v>
      </c>
    </row>
    <row r="53" spans="1:4" x14ac:dyDescent="0.25">
      <c r="A53" t="s">
        <v>80</v>
      </c>
      <c r="B53" t="s">
        <v>916</v>
      </c>
      <c r="C53" t="s">
        <v>3029</v>
      </c>
      <c r="D53">
        <v>1</v>
      </c>
    </row>
    <row r="54" spans="1:4" x14ac:dyDescent="0.25">
      <c r="A54" t="s">
        <v>80</v>
      </c>
      <c r="B54" t="s">
        <v>1693</v>
      </c>
      <c r="C54" t="s">
        <v>1528</v>
      </c>
      <c r="D54">
        <v>3</v>
      </c>
    </row>
    <row r="55" spans="1:4" x14ac:dyDescent="0.25">
      <c r="A55" t="s">
        <v>80</v>
      </c>
      <c r="B55" t="s">
        <v>259</v>
      </c>
      <c r="C55" t="s">
        <v>1837</v>
      </c>
      <c r="D55">
        <v>6</v>
      </c>
    </row>
    <row r="56" spans="1:4" x14ac:dyDescent="0.25">
      <c r="A56" t="s">
        <v>80</v>
      </c>
      <c r="B56" t="s">
        <v>95</v>
      </c>
      <c r="C56" t="s">
        <v>1531</v>
      </c>
      <c r="D56">
        <v>4</v>
      </c>
    </row>
    <row r="57" spans="1:4" x14ac:dyDescent="0.25">
      <c r="A57" t="s">
        <v>80</v>
      </c>
      <c r="B57" t="s">
        <v>539</v>
      </c>
      <c r="C57" t="s">
        <v>1838</v>
      </c>
      <c r="D57">
        <v>6</v>
      </c>
    </row>
    <row r="58" spans="1:4" x14ac:dyDescent="0.25">
      <c r="A58" t="s">
        <v>80</v>
      </c>
      <c r="B58" t="s">
        <v>805</v>
      </c>
      <c r="C58" t="s">
        <v>2450</v>
      </c>
      <c r="D58">
        <v>5</v>
      </c>
    </row>
    <row r="59" spans="1:4" x14ac:dyDescent="0.25">
      <c r="A59" t="s">
        <v>80</v>
      </c>
      <c r="B59" t="s">
        <v>805</v>
      </c>
      <c r="C59" t="s">
        <v>1839</v>
      </c>
      <c r="D59">
        <v>4</v>
      </c>
    </row>
    <row r="60" spans="1:4" x14ac:dyDescent="0.25">
      <c r="A60" t="s">
        <v>80</v>
      </c>
      <c r="B60" t="s">
        <v>887</v>
      </c>
      <c r="C60" t="s">
        <v>1164</v>
      </c>
      <c r="D60">
        <v>6</v>
      </c>
    </row>
    <row r="61" spans="1:4" x14ac:dyDescent="0.25">
      <c r="A61" t="s">
        <v>80</v>
      </c>
      <c r="B61" t="s">
        <v>1638</v>
      </c>
      <c r="C61" t="s">
        <v>1165</v>
      </c>
      <c r="D61">
        <v>8</v>
      </c>
    </row>
    <row r="62" spans="1:4" x14ac:dyDescent="0.25">
      <c r="A62" t="s">
        <v>80</v>
      </c>
      <c r="B62" t="s">
        <v>1638</v>
      </c>
      <c r="C62" t="s">
        <v>1955</v>
      </c>
      <c r="D62">
        <v>9</v>
      </c>
    </row>
    <row r="63" spans="1:4" x14ac:dyDescent="0.25">
      <c r="A63" t="s">
        <v>80</v>
      </c>
      <c r="B63" t="s">
        <v>2048</v>
      </c>
      <c r="C63" t="s">
        <v>2451</v>
      </c>
      <c r="D63">
        <v>8</v>
      </c>
    </row>
    <row r="64" spans="1:4" x14ac:dyDescent="0.25">
      <c r="A64" t="s">
        <v>80</v>
      </c>
      <c r="B64" t="s">
        <v>1043</v>
      </c>
      <c r="C64" t="s">
        <v>4344</v>
      </c>
      <c r="D64">
        <v>11</v>
      </c>
    </row>
    <row r="65" spans="1:4" x14ac:dyDescent="0.25">
      <c r="A65" t="s">
        <v>80</v>
      </c>
      <c r="B65" t="s">
        <v>1312</v>
      </c>
      <c r="C65" t="s">
        <v>3940</v>
      </c>
      <c r="D65">
        <v>13</v>
      </c>
    </row>
    <row r="66" spans="1:4" x14ac:dyDescent="0.25">
      <c r="A66" t="s">
        <v>80</v>
      </c>
      <c r="B66" t="s">
        <v>1940</v>
      </c>
      <c r="C66" t="s">
        <v>2868</v>
      </c>
      <c r="D66">
        <v>12</v>
      </c>
    </row>
    <row r="67" spans="1:4" x14ac:dyDescent="0.25">
      <c r="A67" t="s">
        <v>80</v>
      </c>
      <c r="B67" t="s">
        <v>1940</v>
      </c>
      <c r="C67" t="s">
        <v>1469</v>
      </c>
      <c r="D67">
        <v>11</v>
      </c>
    </row>
    <row r="68" spans="1:4" x14ac:dyDescent="0.25">
      <c r="A68" t="s">
        <v>80</v>
      </c>
      <c r="B68" t="s">
        <v>898</v>
      </c>
      <c r="C68" t="s">
        <v>1470</v>
      </c>
      <c r="D68">
        <v>14</v>
      </c>
    </row>
    <row r="69" spans="1:4" x14ac:dyDescent="0.25">
      <c r="A69" t="s">
        <v>80</v>
      </c>
      <c r="B69" t="s">
        <v>552</v>
      </c>
      <c r="C69" t="s">
        <v>1472</v>
      </c>
      <c r="D69">
        <v>11</v>
      </c>
    </row>
    <row r="70" spans="1:4" x14ac:dyDescent="0.25">
      <c r="A70" t="s">
        <v>80</v>
      </c>
      <c r="B70" t="s">
        <v>554</v>
      </c>
      <c r="C70" t="s">
        <v>2675</v>
      </c>
      <c r="D70">
        <v>14</v>
      </c>
    </row>
    <row r="71" spans="1:4" x14ac:dyDescent="0.25">
      <c r="A71" t="s">
        <v>80</v>
      </c>
      <c r="B71" t="s">
        <v>582</v>
      </c>
      <c r="C71" t="s">
        <v>2188</v>
      </c>
      <c r="D71">
        <v>12</v>
      </c>
    </row>
    <row r="72" spans="1:4" x14ac:dyDescent="0.25">
      <c r="A72" t="s">
        <v>80</v>
      </c>
      <c r="B72" t="s">
        <v>1874</v>
      </c>
      <c r="C72" t="s">
        <v>1478</v>
      </c>
      <c r="D72">
        <v>15</v>
      </c>
    </row>
    <row r="73" spans="1:4" x14ac:dyDescent="0.25">
      <c r="A73" t="s">
        <v>80</v>
      </c>
      <c r="B73" t="s">
        <v>537</v>
      </c>
      <c r="C73" t="s">
        <v>2282</v>
      </c>
      <c r="D73">
        <v>13</v>
      </c>
    </row>
    <row r="74" spans="1:4" x14ac:dyDescent="0.25">
      <c r="A74" t="s">
        <v>123</v>
      </c>
      <c r="B74" t="s">
        <v>777</v>
      </c>
      <c r="C74" t="s">
        <v>2803</v>
      </c>
      <c r="D74">
        <v>15</v>
      </c>
    </row>
    <row r="75" spans="1:4" x14ac:dyDescent="0.25">
      <c r="A75" t="s">
        <v>123</v>
      </c>
      <c r="B75" t="s">
        <v>912</v>
      </c>
      <c r="C75" t="s">
        <v>3445</v>
      </c>
      <c r="D75">
        <v>17</v>
      </c>
    </row>
    <row r="76" spans="1:4" x14ac:dyDescent="0.25">
      <c r="A76" t="s">
        <v>123</v>
      </c>
      <c r="B76" t="s">
        <v>651</v>
      </c>
      <c r="C76" t="s">
        <v>4069</v>
      </c>
      <c r="D76">
        <v>19</v>
      </c>
    </row>
    <row r="77" spans="1:4" x14ac:dyDescent="0.25">
      <c r="A77" t="s">
        <v>123</v>
      </c>
      <c r="B77" t="s">
        <v>217</v>
      </c>
      <c r="C77" t="s">
        <v>3022</v>
      </c>
      <c r="D77">
        <v>16</v>
      </c>
    </row>
    <row r="78" spans="1:4" x14ac:dyDescent="0.25">
      <c r="A78" t="s">
        <v>123</v>
      </c>
      <c r="B78" t="s">
        <v>1170</v>
      </c>
      <c r="C78" t="s">
        <v>4233</v>
      </c>
      <c r="D78">
        <v>18</v>
      </c>
    </row>
    <row r="79" spans="1:4" x14ac:dyDescent="0.25">
      <c r="A79" t="s">
        <v>123</v>
      </c>
      <c r="B79" t="s">
        <v>1170</v>
      </c>
      <c r="C79" t="s">
        <v>3691</v>
      </c>
      <c r="D79">
        <v>19</v>
      </c>
    </row>
    <row r="80" spans="1:4" x14ac:dyDescent="0.25">
      <c r="A80" t="s">
        <v>123</v>
      </c>
      <c r="B80" t="s">
        <v>628</v>
      </c>
      <c r="C80" t="s">
        <v>3855</v>
      </c>
      <c r="D80">
        <v>17</v>
      </c>
    </row>
    <row r="81" spans="1:4" x14ac:dyDescent="0.25">
      <c r="A81" t="s">
        <v>123</v>
      </c>
      <c r="B81" t="s">
        <v>1855</v>
      </c>
      <c r="C81" t="s">
        <v>3693</v>
      </c>
      <c r="D81">
        <v>19</v>
      </c>
    </row>
    <row r="82" spans="1:4" x14ac:dyDescent="0.25">
      <c r="A82" t="s">
        <v>123</v>
      </c>
      <c r="B82" t="s">
        <v>337</v>
      </c>
      <c r="C82" t="s">
        <v>4400</v>
      </c>
      <c r="D82">
        <v>17</v>
      </c>
    </row>
    <row r="83" spans="1:4" x14ac:dyDescent="0.25">
      <c r="A83" t="s">
        <v>123</v>
      </c>
      <c r="B83" t="s">
        <v>1700</v>
      </c>
      <c r="C83" t="s">
        <v>4447</v>
      </c>
      <c r="D83">
        <v>19</v>
      </c>
    </row>
    <row r="84" spans="1:4" x14ac:dyDescent="0.25">
      <c r="A84" t="s">
        <v>123</v>
      </c>
      <c r="B84" t="s">
        <v>579</v>
      </c>
      <c r="C84" t="s">
        <v>4448</v>
      </c>
      <c r="D84">
        <v>16</v>
      </c>
    </row>
    <row r="85" spans="1:4" x14ac:dyDescent="0.25">
      <c r="A85" t="s">
        <v>123</v>
      </c>
      <c r="B85" t="s">
        <v>2042</v>
      </c>
      <c r="C85" t="s">
        <v>2682</v>
      </c>
      <c r="D85">
        <v>17</v>
      </c>
    </row>
    <row r="86" spans="1:4" x14ac:dyDescent="0.25">
      <c r="A86" t="s">
        <v>123</v>
      </c>
      <c r="B86" t="s">
        <v>2042</v>
      </c>
      <c r="C86" t="s">
        <v>1003</v>
      </c>
      <c r="D86">
        <v>18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1.6352941176470588</v>
      </c>
    </row>
    <row r="90" spans="1:4" x14ac:dyDescent="0.25">
      <c r="A90" t="s">
        <v>159</v>
      </c>
      <c r="D90">
        <f>MAX(D2:D86)</f>
        <v>19</v>
      </c>
    </row>
    <row r="91" spans="1:4" x14ac:dyDescent="0.25">
      <c r="A91" t="s">
        <v>160</v>
      </c>
      <c r="D91">
        <f>MIN(D2:D86)</f>
        <v>-13</v>
      </c>
    </row>
    <row r="92" spans="1:4" x14ac:dyDescent="0.25">
      <c r="A92" t="s">
        <v>161</v>
      </c>
      <c r="D92">
        <f>COUNTIF(D2:D86,"&gt;0")</f>
        <v>39</v>
      </c>
    </row>
    <row r="93" spans="1:4" x14ac:dyDescent="0.25">
      <c r="A93" t="s">
        <v>162</v>
      </c>
      <c r="D93">
        <f>COUNTIF(D2:D86,"=0")</f>
        <v>3</v>
      </c>
    </row>
    <row r="94" spans="1:4" x14ac:dyDescent="0.25">
      <c r="A94" t="s">
        <v>1428</v>
      </c>
      <c r="D94">
        <f>COUNTIF(D2:D86,"&lt;0")</f>
        <v>43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AVERAGE(D2,D3,D4,D5,D6,D7,D8,D9,D10,D11,D12,D13,D14,D15,D16,D17,D18,D19,D20,D21,D22,D23,D24,D25,D26)</f>
        <v>-5.6</v>
      </c>
    </row>
    <row r="98" spans="1:4" x14ac:dyDescent="0.25">
      <c r="A98" t="s">
        <v>166</v>
      </c>
      <c r="D98">
        <f>AVERAGE(D27,D28,D29,D30,D31,D32,D33,D34,D35,D36,D37,D38,D39,D40,D41,D42,D43,D44,D45)</f>
        <v>-7.7894736842105265</v>
      </c>
    </row>
    <row r="99" spans="1:4" x14ac:dyDescent="0.25">
      <c r="A99" t="s">
        <v>167</v>
      </c>
      <c r="D99">
        <f>AVERAGE(D46,D47,D48,D49,D50,D51,D52,D53,D54,D55,D56,D57,D58,D59,D60,D61,D62,D63,D64,D65,D66,D67,D68,D69,D70,D71,D72,D73)</f>
        <v>7.1428571428571432</v>
      </c>
    </row>
    <row r="100" spans="1:4" x14ac:dyDescent="0.25">
      <c r="A100" t="s">
        <v>168</v>
      </c>
      <c r="D100">
        <f>AVERAGE(D74,D75,D76,D77,D78,D79,D80,D81,D82,D83,D84,D85,D86)</f>
        <v>17.46153846153846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2891</v>
      </c>
    </row>
    <row r="2" spans="1:4" x14ac:dyDescent="0.25">
      <c r="A2" t="s">
        <v>4</v>
      </c>
      <c r="B2" t="s">
        <v>453</v>
      </c>
      <c r="C2" t="s">
        <v>908</v>
      </c>
      <c r="D2">
        <v>-2</v>
      </c>
    </row>
    <row r="3" spans="1:4" x14ac:dyDescent="0.25">
      <c r="A3" t="s">
        <v>4</v>
      </c>
      <c r="B3" t="s">
        <v>1543</v>
      </c>
      <c r="C3" t="s">
        <v>8</v>
      </c>
      <c r="D3">
        <v>0</v>
      </c>
    </row>
    <row r="4" spans="1:4" x14ac:dyDescent="0.25">
      <c r="A4" t="s">
        <v>4</v>
      </c>
      <c r="B4" t="s">
        <v>797</v>
      </c>
      <c r="C4" t="s">
        <v>564</v>
      </c>
      <c r="D4">
        <v>2</v>
      </c>
    </row>
    <row r="5" spans="1:4" x14ac:dyDescent="0.25">
      <c r="A5" t="s">
        <v>4</v>
      </c>
      <c r="B5" t="s">
        <v>9</v>
      </c>
      <c r="C5" t="s">
        <v>309</v>
      </c>
      <c r="D5">
        <v>-1</v>
      </c>
    </row>
    <row r="6" spans="1:4" x14ac:dyDescent="0.25">
      <c r="A6" t="s">
        <v>4</v>
      </c>
      <c r="B6" t="s">
        <v>1169</v>
      </c>
      <c r="C6" t="s">
        <v>310</v>
      </c>
      <c r="D6">
        <v>-2</v>
      </c>
    </row>
    <row r="7" spans="1:4" x14ac:dyDescent="0.25">
      <c r="A7" t="s">
        <v>4</v>
      </c>
      <c r="B7" t="s">
        <v>1169</v>
      </c>
      <c r="C7" t="s">
        <v>14</v>
      </c>
      <c r="D7">
        <v>-3</v>
      </c>
    </row>
    <row r="8" spans="1:4" x14ac:dyDescent="0.25">
      <c r="A8" t="s">
        <v>4</v>
      </c>
      <c r="B8" t="s">
        <v>1549</v>
      </c>
      <c r="C8" t="s">
        <v>16</v>
      </c>
      <c r="D8">
        <v>-1</v>
      </c>
    </row>
    <row r="9" spans="1:4" x14ac:dyDescent="0.25">
      <c r="A9" t="s">
        <v>4</v>
      </c>
      <c r="B9" t="s">
        <v>1773</v>
      </c>
      <c r="C9" t="s">
        <v>1636</v>
      </c>
      <c r="D9">
        <v>-4</v>
      </c>
    </row>
    <row r="10" spans="1:4" x14ac:dyDescent="0.25">
      <c r="A10" t="s">
        <v>4</v>
      </c>
      <c r="B10" t="s">
        <v>497</v>
      </c>
      <c r="C10" t="s">
        <v>1697</v>
      </c>
      <c r="D10">
        <v>-6</v>
      </c>
    </row>
    <row r="11" spans="1:4" x14ac:dyDescent="0.25">
      <c r="A11" t="s">
        <v>4</v>
      </c>
      <c r="B11" t="s">
        <v>335</v>
      </c>
      <c r="C11" t="s">
        <v>4162</v>
      </c>
      <c r="D11">
        <v>-8</v>
      </c>
    </row>
    <row r="12" spans="1:4" x14ac:dyDescent="0.25">
      <c r="A12" t="s">
        <v>4</v>
      </c>
      <c r="B12" t="s">
        <v>1598</v>
      </c>
      <c r="C12" t="s">
        <v>4001</v>
      </c>
      <c r="D12">
        <v>-7</v>
      </c>
    </row>
    <row r="13" spans="1:4" x14ac:dyDescent="0.25">
      <c r="A13" t="s">
        <v>4</v>
      </c>
      <c r="B13" t="s">
        <v>1598</v>
      </c>
      <c r="C13" t="s">
        <v>3757</v>
      </c>
      <c r="D13">
        <v>-6</v>
      </c>
    </row>
    <row r="14" spans="1:4" x14ac:dyDescent="0.25">
      <c r="A14" t="s">
        <v>4</v>
      </c>
      <c r="B14" t="s">
        <v>1725</v>
      </c>
      <c r="C14" t="s">
        <v>1643</v>
      </c>
      <c r="D14">
        <v>-9</v>
      </c>
    </row>
    <row r="15" spans="1:4" x14ac:dyDescent="0.25">
      <c r="A15" t="s">
        <v>4</v>
      </c>
      <c r="B15" t="s">
        <v>1855</v>
      </c>
      <c r="C15" t="s">
        <v>2396</v>
      </c>
      <c r="D15">
        <v>-8</v>
      </c>
    </row>
    <row r="16" spans="1:4" x14ac:dyDescent="0.25">
      <c r="A16" t="s">
        <v>4</v>
      </c>
      <c r="B16" t="s">
        <v>1855</v>
      </c>
      <c r="C16" t="s">
        <v>1502</v>
      </c>
      <c r="D16">
        <v>-7</v>
      </c>
    </row>
    <row r="17" spans="1:4" x14ac:dyDescent="0.25">
      <c r="A17" t="s">
        <v>4</v>
      </c>
      <c r="B17" t="s">
        <v>1231</v>
      </c>
      <c r="C17" t="s">
        <v>1702</v>
      </c>
      <c r="D17">
        <v>-8</v>
      </c>
    </row>
    <row r="18" spans="1:4" x14ac:dyDescent="0.25">
      <c r="A18" t="s">
        <v>4</v>
      </c>
      <c r="B18" t="s">
        <v>1231</v>
      </c>
      <c r="C18" t="s">
        <v>1645</v>
      </c>
      <c r="D18">
        <v>-9</v>
      </c>
    </row>
    <row r="19" spans="1:4" x14ac:dyDescent="0.25">
      <c r="A19" t="s">
        <v>4</v>
      </c>
      <c r="B19" t="s">
        <v>376</v>
      </c>
      <c r="C19" t="s">
        <v>1705</v>
      </c>
      <c r="D19">
        <v>-6</v>
      </c>
    </row>
    <row r="20" spans="1:4" x14ac:dyDescent="0.25">
      <c r="A20" t="s">
        <v>4</v>
      </c>
      <c r="B20" t="s">
        <v>1698</v>
      </c>
      <c r="C20" t="s">
        <v>3614</v>
      </c>
      <c r="D20">
        <v>-8</v>
      </c>
    </row>
    <row r="21" spans="1:4" x14ac:dyDescent="0.25">
      <c r="A21" t="s">
        <v>4</v>
      </c>
      <c r="B21" t="s">
        <v>467</v>
      </c>
      <c r="C21" t="s">
        <v>3585</v>
      </c>
      <c r="D21">
        <v>-9</v>
      </c>
    </row>
    <row r="22" spans="1:4" x14ac:dyDescent="0.25">
      <c r="A22" t="s">
        <v>4</v>
      </c>
      <c r="B22" t="s">
        <v>467</v>
      </c>
      <c r="C22" t="s">
        <v>1707</v>
      </c>
      <c r="D22">
        <v>-8</v>
      </c>
    </row>
    <row r="23" spans="1:4" x14ac:dyDescent="0.25">
      <c r="A23" t="s">
        <v>4</v>
      </c>
      <c r="B23" t="s">
        <v>467</v>
      </c>
      <c r="C23" t="s">
        <v>2432</v>
      </c>
      <c r="D23">
        <v>-7</v>
      </c>
    </row>
    <row r="24" spans="1:4" x14ac:dyDescent="0.25">
      <c r="A24" t="s">
        <v>4</v>
      </c>
      <c r="B24" t="s">
        <v>1481</v>
      </c>
      <c r="C24" t="s">
        <v>2205</v>
      </c>
      <c r="D24">
        <v>-5</v>
      </c>
    </row>
    <row r="25" spans="1:4" x14ac:dyDescent="0.25">
      <c r="A25" t="s">
        <v>4</v>
      </c>
      <c r="B25" t="s">
        <v>813</v>
      </c>
      <c r="C25" t="s">
        <v>1654</v>
      </c>
      <c r="D25">
        <v>-8</v>
      </c>
    </row>
    <row r="26" spans="1:4" x14ac:dyDescent="0.25">
      <c r="A26" t="s">
        <v>4</v>
      </c>
      <c r="B26" t="s">
        <v>1640</v>
      </c>
      <c r="C26" t="s">
        <v>1710</v>
      </c>
      <c r="D26">
        <v>-6</v>
      </c>
    </row>
    <row r="27" spans="1:4" x14ac:dyDescent="0.25">
      <c r="A27" t="s">
        <v>4</v>
      </c>
      <c r="B27" t="s">
        <v>1640</v>
      </c>
      <c r="C27" t="s">
        <v>3705</v>
      </c>
      <c r="D27">
        <v>-5</v>
      </c>
    </row>
    <row r="28" spans="1:4" x14ac:dyDescent="0.25">
      <c r="A28" t="s">
        <v>4</v>
      </c>
      <c r="B28" t="s">
        <v>1132</v>
      </c>
      <c r="C28" t="s">
        <v>798</v>
      </c>
      <c r="D28">
        <v>-7</v>
      </c>
    </row>
    <row r="29" spans="1:4" x14ac:dyDescent="0.25">
      <c r="A29" t="s">
        <v>4</v>
      </c>
      <c r="B29" t="s">
        <v>1750</v>
      </c>
      <c r="C29" t="s">
        <v>1712</v>
      </c>
      <c r="D29">
        <v>-6</v>
      </c>
    </row>
    <row r="30" spans="1:4" x14ac:dyDescent="0.25">
      <c r="A30" t="s">
        <v>4</v>
      </c>
      <c r="B30" t="s">
        <v>1750</v>
      </c>
      <c r="C30" t="s">
        <v>1713</v>
      </c>
      <c r="D30">
        <v>-5</v>
      </c>
    </row>
    <row r="31" spans="1:4" x14ac:dyDescent="0.25">
      <c r="A31" t="s">
        <v>4</v>
      </c>
      <c r="B31" t="s">
        <v>296</v>
      </c>
      <c r="C31" t="s">
        <v>4194</v>
      </c>
      <c r="D31">
        <v>-6</v>
      </c>
    </row>
    <row r="32" spans="1:4" x14ac:dyDescent="0.25">
      <c r="A32" t="s">
        <v>4</v>
      </c>
      <c r="B32" t="s">
        <v>927</v>
      </c>
      <c r="C32" t="s">
        <v>2207</v>
      </c>
      <c r="D32">
        <v>-4</v>
      </c>
    </row>
    <row r="33" spans="1:4" x14ac:dyDescent="0.25">
      <c r="A33" t="s">
        <v>4</v>
      </c>
      <c r="B33" t="s">
        <v>322</v>
      </c>
      <c r="C33" t="s">
        <v>1879</v>
      </c>
      <c r="D33">
        <v>-5</v>
      </c>
    </row>
    <row r="34" spans="1:4" x14ac:dyDescent="0.25">
      <c r="A34" t="s">
        <v>4</v>
      </c>
      <c r="B34" t="s">
        <v>322</v>
      </c>
      <c r="C34" t="s">
        <v>4222</v>
      </c>
      <c r="D34">
        <v>-6</v>
      </c>
    </row>
    <row r="35" spans="1:4" x14ac:dyDescent="0.25">
      <c r="A35" t="s">
        <v>4</v>
      </c>
      <c r="B35" t="s">
        <v>322</v>
      </c>
      <c r="C35" t="s">
        <v>2208</v>
      </c>
      <c r="D35">
        <v>-7</v>
      </c>
    </row>
    <row r="36" spans="1:4" x14ac:dyDescent="0.25">
      <c r="A36" t="s">
        <v>4</v>
      </c>
      <c r="B36" t="s">
        <v>451</v>
      </c>
      <c r="C36" t="s">
        <v>2861</v>
      </c>
      <c r="D36">
        <v>-10</v>
      </c>
    </row>
    <row r="37" spans="1:4" x14ac:dyDescent="0.25">
      <c r="A37" t="s">
        <v>40</v>
      </c>
      <c r="B37" t="s">
        <v>453</v>
      </c>
      <c r="C37" t="s">
        <v>2211</v>
      </c>
      <c r="D37">
        <v>-7</v>
      </c>
    </row>
    <row r="38" spans="1:4" x14ac:dyDescent="0.25">
      <c r="A38" t="s">
        <v>40</v>
      </c>
      <c r="B38" t="s">
        <v>932</v>
      </c>
      <c r="C38" t="s">
        <v>3945</v>
      </c>
      <c r="D38">
        <v>-9</v>
      </c>
    </row>
    <row r="39" spans="1:4" x14ac:dyDescent="0.25">
      <c r="A39" t="s">
        <v>40</v>
      </c>
      <c r="B39" t="s">
        <v>43</v>
      </c>
      <c r="C39" t="s">
        <v>69</v>
      </c>
      <c r="D39">
        <v>-6</v>
      </c>
    </row>
    <row r="40" spans="1:4" x14ac:dyDescent="0.25">
      <c r="A40" t="s">
        <v>40</v>
      </c>
      <c r="B40" t="s">
        <v>51</v>
      </c>
      <c r="C40" t="s">
        <v>2762</v>
      </c>
      <c r="D40">
        <v>-4</v>
      </c>
    </row>
    <row r="41" spans="1:4" x14ac:dyDescent="0.25">
      <c r="A41" t="s">
        <v>40</v>
      </c>
      <c r="B41" t="s">
        <v>359</v>
      </c>
      <c r="C41" t="s">
        <v>609</v>
      </c>
      <c r="D41">
        <v>-5</v>
      </c>
    </row>
    <row r="42" spans="1:4" x14ac:dyDescent="0.25">
      <c r="A42" t="s">
        <v>40</v>
      </c>
      <c r="B42" t="s">
        <v>359</v>
      </c>
      <c r="C42" t="s">
        <v>73</v>
      </c>
      <c r="D42">
        <v>-6</v>
      </c>
    </row>
    <row r="43" spans="1:4" x14ac:dyDescent="0.25">
      <c r="A43" t="s">
        <v>40</v>
      </c>
      <c r="B43" t="s">
        <v>186</v>
      </c>
      <c r="C43" t="s">
        <v>1720</v>
      </c>
      <c r="D43">
        <v>-4</v>
      </c>
    </row>
    <row r="44" spans="1:4" x14ac:dyDescent="0.25">
      <c r="A44" t="s">
        <v>40</v>
      </c>
      <c r="B44" t="s">
        <v>284</v>
      </c>
      <c r="C44" t="s">
        <v>1721</v>
      </c>
      <c r="D44">
        <v>-6</v>
      </c>
    </row>
    <row r="45" spans="1:4" x14ac:dyDescent="0.25">
      <c r="A45" t="s">
        <v>40</v>
      </c>
      <c r="B45" t="s">
        <v>1536</v>
      </c>
      <c r="C45" t="s">
        <v>79</v>
      </c>
      <c r="D45">
        <v>-8</v>
      </c>
    </row>
    <row r="46" spans="1:4" x14ac:dyDescent="0.25">
      <c r="A46" t="s">
        <v>40</v>
      </c>
      <c r="B46" t="s">
        <v>142</v>
      </c>
      <c r="C46" t="s">
        <v>2132</v>
      </c>
      <c r="D46">
        <v>-6</v>
      </c>
    </row>
    <row r="47" spans="1:4" x14ac:dyDescent="0.25">
      <c r="A47" t="s">
        <v>40</v>
      </c>
      <c r="B47" t="s">
        <v>1045</v>
      </c>
      <c r="C47" t="s">
        <v>2133</v>
      </c>
      <c r="D47">
        <v>-5</v>
      </c>
    </row>
    <row r="48" spans="1:4" x14ac:dyDescent="0.25">
      <c r="A48" t="s">
        <v>40</v>
      </c>
      <c r="B48" t="s">
        <v>1045</v>
      </c>
      <c r="C48" t="s">
        <v>241</v>
      </c>
      <c r="D48">
        <v>-4</v>
      </c>
    </row>
    <row r="49" spans="1:4" x14ac:dyDescent="0.25">
      <c r="A49" t="s">
        <v>40</v>
      </c>
      <c r="B49" t="s">
        <v>118</v>
      </c>
      <c r="C49" t="s">
        <v>4449</v>
      </c>
      <c r="D49">
        <v>-6</v>
      </c>
    </row>
    <row r="50" spans="1:4" x14ac:dyDescent="0.25">
      <c r="A50" t="s">
        <v>40</v>
      </c>
      <c r="B50" t="s">
        <v>1402</v>
      </c>
      <c r="C50" t="s">
        <v>3575</v>
      </c>
      <c r="D50">
        <v>-4</v>
      </c>
    </row>
    <row r="51" spans="1:4" x14ac:dyDescent="0.25">
      <c r="A51" t="s">
        <v>40</v>
      </c>
      <c r="B51" t="s">
        <v>996</v>
      </c>
      <c r="C51" t="s">
        <v>1833</v>
      </c>
      <c r="D51">
        <v>-5</v>
      </c>
    </row>
    <row r="52" spans="1:4" x14ac:dyDescent="0.25">
      <c r="A52" t="s">
        <v>40</v>
      </c>
      <c r="B52" t="s">
        <v>900</v>
      </c>
      <c r="C52" t="s">
        <v>3561</v>
      </c>
      <c r="D52">
        <v>-4</v>
      </c>
    </row>
    <row r="53" spans="1:4" x14ac:dyDescent="0.25">
      <c r="A53" t="s">
        <v>40</v>
      </c>
      <c r="B53" t="s">
        <v>900</v>
      </c>
      <c r="C53" t="s">
        <v>249</v>
      </c>
      <c r="D53">
        <v>-3</v>
      </c>
    </row>
    <row r="54" spans="1:4" x14ac:dyDescent="0.25">
      <c r="A54" t="s">
        <v>40</v>
      </c>
      <c r="B54" t="s">
        <v>483</v>
      </c>
      <c r="C54" t="s">
        <v>96</v>
      </c>
      <c r="D54">
        <v>-5</v>
      </c>
    </row>
    <row r="55" spans="1:4" x14ac:dyDescent="0.25">
      <c r="A55" t="s">
        <v>40</v>
      </c>
      <c r="B55" t="s">
        <v>451</v>
      </c>
      <c r="C55" t="s">
        <v>622</v>
      </c>
      <c r="D55">
        <v>-6</v>
      </c>
    </row>
    <row r="56" spans="1:4" x14ac:dyDescent="0.25">
      <c r="A56" t="s">
        <v>40</v>
      </c>
      <c r="B56" t="s">
        <v>559</v>
      </c>
      <c r="C56" t="s">
        <v>822</v>
      </c>
      <c r="D56">
        <v>-5</v>
      </c>
    </row>
    <row r="57" spans="1:4" x14ac:dyDescent="0.25">
      <c r="A57" t="s">
        <v>80</v>
      </c>
      <c r="B57" t="s">
        <v>41</v>
      </c>
      <c r="C57" t="s">
        <v>2566</v>
      </c>
      <c r="D57">
        <v>-7</v>
      </c>
    </row>
    <row r="58" spans="1:4" x14ac:dyDescent="0.25">
      <c r="A58" t="s">
        <v>80</v>
      </c>
      <c r="B58" t="s">
        <v>716</v>
      </c>
      <c r="C58" t="s">
        <v>826</v>
      </c>
      <c r="D58">
        <v>-10</v>
      </c>
    </row>
    <row r="59" spans="1:4" x14ac:dyDescent="0.25">
      <c r="A59" t="s">
        <v>80</v>
      </c>
      <c r="B59" t="s">
        <v>1691</v>
      </c>
      <c r="C59" t="s">
        <v>4167</v>
      </c>
      <c r="D59">
        <v>-13</v>
      </c>
    </row>
    <row r="60" spans="1:4" x14ac:dyDescent="0.25">
      <c r="A60" t="s">
        <v>80</v>
      </c>
      <c r="B60" t="s">
        <v>1190</v>
      </c>
      <c r="C60" t="s">
        <v>4210</v>
      </c>
      <c r="D60">
        <v>-10</v>
      </c>
    </row>
    <row r="61" spans="1:4" x14ac:dyDescent="0.25">
      <c r="A61" t="s">
        <v>80</v>
      </c>
      <c r="B61" t="s">
        <v>332</v>
      </c>
      <c r="C61" t="s">
        <v>109</v>
      </c>
      <c r="D61">
        <v>-9</v>
      </c>
    </row>
    <row r="62" spans="1:4" x14ac:dyDescent="0.25">
      <c r="A62" t="s">
        <v>80</v>
      </c>
      <c r="B62" t="s">
        <v>332</v>
      </c>
      <c r="C62" t="s">
        <v>4427</v>
      </c>
      <c r="D62">
        <v>-8</v>
      </c>
    </row>
    <row r="63" spans="1:4" x14ac:dyDescent="0.25">
      <c r="A63" t="s">
        <v>80</v>
      </c>
      <c r="B63" t="s">
        <v>643</v>
      </c>
      <c r="C63" t="s">
        <v>4283</v>
      </c>
      <c r="D63">
        <v>-6</v>
      </c>
    </row>
    <row r="64" spans="1:4" x14ac:dyDescent="0.25">
      <c r="A64" t="s">
        <v>80</v>
      </c>
      <c r="B64" t="s">
        <v>737</v>
      </c>
      <c r="C64" t="s">
        <v>835</v>
      </c>
      <c r="D64">
        <v>-8</v>
      </c>
    </row>
    <row r="65" spans="1:4" x14ac:dyDescent="0.25">
      <c r="A65" t="s">
        <v>80</v>
      </c>
      <c r="B65" t="s">
        <v>181</v>
      </c>
      <c r="C65" t="s">
        <v>3562</v>
      </c>
      <c r="D65">
        <v>-11</v>
      </c>
    </row>
    <row r="66" spans="1:4" x14ac:dyDescent="0.25">
      <c r="A66" t="s">
        <v>80</v>
      </c>
      <c r="B66" t="s">
        <v>654</v>
      </c>
      <c r="C66" t="s">
        <v>4430</v>
      </c>
      <c r="D66">
        <v>-8</v>
      </c>
    </row>
    <row r="67" spans="1:4" x14ac:dyDescent="0.25">
      <c r="A67" t="s">
        <v>80</v>
      </c>
      <c r="B67" t="s">
        <v>315</v>
      </c>
      <c r="C67" t="s">
        <v>2138</v>
      </c>
      <c r="D67">
        <v>-7</v>
      </c>
    </row>
    <row r="68" spans="1:4" x14ac:dyDescent="0.25">
      <c r="A68" t="s">
        <v>80</v>
      </c>
      <c r="B68" t="s">
        <v>701</v>
      </c>
      <c r="C68" t="s">
        <v>3563</v>
      </c>
      <c r="D68">
        <v>-10</v>
      </c>
    </row>
    <row r="69" spans="1:4" x14ac:dyDescent="0.25">
      <c r="A69" t="s">
        <v>80</v>
      </c>
      <c r="B69" t="s">
        <v>192</v>
      </c>
      <c r="C69" t="s">
        <v>2767</v>
      </c>
      <c r="D69">
        <v>-8</v>
      </c>
    </row>
    <row r="70" spans="1:4" x14ac:dyDescent="0.25">
      <c r="A70" t="s">
        <v>80</v>
      </c>
      <c r="B70" t="s">
        <v>471</v>
      </c>
      <c r="C70" t="s">
        <v>4450</v>
      </c>
      <c r="D70">
        <v>-10</v>
      </c>
    </row>
    <row r="71" spans="1:4" x14ac:dyDescent="0.25">
      <c r="A71" t="s">
        <v>80</v>
      </c>
      <c r="B71" t="s">
        <v>1739</v>
      </c>
      <c r="C71" t="s">
        <v>4451</v>
      </c>
      <c r="D71">
        <v>-12</v>
      </c>
    </row>
    <row r="72" spans="1:4" x14ac:dyDescent="0.25">
      <c r="A72" t="s">
        <v>80</v>
      </c>
      <c r="B72" t="s">
        <v>1129</v>
      </c>
      <c r="C72" t="s">
        <v>2967</v>
      </c>
      <c r="D72">
        <v>-11</v>
      </c>
    </row>
    <row r="73" spans="1:4" x14ac:dyDescent="0.25">
      <c r="A73" t="s">
        <v>80</v>
      </c>
      <c r="B73" t="s">
        <v>1129</v>
      </c>
      <c r="C73" t="s">
        <v>3990</v>
      </c>
      <c r="D73">
        <v>-10</v>
      </c>
    </row>
    <row r="74" spans="1:4" x14ac:dyDescent="0.25">
      <c r="A74" t="s">
        <v>80</v>
      </c>
      <c r="B74" t="s">
        <v>1356</v>
      </c>
      <c r="C74" t="s">
        <v>1778</v>
      </c>
      <c r="D74">
        <v>-9</v>
      </c>
    </row>
    <row r="75" spans="1:4" x14ac:dyDescent="0.25">
      <c r="A75" t="s">
        <v>80</v>
      </c>
      <c r="B75" t="s">
        <v>346</v>
      </c>
      <c r="C75" t="s">
        <v>1779</v>
      </c>
      <c r="D75">
        <v>-11</v>
      </c>
    </row>
    <row r="76" spans="1:4" x14ac:dyDescent="0.25">
      <c r="A76" t="s">
        <v>80</v>
      </c>
      <c r="B76" t="s">
        <v>36</v>
      </c>
      <c r="C76" t="s">
        <v>2615</v>
      </c>
      <c r="D76">
        <v>-13</v>
      </c>
    </row>
    <row r="77" spans="1:4" x14ac:dyDescent="0.25">
      <c r="A77" t="s">
        <v>80</v>
      </c>
      <c r="B77" t="s">
        <v>36</v>
      </c>
      <c r="C77" t="s">
        <v>1780</v>
      </c>
      <c r="D77">
        <v>-14</v>
      </c>
    </row>
    <row r="78" spans="1:4" x14ac:dyDescent="0.25">
      <c r="A78" t="s">
        <v>123</v>
      </c>
      <c r="B78" t="s">
        <v>2421</v>
      </c>
      <c r="C78" t="s">
        <v>4126</v>
      </c>
      <c r="D78">
        <v>-16</v>
      </c>
    </row>
    <row r="79" spans="1:4" x14ac:dyDescent="0.25">
      <c r="A79" t="s">
        <v>123</v>
      </c>
      <c r="B79" t="s">
        <v>1057</v>
      </c>
      <c r="C79" t="s">
        <v>2617</v>
      </c>
      <c r="D79">
        <v>-17</v>
      </c>
    </row>
    <row r="80" spans="1:4" x14ac:dyDescent="0.25">
      <c r="A80" t="s">
        <v>123</v>
      </c>
      <c r="B80" t="s">
        <v>2355</v>
      </c>
      <c r="C80" t="s">
        <v>2618</v>
      </c>
      <c r="D80">
        <v>-16</v>
      </c>
    </row>
    <row r="81" spans="1:4" x14ac:dyDescent="0.25">
      <c r="A81" t="s">
        <v>123</v>
      </c>
      <c r="B81" t="s">
        <v>2355</v>
      </c>
      <c r="C81" t="s">
        <v>2619</v>
      </c>
      <c r="D81">
        <v>-15</v>
      </c>
    </row>
    <row r="82" spans="1:4" x14ac:dyDescent="0.25">
      <c r="A82" t="s">
        <v>123</v>
      </c>
      <c r="B82" t="s">
        <v>85</v>
      </c>
      <c r="C82" t="s">
        <v>4452</v>
      </c>
      <c r="D82">
        <v>-18</v>
      </c>
    </row>
    <row r="83" spans="1:4" x14ac:dyDescent="0.25">
      <c r="A83" t="s">
        <v>123</v>
      </c>
      <c r="B83" t="s">
        <v>1029</v>
      </c>
      <c r="C83" t="s">
        <v>4453</v>
      </c>
      <c r="D83">
        <v>-16</v>
      </c>
    </row>
    <row r="84" spans="1:4" x14ac:dyDescent="0.25">
      <c r="A84" t="s">
        <v>123</v>
      </c>
      <c r="B84" t="s">
        <v>1771</v>
      </c>
      <c r="C84" t="s">
        <v>3100</v>
      </c>
      <c r="D84">
        <v>-14</v>
      </c>
    </row>
    <row r="85" spans="1:4" x14ac:dyDescent="0.25">
      <c r="A85" t="s">
        <v>123</v>
      </c>
      <c r="B85" t="s">
        <v>259</v>
      </c>
      <c r="C85" t="s">
        <v>3101</v>
      </c>
      <c r="D85">
        <v>-16</v>
      </c>
    </row>
    <row r="86" spans="1:4" x14ac:dyDescent="0.25">
      <c r="A86" t="s">
        <v>123</v>
      </c>
      <c r="B86" t="s">
        <v>1776</v>
      </c>
      <c r="C86" t="s">
        <v>4454</v>
      </c>
      <c r="D86">
        <v>-14</v>
      </c>
    </row>
    <row r="87" spans="1:4" x14ac:dyDescent="0.25">
      <c r="A87" t="s">
        <v>123</v>
      </c>
      <c r="B87" t="s">
        <v>1700</v>
      </c>
      <c r="C87" t="s">
        <v>4455</v>
      </c>
      <c r="D87">
        <v>-17</v>
      </c>
    </row>
    <row r="88" spans="1:4" x14ac:dyDescent="0.25">
      <c r="A88" t="s">
        <v>123</v>
      </c>
      <c r="B88" t="s">
        <v>112</v>
      </c>
      <c r="C88" t="s">
        <v>4318</v>
      </c>
      <c r="D88">
        <v>-16</v>
      </c>
    </row>
    <row r="89" spans="1:4" x14ac:dyDescent="0.25">
      <c r="A89" t="s">
        <v>123</v>
      </c>
      <c r="B89" t="s">
        <v>112</v>
      </c>
      <c r="C89" t="s">
        <v>4456</v>
      </c>
      <c r="D89">
        <v>-15</v>
      </c>
    </row>
    <row r="90" spans="1:4" x14ac:dyDescent="0.25">
      <c r="A90" t="s">
        <v>123</v>
      </c>
      <c r="B90" t="s">
        <v>196</v>
      </c>
      <c r="C90" t="s">
        <v>4457</v>
      </c>
      <c r="D90">
        <v>-18</v>
      </c>
    </row>
    <row r="91" spans="1:4" x14ac:dyDescent="0.25">
      <c r="A91" t="s">
        <v>123</v>
      </c>
      <c r="B91" t="s">
        <v>710</v>
      </c>
      <c r="C91" t="s">
        <v>4458</v>
      </c>
      <c r="D91">
        <v>-21</v>
      </c>
    </row>
    <row r="92" spans="1:4" x14ac:dyDescent="0.25">
      <c r="A92" t="s">
        <v>123</v>
      </c>
      <c r="B92" t="s">
        <v>900</v>
      </c>
      <c r="C92" t="s">
        <v>1262</v>
      </c>
      <c r="D92">
        <v>-19</v>
      </c>
    </row>
    <row r="93" spans="1:4" x14ac:dyDescent="0.25">
      <c r="A93" t="s">
        <v>123</v>
      </c>
      <c r="B93" t="s">
        <v>1845</v>
      </c>
      <c r="C93" t="s">
        <v>1263</v>
      </c>
      <c r="D93">
        <v>-17</v>
      </c>
    </row>
    <row r="94" spans="1:4" x14ac:dyDescent="0.25">
      <c r="A94" t="s">
        <v>123</v>
      </c>
      <c r="B94" t="s">
        <v>154</v>
      </c>
      <c r="C94" t="s">
        <v>4459</v>
      </c>
      <c r="D94">
        <v>-15</v>
      </c>
    </row>
    <row r="95" spans="1:4" x14ac:dyDescent="0.25">
      <c r="A95" t="s">
        <v>123</v>
      </c>
      <c r="B95" t="s">
        <v>154</v>
      </c>
      <c r="C95" t="s">
        <v>4460</v>
      </c>
      <c r="D95">
        <v>-14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-8.5531914893617014</v>
      </c>
    </row>
    <row r="99" spans="1:4" x14ac:dyDescent="0.25">
      <c r="A99" t="s">
        <v>159</v>
      </c>
      <c r="D99">
        <f>MAX(D2:D95)</f>
        <v>2</v>
      </c>
    </row>
    <row r="100" spans="1:4" x14ac:dyDescent="0.25">
      <c r="A100" t="s">
        <v>160</v>
      </c>
      <c r="D100">
        <f>MIN(D2:D95)</f>
        <v>-21</v>
      </c>
    </row>
    <row r="101" spans="1:4" x14ac:dyDescent="0.25">
      <c r="A101" t="s">
        <v>161</v>
      </c>
      <c r="D101">
        <f>COUNTIF(D2:D95,"&gt;0")</f>
        <v>1</v>
      </c>
    </row>
    <row r="102" spans="1:4" x14ac:dyDescent="0.25">
      <c r="A102" t="s">
        <v>162</v>
      </c>
      <c r="D102">
        <f>COUNTIF(D2:D95,"=0")</f>
        <v>1</v>
      </c>
    </row>
    <row r="103" spans="1:4" x14ac:dyDescent="0.25">
      <c r="A103" t="s">
        <v>2920</v>
      </c>
      <c r="D103">
        <f>COUNTIF(D2:D95,"&lt;0")</f>
        <v>92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AVERAGE(D2,D3,D4,D5,D6,D7,D8,D9,D10,D11,D12,D13,D14,D15,D16,D17,D18,D19,D20,D21,D22,D23,D24,D25,D26,D27,D28,D29,D30,D31,D32,D33,D34,D35,D36)</f>
        <v>-5.628571428571429</v>
      </c>
    </row>
    <row r="107" spans="1:4" x14ac:dyDescent="0.25">
      <c r="A107" t="s">
        <v>166</v>
      </c>
      <c r="D107">
        <f>AVERAGE(D37,D38,D39,D40,D41,D42,D43,D44,D45,D46,D47,D48,D49,D50,D51,D52,D53,D54,D55,D56)</f>
        <v>-5.4</v>
      </c>
    </row>
    <row r="108" spans="1:4" x14ac:dyDescent="0.25">
      <c r="A108" t="s">
        <v>167</v>
      </c>
      <c r="D108">
        <f>AVERAGE(D57,D58,D59,D60,D61,D62,D63,D64,D65,D66,D67,D68,D69,D70,D71,D72,D73,D74,D75,D76,D77)</f>
        <v>-9.7619047619047628</v>
      </c>
    </row>
    <row r="109" spans="1:4" x14ac:dyDescent="0.25">
      <c r="A109" t="s">
        <v>168</v>
      </c>
      <c r="D109">
        <f>AVERAGE(D78,D79,D80,D81,D82,D83,D84,D85,D86,D87,D88,D89,D90,D91,D92,D93,D94,D95)</f>
        <v>-16.333333333333332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D11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1006</v>
      </c>
    </row>
    <row r="2" spans="1:4" x14ac:dyDescent="0.25">
      <c r="A2" t="s">
        <v>4</v>
      </c>
      <c r="B2" t="s">
        <v>1208</v>
      </c>
      <c r="C2" t="s">
        <v>6</v>
      </c>
      <c r="D2">
        <v>2</v>
      </c>
    </row>
    <row r="3" spans="1:4" x14ac:dyDescent="0.25">
      <c r="A3" t="s">
        <v>4</v>
      </c>
      <c r="B3" t="s">
        <v>1136</v>
      </c>
      <c r="C3" t="s">
        <v>8</v>
      </c>
      <c r="D3">
        <v>0</v>
      </c>
    </row>
    <row r="4" spans="1:4" x14ac:dyDescent="0.25">
      <c r="A4" t="s">
        <v>4</v>
      </c>
      <c r="B4" t="s">
        <v>1648</v>
      </c>
      <c r="C4" t="s">
        <v>564</v>
      </c>
      <c r="D4">
        <v>2</v>
      </c>
    </row>
    <row r="5" spans="1:4" x14ac:dyDescent="0.25">
      <c r="A5" t="s">
        <v>4</v>
      </c>
      <c r="B5" t="s">
        <v>1648</v>
      </c>
      <c r="C5" t="s">
        <v>1347</v>
      </c>
      <c r="D5">
        <v>3</v>
      </c>
    </row>
    <row r="6" spans="1:4" x14ac:dyDescent="0.25">
      <c r="A6" t="s">
        <v>4</v>
      </c>
      <c r="B6" t="s">
        <v>1346</v>
      </c>
      <c r="C6" t="s">
        <v>1106</v>
      </c>
      <c r="D6">
        <v>1</v>
      </c>
    </row>
    <row r="7" spans="1:4" x14ac:dyDescent="0.25">
      <c r="A7" t="s">
        <v>4</v>
      </c>
      <c r="B7" t="s">
        <v>823</v>
      </c>
      <c r="C7" t="s">
        <v>1107</v>
      </c>
      <c r="D7">
        <v>-1</v>
      </c>
    </row>
    <row r="8" spans="1:4" x14ac:dyDescent="0.25">
      <c r="A8" t="s">
        <v>4</v>
      </c>
      <c r="B8" t="s">
        <v>1735</v>
      </c>
      <c r="C8" t="s">
        <v>1109</v>
      </c>
      <c r="D8">
        <v>-3</v>
      </c>
    </row>
    <row r="9" spans="1:4" x14ac:dyDescent="0.25">
      <c r="A9" t="s">
        <v>4</v>
      </c>
      <c r="B9" t="s">
        <v>1192</v>
      </c>
      <c r="C9" t="s">
        <v>20</v>
      </c>
      <c r="D9">
        <v>0</v>
      </c>
    </row>
    <row r="10" spans="1:4" x14ac:dyDescent="0.25">
      <c r="A10" t="s">
        <v>4</v>
      </c>
      <c r="B10" t="s">
        <v>359</v>
      </c>
      <c r="C10" t="s">
        <v>22</v>
      </c>
      <c r="D10">
        <v>2</v>
      </c>
    </row>
    <row r="11" spans="1:4" x14ac:dyDescent="0.25">
      <c r="A11" t="s">
        <v>4</v>
      </c>
      <c r="B11" t="s">
        <v>1771</v>
      </c>
      <c r="C11" t="s">
        <v>1110</v>
      </c>
      <c r="D11">
        <v>0</v>
      </c>
    </row>
    <row r="12" spans="1:4" x14ac:dyDescent="0.25">
      <c r="A12" t="s">
        <v>4</v>
      </c>
      <c r="B12" t="s">
        <v>1958</v>
      </c>
      <c r="C12" t="s">
        <v>917</v>
      </c>
      <c r="D12">
        <v>2</v>
      </c>
    </row>
    <row r="13" spans="1:4" x14ac:dyDescent="0.25">
      <c r="A13" t="s">
        <v>4</v>
      </c>
      <c r="B13" t="s">
        <v>1194</v>
      </c>
      <c r="C13" t="s">
        <v>30</v>
      </c>
      <c r="D13">
        <v>-1</v>
      </c>
    </row>
    <row r="14" spans="1:4" x14ac:dyDescent="0.25">
      <c r="A14" t="s">
        <v>4</v>
      </c>
      <c r="B14" t="s">
        <v>572</v>
      </c>
      <c r="C14" t="s">
        <v>32</v>
      </c>
      <c r="D14">
        <v>1</v>
      </c>
    </row>
    <row r="15" spans="1:4" x14ac:dyDescent="0.25">
      <c r="A15" t="s">
        <v>4</v>
      </c>
      <c r="B15" t="s">
        <v>625</v>
      </c>
      <c r="C15" t="s">
        <v>1926</v>
      </c>
      <c r="D15">
        <v>3</v>
      </c>
    </row>
    <row r="16" spans="1:4" x14ac:dyDescent="0.25">
      <c r="A16" t="s">
        <v>4</v>
      </c>
      <c r="B16" t="s">
        <v>726</v>
      </c>
      <c r="C16" t="s">
        <v>1578</v>
      </c>
      <c r="D16">
        <v>4</v>
      </c>
    </row>
    <row r="17" spans="1:4" x14ac:dyDescent="0.25">
      <c r="A17" t="s">
        <v>4</v>
      </c>
      <c r="B17" t="s">
        <v>726</v>
      </c>
      <c r="C17" t="s">
        <v>197</v>
      </c>
      <c r="D17">
        <v>5</v>
      </c>
    </row>
    <row r="18" spans="1:4" x14ac:dyDescent="0.25">
      <c r="A18" t="s">
        <v>4</v>
      </c>
      <c r="B18" t="s">
        <v>596</v>
      </c>
      <c r="C18" t="s">
        <v>789</v>
      </c>
      <c r="D18">
        <v>2</v>
      </c>
    </row>
    <row r="19" spans="1:4" x14ac:dyDescent="0.25">
      <c r="A19" t="s">
        <v>4</v>
      </c>
      <c r="B19" t="s">
        <v>1170</v>
      </c>
      <c r="C19" t="s">
        <v>330</v>
      </c>
      <c r="D19">
        <v>5</v>
      </c>
    </row>
    <row r="20" spans="1:4" x14ac:dyDescent="0.25">
      <c r="A20" t="s">
        <v>4</v>
      </c>
      <c r="B20" t="s">
        <v>661</v>
      </c>
      <c r="C20" t="s">
        <v>1822</v>
      </c>
      <c r="D20">
        <v>2</v>
      </c>
    </row>
    <row r="21" spans="1:4" x14ac:dyDescent="0.25">
      <c r="A21" t="s">
        <v>4</v>
      </c>
      <c r="B21" t="s">
        <v>1442</v>
      </c>
      <c r="C21" t="s">
        <v>1438</v>
      </c>
      <c r="D21">
        <v>0</v>
      </c>
    </row>
    <row r="22" spans="1:4" x14ac:dyDescent="0.25">
      <c r="A22" t="s">
        <v>4</v>
      </c>
      <c r="B22" t="s">
        <v>924</v>
      </c>
      <c r="C22" t="s">
        <v>1823</v>
      </c>
      <c r="D22">
        <v>2</v>
      </c>
    </row>
    <row r="23" spans="1:4" x14ac:dyDescent="0.25">
      <c r="A23" t="s">
        <v>4</v>
      </c>
      <c r="B23" t="s">
        <v>1217</v>
      </c>
      <c r="C23" t="s">
        <v>1439</v>
      </c>
      <c r="D23">
        <v>4</v>
      </c>
    </row>
    <row r="24" spans="1:4" x14ac:dyDescent="0.25">
      <c r="A24" t="s">
        <v>4</v>
      </c>
      <c r="B24" t="s">
        <v>1217</v>
      </c>
      <c r="C24" t="s">
        <v>212</v>
      </c>
      <c r="D24">
        <v>5</v>
      </c>
    </row>
    <row r="25" spans="1:4" x14ac:dyDescent="0.25">
      <c r="A25" t="s">
        <v>4</v>
      </c>
      <c r="B25" t="s">
        <v>116</v>
      </c>
      <c r="C25" t="s">
        <v>1209</v>
      </c>
      <c r="D25">
        <v>7</v>
      </c>
    </row>
    <row r="26" spans="1:4" x14ac:dyDescent="0.25">
      <c r="A26" t="s">
        <v>4</v>
      </c>
      <c r="B26" t="s">
        <v>1048</v>
      </c>
      <c r="C26" t="s">
        <v>338</v>
      </c>
      <c r="D26">
        <v>4</v>
      </c>
    </row>
    <row r="27" spans="1:4" x14ac:dyDescent="0.25">
      <c r="A27" t="s">
        <v>4</v>
      </c>
      <c r="B27" t="s">
        <v>1002</v>
      </c>
      <c r="C27" t="s">
        <v>1753</v>
      </c>
      <c r="D27">
        <v>2</v>
      </c>
    </row>
    <row r="28" spans="1:4" x14ac:dyDescent="0.25">
      <c r="A28" t="s">
        <v>4</v>
      </c>
      <c r="B28" t="s">
        <v>1002</v>
      </c>
      <c r="C28" t="s">
        <v>2125</v>
      </c>
      <c r="D28">
        <v>1</v>
      </c>
    </row>
    <row r="29" spans="1:4" x14ac:dyDescent="0.25">
      <c r="A29" t="s">
        <v>40</v>
      </c>
      <c r="B29" t="s">
        <v>797</v>
      </c>
      <c r="C29" t="s">
        <v>2360</v>
      </c>
      <c r="D29">
        <v>4</v>
      </c>
    </row>
    <row r="30" spans="1:4" x14ac:dyDescent="0.25">
      <c r="A30" t="s">
        <v>40</v>
      </c>
      <c r="B30" t="s">
        <v>9</v>
      </c>
      <c r="C30" t="s">
        <v>936</v>
      </c>
      <c r="D30">
        <v>2</v>
      </c>
    </row>
    <row r="31" spans="1:4" x14ac:dyDescent="0.25">
      <c r="A31" t="s">
        <v>40</v>
      </c>
      <c r="B31" t="s">
        <v>9</v>
      </c>
      <c r="C31" t="s">
        <v>1128</v>
      </c>
      <c r="D31">
        <v>1</v>
      </c>
    </row>
    <row r="32" spans="1:4" x14ac:dyDescent="0.25">
      <c r="A32" t="s">
        <v>40</v>
      </c>
      <c r="B32" t="s">
        <v>778</v>
      </c>
      <c r="C32" t="s">
        <v>1130</v>
      </c>
      <c r="D32">
        <v>2</v>
      </c>
    </row>
    <row r="33" spans="1:4" x14ac:dyDescent="0.25">
      <c r="A33" t="s">
        <v>40</v>
      </c>
      <c r="B33" t="s">
        <v>827</v>
      </c>
      <c r="C33" t="s">
        <v>466</v>
      </c>
      <c r="D33">
        <v>0</v>
      </c>
    </row>
    <row r="34" spans="1:4" x14ac:dyDescent="0.25">
      <c r="A34" t="s">
        <v>40</v>
      </c>
      <c r="B34" t="s">
        <v>458</v>
      </c>
      <c r="C34" t="s">
        <v>2267</v>
      </c>
      <c r="D34">
        <v>3</v>
      </c>
    </row>
    <row r="35" spans="1:4" x14ac:dyDescent="0.25">
      <c r="A35" t="s">
        <v>40</v>
      </c>
      <c r="B35" t="s">
        <v>1411</v>
      </c>
      <c r="C35" t="s">
        <v>728</v>
      </c>
      <c r="D35">
        <v>2</v>
      </c>
    </row>
    <row r="36" spans="1:4" x14ac:dyDescent="0.25">
      <c r="A36" t="s">
        <v>40</v>
      </c>
      <c r="B36" t="s">
        <v>307</v>
      </c>
      <c r="C36" t="s">
        <v>3682</v>
      </c>
      <c r="D36">
        <v>5</v>
      </c>
    </row>
    <row r="37" spans="1:4" x14ac:dyDescent="0.25">
      <c r="A37" t="s">
        <v>40</v>
      </c>
      <c r="B37" t="s">
        <v>2080</v>
      </c>
      <c r="C37" t="s">
        <v>1590</v>
      </c>
      <c r="D37">
        <v>7</v>
      </c>
    </row>
    <row r="38" spans="1:4" x14ac:dyDescent="0.25">
      <c r="A38" t="s">
        <v>40</v>
      </c>
      <c r="B38" t="s">
        <v>698</v>
      </c>
      <c r="C38" t="s">
        <v>1669</v>
      </c>
      <c r="D38">
        <v>6</v>
      </c>
    </row>
    <row r="39" spans="1:4" x14ac:dyDescent="0.25">
      <c r="A39" t="s">
        <v>40</v>
      </c>
      <c r="B39" t="s">
        <v>1817</v>
      </c>
      <c r="C39" t="s">
        <v>1139</v>
      </c>
      <c r="D39">
        <v>8</v>
      </c>
    </row>
    <row r="40" spans="1:4" x14ac:dyDescent="0.25">
      <c r="A40" t="s">
        <v>40</v>
      </c>
      <c r="B40" t="s">
        <v>1350</v>
      </c>
      <c r="C40" t="s">
        <v>1141</v>
      </c>
      <c r="D40">
        <v>10</v>
      </c>
    </row>
    <row r="41" spans="1:4" x14ac:dyDescent="0.25">
      <c r="A41" t="s">
        <v>40</v>
      </c>
      <c r="B41" t="s">
        <v>747</v>
      </c>
      <c r="C41" t="s">
        <v>2816</v>
      </c>
      <c r="D41">
        <v>13</v>
      </c>
    </row>
    <row r="42" spans="1:4" x14ac:dyDescent="0.25">
      <c r="A42" t="s">
        <v>40</v>
      </c>
      <c r="B42" t="s">
        <v>544</v>
      </c>
      <c r="C42" t="s">
        <v>1944</v>
      </c>
      <c r="D42">
        <v>11</v>
      </c>
    </row>
    <row r="43" spans="1:4" x14ac:dyDescent="0.25">
      <c r="A43" t="s">
        <v>40</v>
      </c>
      <c r="B43" t="s">
        <v>749</v>
      </c>
      <c r="C43" t="s">
        <v>1945</v>
      </c>
      <c r="D43">
        <v>14</v>
      </c>
    </row>
    <row r="44" spans="1:4" x14ac:dyDescent="0.25">
      <c r="A44" t="s">
        <v>40</v>
      </c>
      <c r="B44" t="s">
        <v>1739</v>
      </c>
      <c r="C44" t="s">
        <v>3016</v>
      </c>
      <c r="D44">
        <v>12</v>
      </c>
    </row>
    <row r="45" spans="1:4" x14ac:dyDescent="0.25">
      <c r="A45" t="s">
        <v>40</v>
      </c>
      <c r="B45" t="s">
        <v>579</v>
      </c>
      <c r="C45" t="s">
        <v>1948</v>
      </c>
      <c r="D45">
        <v>15</v>
      </c>
    </row>
    <row r="46" spans="1:4" x14ac:dyDescent="0.25">
      <c r="A46" t="s">
        <v>40</v>
      </c>
      <c r="B46" t="s">
        <v>1843</v>
      </c>
      <c r="C46" t="s">
        <v>2862</v>
      </c>
      <c r="D46">
        <v>13</v>
      </c>
    </row>
    <row r="47" spans="1:4" x14ac:dyDescent="0.25">
      <c r="A47" t="s">
        <v>40</v>
      </c>
      <c r="B47" t="s">
        <v>152</v>
      </c>
      <c r="C47" t="s">
        <v>2665</v>
      </c>
      <c r="D47">
        <v>15</v>
      </c>
    </row>
    <row r="48" spans="1:4" x14ac:dyDescent="0.25">
      <c r="A48" t="s">
        <v>40</v>
      </c>
      <c r="B48" t="s">
        <v>900</v>
      </c>
      <c r="C48" t="s">
        <v>1459</v>
      </c>
      <c r="D48">
        <v>13</v>
      </c>
    </row>
    <row r="49" spans="1:4" x14ac:dyDescent="0.25">
      <c r="A49" t="s">
        <v>40</v>
      </c>
      <c r="B49" t="s">
        <v>683</v>
      </c>
      <c r="C49" t="s">
        <v>2984</v>
      </c>
      <c r="D49">
        <v>11</v>
      </c>
    </row>
    <row r="50" spans="1:4" x14ac:dyDescent="0.25">
      <c r="A50" t="s">
        <v>40</v>
      </c>
      <c r="B50" t="s">
        <v>1162</v>
      </c>
      <c r="C50" t="s">
        <v>2366</v>
      </c>
      <c r="D50">
        <v>13</v>
      </c>
    </row>
    <row r="51" spans="1:4" x14ac:dyDescent="0.25">
      <c r="A51" t="s">
        <v>80</v>
      </c>
      <c r="B51" t="s">
        <v>1929</v>
      </c>
      <c r="C51" t="s">
        <v>3378</v>
      </c>
      <c r="D51">
        <v>15</v>
      </c>
    </row>
    <row r="52" spans="1:4" x14ac:dyDescent="0.25">
      <c r="A52" t="s">
        <v>80</v>
      </c>
      <c r="B52" t="s">
        <v>43</v>
      </c>
      <c r="C52" t="s">
        <v>4143</v>
      </c>
      <c r="D52">
        <v>14</v>
      </c>
    </row>
    <row r="53" spans="1:4" x14ac:dyDescent="0.25">
      <c r="A53" t="s">
        <v>80</v>
      </c>
      <c r="B53" t="s">
        <v>719</v>
      </c>
      <c r="C53" t="s">
        <v>1464</v>
      </c>
      <c r="D53">
        <v>12</v>
      </c>
    </row>
    <row r="54" spans="1:4" x14ac:dyDescent="0.25">
      <c r="A54" t="s">
        <v>80</v>
      </c>
      <c r="B54" t="s">
        <v>2152</v>
      </c>
      <c r="C54" t="s">
        <v>1465</v>
      </c>
      <c r="D54">
        <v>10</v>
      </c>
    </row>
    <row r="55" spans="1:4" x14ac:dyDescent="0.25">
      <c r="A55" t="s">
        <v>80</v>
      </c>
      <c r="B55" t="s">
        <v>458</v>
      </c>
      <c r="C55" t="s">
        <v>2864</v>
      </c>
      <c r="D55">
        <v>11</v>
      </c>
    </row>
    <row r="56" spans="1:4" x14ac:dyDescent="0.25">
      <c r="A56" t="s">
        <v>80</v>
      </c>
      <c r="B56" t="s">
        <v>572</v>
      </c>
      <c r="C56" t="s">
        <v>2277</v>
      </c>
      <c r="D56">
        <v>9</v>
      </c>
    </row>
    <row r="57" spans="1:4" x14ac:dyDescent="0.25">
      <c r="A57" t="s">
        <v>80</v>
      </c>
      <c r="B57" t="s">
        <v>17</v>
      </c>
      <c r="C57" t="s">
        <v>1163</v>
      </c>
      <c r="D57">
        <v>8</v>
      </c>
    </row>
    <row r="58" spans="1:4" x14ac:dyDescent="0.25">
      <c r="A58" t="s">
        <v>80</v>
      </c>
      <c r="B58" t="s">
        <v>807</v>
      </c>
      <c r="C58" t="s">
        <v>2882</v>
      </c>
      <c r="D58">
        <v>10</v>
      </c>
    </row>
    <row r="59" spans="1:4" x14ac:dyDescent="0.25">
      <c r="A59" t="s">
        <v>80</v>
      </c>
      <c r="B59" t="s">
        <v>1442</v>
      </c>
      <c r="C59" t="s">
        <v>2883</v>
      </c>
      <c r="D59">
        <v>9</v>
      </c>
    </row>
    <row r="60" spans="1:4" x14ac:dyDescent="0.25">
      <c r="A60" t="s">
        <v>80</v>
      </c>
      <c r="B60" t="s">
        <v>1442</v>
      </c>
      <c r="C60" t="s">
        <v>1165</v>
      </c>
      <c r="D60">
        <v>8</v>
      </c>
    </row>
    <row r="61" spans="1:4" x14ac:dyDescent="0.25">
      <c r="A61" t="s">
        <v>80</v>
      </c>
      <c r="B61" t="s">
        <v>142</v>
      </c>
      <c r="C61" t="s">
        <v>2884</v>
      </c>
      <c r="D61">
        <v>10</v>
      </c>
    </row>
    <row r="62" spans="1:4" x14ac:dyDescent="0.25">
      <c r="A62" t="s">
        <v>80</v>
      </c>
      <c r="B62" t="s">
        <v>469</v>
      </c>
      <c r="C62" t="s">
        <v>2452</v>
      </c>
      <c r="D62">
        <v>9</v>
      </c>
    </row>
    <row r="63" spans="1:4" x14ac:dyDescent="0.25">
      <c r="A63" t="s">
        <v>80</v>
      </c>
      <c r="B63" t="s">
        <v>469</v>
      </c>
      <c r="C63" t="s">
        <v>1609</v>
      </c>
      <c r="D63">
        <v>8</v>
      </c>
    </row>
    <row r="64" spans="1:4" x14ac:dyDescent="0.25">
      <c r="A64" t="s">
        <v>80</v>
      </c>
      <c r="B64" t="s">
        <v>1481</v>
      </c>
      <c r="C64" t="s">
        <v>3019</v>
      </c>
      <c r="D64">
        <v>6</v>
      </c>
    </row>
    <row r="65" spans="1:4" x14ac:dyDescent="0.25">
      <c r="A65" t="s">
        <v>80</v>
      </c>
      <c r="B65" t="s">
        <v>290</v>
      </c>
      <c r="C65" t="s">
        <v>397</v>
      </c>
      <c r="D65">
        <v>8</v>
      </c>
    </row>
    <row r="66" spans="1:4" x14ac:dyDescent="0.25">
      <c r="A66" t="s">
        <v>80</v>
      </c>
      <c r="B66" t="s">
        <v>896</v>
      </c>
      <c r="C66" t="s">
        <v>1611</v>
      </c>
      <c r="D66">
        <v>7</v>
      </c>
    </row>
    <row r="67" spans="1:4" x14ac:dyDescent="0.25">
      <c r="A67" t="s">
        <v>80</v>
      </c>
      <c r="B67" t="s">
        <v>2363</v>
      </c>
      <c r="C67" t="s">
        <v>2183</v>
      </c>
      <c r="D67">
        <v>6</v>
      </c>
    </row>
    <row r="68" spans="1:4" x14ac:dyDescent="0.25">
      <c r="A68" t="s">
        <v>80</v>
      </c>
      <c r="B68" t="s">
        <v>2363</v>
      </c>
      <c r="C68" t="s">
        <v>1842</v>
      </c>
      <c r="D68">
        <v>5</v>
      </c>
    </row>
    <row r="69" spans="1:4" x14ac:dyDescent="0.25">
      <c r="A69" t="s">
        <v>80</v>
      </c>
      <c r="B69" t="s">
        <v>710</v>
      </c>
      <c r="C69" t="s">
        <v>1614</v>
      </c>
      <c r="D69">
        <v>7</v>
      </c>
    </row>
    <row r="70" spans="1:4" x14ac:dyDescent="0.25">
      <c r="A70" t="s">
        <v>80</v>
      </c>
      <c r="B70" t="s">
        <v>1180</v>
      </c>
      <c r="C70" t="s">
        <v>2184</v>
      </c>
      <c r="D70">
        <v>6</v>
      </c>
    </row>
    <row r="71" spans="1:4" x14ac:dyDescent="0.25">
      <c r="A71" t="s">
        <v>80</v>
      </c>
      <c r="B71" t="s">
        <v>1180</v>
      </c>
      <c r="C71" t="s">
        <v>761</v>
      </c>
      <c r="D71">
        <v>5</v>
      </c>
    </row>
    <row r="72" spans="1:4" x14ac:dyDescent="0.25">
      <c r="A72" t="s">
        <v>80</v>
      </c>
      <c r="B72" t="s">
        <v>1874</v>
      </c>
      <c r="C72" t="s">
        <v>404</v>
      </c>
      <c r="D72">
        <v>7</v>
      </c>
    </row>
    <row r="73" spans="1:4" x14ac:dyDescent="0.25">
      <c r="A73" t="s">
        <v>80</v>
      </c>
      <c r="B73" t="s">
        <v>1874</v>
      </c>
      <c r="C73" t="s">
        <v>406</v>
      </c>
      <c r="D73">
        <v>8</v>
      </c>
    </row>
    <row r="74" spans="1:4" x14ac:dyDescent="0.25">
      <c r="A74" t="s">
        <v>80</v>
      </c>
      <c r="B74" t="s">
        <v>1002</v>
      </c>
      <c r="C74" t="s">
        <v>3452</v>
      </c>
      <c r="D74">
        <v>7</v>
      </c>
    </row>
    <row r="75" spans="1:4" x14ac:dyDescent="0.25">
      <c r="A75" t="s">
        <v>80</v>
      </c>
      <c r="B75" t="s">
        <v>1002</v>
      </c>
      <c r="C75" t="s">
        <v>1615</v>
      </c>
      <c r="D75">
        <v>6</v>
      </c>
    </row>
    <row r="76" spans="1:4" x14ac:dyDescent="0.25">
      <c r="A76" t="s">
        <v>80</v>
      </c>
      <c r="B76" t="s">
        <v>396</v>
      </c>
      <c r="C76" t="s">
        <v>1616</v>
      </c>
      <c r="D76">
        <v>9</v>
      </c>
    </row>
    <row r="77" spans="1:4" x14ac:dyDescent="0.25">
      <c r="A77" t="s">
        <v>123</v>
      </c>
      <c r="B77" t="s">
        <v>855</v>
      </c>
      <c r="C77" t="s">
        <v>3707</v>
      </c>
      <c r="D77">
        <v>6</v>
      </c>
    </row>
    <row r="78" spans="1:4" x14ac:dyDescent="0.25">
      <c r="A78" t="s">
        <v>123</v>
      </c>
      <c r="B78" t="s">
        <v>239</v>
      </c>
      <c r="C78" t="s">
        <v>2558</v>
      </c>
      <c r="D78">
        <v>9</v>
      </c>
    </row>
    <row r="79" spans="1:4" x14ac:dyDescent="0.25">
      <c r="A79" t="s">
        <v>123</v>
      </c>
      <c r="B79" t="s">
        <v>170</v>
      </c>
      <c r="C79" t="s">
        <v>2919</v>
      </c>
      <c r="D79">
        <v>7</v>
      </c>
    </row>
    <row r="80" spans="1:4" x14ac:dyDescent="0.25">
      <c r="A80" t="s">
        <v>123</v>
      </c>
      <c r="B80" t="s">
        <v>329</v>
      </c>
      <c r="C80" t="s">
        <v>1850</v>
      </c>
      <c r="D80">
        <v>4</v>
      </c>
    </row>
    <row r="81" spans="1:4" x14ac:dyDescent="0.25">
      <c r="A81" t="s">
        <v>123</v>
      </c>
      <c r="B81" t="s">
        <v>618</v>
      </c>
      <c r="C81" t="s">
        <v>3204</v>
      </c>
      <c r="D81">
        <v>6</v>
      </c>
    </row>
    <row r="82" spans="1:4" x14ac:dyDescent="0.25">
      <c r="A82" t="s">
        <v>123</v>
      </c>
      <c r="B82" t="s">
        <v>211</v>
      </c>
      <c r="C82" t="s">
        <v>3837</v>
      </c>
      <c r="D82">
        <v>5</v>
      </c>
    </row>
    <row r="83" spans="1:4" x14ac:dyDescent="0.25">
      <c r="A83" t="s">
        <v>123</v>
      </c>
      <c r="B83" t="s">
        <v>1069</v>
      </c>
      <c r="C83" t="s">
        <v>3725</v>
      </c>
      <c r="D83">
        <v>7</v>
      </c>
    </row>
    <row r="84" spans="1:4" x14ac:dyDescent="0.25">
      <c r="A84" t="s">
        <v>123</v>
      </c>
      <c r="B84" t="s">
        <v>594</v>
      </c>
      <c r="C84" t="s">
        <v>1969</v>
      </c>
      <c r="D84">
        <v>4</v>
      </c>
    </row>
    <row r="85" spans="1:4" x14ac:dyDescent="0.25">
      <c r="A85" t="s">
        <v>123</v>
      </c>
      <c r="B85" t="s">
        <v>99</v>
      </c>
      <c r="C85" t="s">
        <v>4461</v>
      </c>
      <c r="D85">
        <v>6</v>
      </c>
    </row>
    <row r="86" spans="1:4" x14ac:dyDescent="0.25">
      <c r="A86" t="s">
        <v>123</v>
      </c>
      <c r="B86" t="s">
        <v>2250</v>
      </c>
      <c r="C86" t="s">
        <v>1854</v>
      </c>
      <c r="D86">
        <v>4</v>
      </c>
    </row>
    <row r="87" spans="1:4" x14ac:dyDescent="0.25">
      <c r="A87" t="s">
        <v>123</v>
      </c>
      <c r="B87" t="s">
        <v>64</v>
      </c>
      <c r="C87" t="s">
        <v>4216</v>
      </c>
      <c r="D87">
        <v>2</v>
      </c>
    </row>
    <row r="88" spans="1:4" x14ac:dyDescent="0.25">
      <c r="A88" t="s">
        <v>123</v>
      </c>
      <c r="B88" t="s">
        <v>110</v>
      </c>
      <c r="C88" t="s">
        <v>2507</v>
      </c>
      <c r="D88">
        <v>1</v>
      </c>
    </row>
    <row r="89" spans="1:4" x14ac:dyDescent="0.25">
      <c r="A89" t="s">
        <v>123</v>
      </c>
      <c r="B89" t="s">
        <v>384</v>
      </c>
      <c r="C89" t="s">
        <v>2508</v>
      </c>
      <c r="D89">
        <v>2</v>
      </c>
    </row>
    <row r="90" spans="1:4" x14ac:dyDescent="0.25">
      <c r="A90" t="s">
        <v>123</v>
      </c>
      <c r="B90" t="s">
        <v>1882</v>
      </c>
      <c r="C90" t="s">
        <v>2709</v>
      </c>
      <c r="D90">
        <v>0</v>
      </c>
    </row>
    <row r="91" spans="1:4" x14ac:dyDescent="0.25">
      <c r="A91" t="s">
        <v>123</v>
      </c>
      <c r="B91" t="s">
        <v>267</v>
      </c>
      <c r="C91" t="s">
        <v>1628</v>
      </c>
      <c r="D91">
        <v>3</v>
      </c>
    </row>
    <row r="92" spans="1:4" x14ac:dyDescent="0.25">
      <c r="A92" t="s">
        <v>123</v>
      </c>
      <c r="B92" t="s">
        <v>1132</v>
      </c>
      <c r="C92" t="s">
        <v>4462</v>
      </c>
      <c r="D92">
        <v>1</v>
      </c>
    </row>
    <row r="93" spans="1:4" x14ac:dyDescent="0.25">
      <c r="A93" t="s">
        <v>123</v>
      </c>
      <c r="B93" t="s">
        <v>118</v>
      </c>
      <c r="C93" t="s">
        <v>1631</v>
      </c>
      <c r="D93">
        <v>2</v>
      </c>
    </row>
    <row r="94" spans="1:4" x14ac:dyDescent="0.25">
      <c r="A94" t="s">
        <v>123</v>
      </c>
      <c r="B94" t="s">
        <v>118</v>
      </c>
      <c r="C94" t="s">
        <v>4272</v>
      </c>
      <c r="D94">
        <v>3</v>
      </c>
    </row>
    <row r="95" spans="1:4" x14ac:dyDescent="0.25">
      <c r="A95" t="s">
        <v>123</v>
      </c>
      <c r="B95" t="s">
        <v>1990</v>
      </c>
      <c r="C95" t="s">
        <v>4463</v>
      </c>
      <c r="D95">
        <v>0</v>
      </c>
    </row>
    <row r="96" spans="1:4" x14ac:dyDescent="0.25">
      <c r="A96" t="s">
        <v>123</v>
      </c>
      <c r="B96" t="s">
        <v>972</v>
      </c>
      <c r="C96" t="s">
        <v>4464</v>
      </c>
      <c r="D96">
        <v>3</v>
      </c>
    </row>
    <row r="97" spans="1:4" x14ac:dyDescent="0.25">
      <c r="A97" t="s">
        <v>123</v>
      </c>
      <c r="B97" t="s">
        <v>930</v>
      </c>
      <c r="C97" t="s">
        <v>4465</v>
      </c>
      <c r="D97">
        <v>4</v>
      </c>
    </row>
    <row r="98" spans="1:4" x14ac:dyDescent="0.25">
      <c r="A98" t="s">
        <v>123</v>
      </c>
      <c r="B98" t="s">
        <v>930</v>
      </c>
      <c r="C98" t="s">
        <v>4466</v>
      </c>
      <c r="D98">
        <v>5</v>
      </c>
    </row>
    <row r="99" spans="1:4" x14ac:dyDescent="0.25">
      <c r="A99" t="s">
        <v>123</v>
      </c>
      <c r="B99" t="s">
        <v>772</v>
      </c>
      <c r="C99" t="s">
        <v>4467</v>
      </c>
      <c r="D99">
        <v>6</v>
      </c>
    </row>
    <row r="100" spans="1:4" x14ac:dyDescent="0.25">
      <c r="A100" t="s">
        <v>123</v>
      </c>
      <c r="B100" t="s">
        <v>559</v>
      </c>
      <c r="C100" t="s">
        <v>4468</v>
      </c>
      <c r="D100">
        <v>4</v>
      </c>
    </row>
    <row r="102" spans="1:4" x14ac:dyDescent="0.25">
      <c r="A102" s="2" t="s">
        <v>157</v>
      </c>
    </row>
    <row r="103" spans="1:4" x14ac:dyDescent="0.25">
      <c r="A103" t="s">
        <v>158</v>
      </c>
      <c r="D103">
        <f>AVERAGE(D2:D100)</f>
        <v>5.5353535353535355</v>
      </c>
    </row>
    <row r="104" spans="1:4" x14ac:dyDescent="0.25">
      <c r="A104" t="s">
        <v>159</v>
      </c>
      <c r="D104">
        <f>MAX(D2:D100)</f>
        <v>15</v>
      </c>
    </row>
    <row r="105" spans="1:4" x14ac:dyDescent="0.25">
      <c r="A105" t="s">
        <v>160</v>
      </c>
      <c r="D105">
        <f>MIN(D2:D100)</f>
        <v>-3</v>
      </c>
    </row>
    <row r="106" spans="1:4" x14ac:dyDescent="0.25">
      <c r="A106" t="s">
        <v>161</v>
      </c>
      <c r="D106">
        <f>COUNTIF(D2:D100,"&gt;0")</f>
        <v>89</v>
      </c>
    </row>
    <row r="107" spans="1:4" x14ac:dyDescent="0.25">
      <c r="A107" t="s">
        <v>162</v>
      </c>
      <c r="D107">
        <f>COUNTIF(D2:D100,"=0")</f>
        <v>7</v>
      </c>
    </row>
    <row r="108" spans="1:4" x14ac:dyDescent="0.25">
      <c r="A108" t="s">
        <v>1103</v>
      </c>
      <c r="D108">
        <f>COUNTIF(D2:D100,"&lt;0")</f>
        <v>3</v>
      </c>
    </row>
    <row r="110" spans="1:4" x14ac:dyDescent="0.25">
      <c r="A110" s="2" t="s">
        <v>164</v>
      </c>
    </row>
    <row r="111" spans="1:4" x14ac:dyDescent="0.25">
      <c r="A111" t="s">
        <v>165</v>
      </c>
      <c r="D111">
        <f>AVERAGE(D2,D3,D4,D5,D6,D7,D8,D9,D10,D11,D12,D13,D14,D15,D16,D17,D18,D19,D20,D21,D22,D23,D24,D25,D26,D27,D28)</f>
        <v>2</v>
      </c>
    </row>
    <row r="112" spans="1:4" x14ac:dyDescent="0.25">
      <c r="A112" t="s">
        <v>166</v>
      </c>
      <c r="D112">
        <f>AVERAGE(D29,D30,D31,D32,D33,D34,D35,D36,D37,D38,D39,D40,D41,D42,D43,D44,D45,D46,D47,D48,D49,D50)</f>
        <v>8.1818181818181817</v>
      </c>
    </row>
    <row r="113" spans="1:4" x14ac:dyDescent="0.25">
      <c r="A113" t="s">
        <v>167</v>
      </c>
      <c r="D113">
        <f>AVERAGE(D51,D52,D53,D54,D55,D56,D57,D58,D59,D60,D61,D62,D63,D64,D65,D66,D67,D68,D69,D70,D71,D72,D73,D74,D75,D76)</f>
        <v>8.4615384615384617</v>
      </c>
    </row>
    <row r="114" spans="1:4" x14ac:dyDescent="0.25">
      <c r="A114" t="s">
        <v>168</v>
      </c>
      <c r="D114">
        <f>AVERAGE(D77,D78,D79,D80,D81,D82,D83,D84,D85,D86,D87,D88,D89,D90,D91,D92,D93,D94,D95,D96,D97,D98,D99,D100)</f>
        <v>3.9166666666666665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8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1429</v>
      </c>
    </row>
    <row r="2" spans="1:4" x14ac:dyDescent="0.25">
      <c r="A2" t="s">
        <v>4</v>
      </c>
      <c r="B2" t="s">
        <v>126</v>
      </c>
      <c r="C2" t="s">
        <v>908</v>
      </c>
      <c r="D2">
        <v>-2</v>
      </c>
    </row>
    <row r="3" spans="1:4" x14ac:dyDescent="0.25">
      <c r="A3" t="s">
        <v>4</v>
      </c>
      <c r="B3" t="s">
        <v>933</v>
      </c>
      <c r="C3" t="s">
        <v>174</v>
      </c>
      <c r="D3">
        <v>1</v>
      </c>
    </row>
    <row r="4" spans="1:4" x14ac:dyDescent="0.25">
      <c r="A4" t="s">
        <v>4</v>
      </c>
      <c r="B4" t="s">
        <v>2355</v>
      </c>
      <c r="C4" t="s">
        <v>2045</v>
      </c>
      <c r="D4">
        <v>-1</v>
      </c>
    </row>
    <row r="5" spans="1:4" x14ac:dyDescent="0.25">
      <c r="A5" t="s">
        <v>4</v>
      </c>
      <c r="B5" t="s">
        <v>935</v>
      </c>
      <c r="C5" t="s">
        <v>1106</v>
      </c>
      <c r="D5">
        <v>1</v>
      </c>
    </row>
    <row r="6" spans="1:4" x14ac:dyDescent="0.25">
      <c r="A6" t="s">
        <v>4</v>
      </c>
      <c r="B6" t="s">
        <v>724</v>
      </c>
      <c r="C6" t="s">
        <v>913</v>
      </c>
      <c r="D6">
        <v>-2</v>
      </c>
    </row>
    <row r="7" spans="1:4" x14ac:dyDescent="0.25">
      <c r="A7" t="s">
        <v>4</v>
      </c>
      <c r="B7" t="s">
        <v>621</v>
      </c>
      <c r="C7" t="s">
        <v>1496</v>
      </c>
      <c r="D7">
        <v>-4</v>
      </c>
    </row>
    <row r="8" spans="1:4" x14ac:dyDescent="0.25">
      <c r="A8" t="s">
        <v>4</v>
      </c>
      <c r="B8" t="s">
        <v>1013</v>
      </c>
      <c r="C8" t="s">
        <v>1497</v>
      </c>
      <c r="D8">
        <v>-2</v>
      </c>
    </row>
    <row r="9" spans="1:4" x14ac:dyDescent="0.25">
      <c r="A9" t="s">
        <v>4</v>
      </c>
      <c r="B9" t="s">
        <v>1013</v>
      </c>
      <c r="C9" t="s">
        <v>697</v>
      </c>
      <c r="D9">
        <v>-1</v>
      </c>
    </row>
    <row r="10" spans="1:4" x14ac:dyDescent="0.25">
      <c r="A10" t="s">
        <v>4</v>
      </c>
      <c r="B10" t="s">
        <v>594</v>
      </c>
      <c r="C10" t="s">
        <v>1743</v>
      </c>
      <c r="D10">
        <v>-3</v>
      </c>
    </row>
    <row r="11" spans="1:4" x14ac:dyDescent="0.25">
      <c r="A11" t="s">
        <v>4</v>
      </c>
      <c r="B11" t="s">
        <v>2158</v>
      </c>
      <c r="C11" t="s">
        <v>2202</v>
      </c>
      <c r="D11">
        <v>-1</v>
      </c>
    </row>
    <row r="12" spans="1:4" x14ac:dyDescent="0.25">
      <c r="A12" t="s">
        <v>4</v>
      </c>
      <c r="B12" t="s">
        <v>1230</v>
      </c>
      <c r="C12" t="s">
        <v>1501</v>
      </c>
      <c r="D12">
        <v>-4</v>
      </c>
    </row>
    <row r="13" spans="1:4" x14ac:dyDescent="0.25">
      <c r="A13" t="s">
        <v>4</v>
      </c>
      <c r="B13" t="s">
        <v>223</v>
      </c>
      <c r="C13" t="s">
        <v>1435</v>
      </c>
      <c r="D13">
        <v>-1</v>
      </c>
    </row>
    <row r="14" spans="1:4" x14ac:dyDescent="0.25">
      <c r="A14" t="s">
        <v>4</v>
      </c>
      <c r="B14" t="s">
        <v>1536</v>
      </c>
      <c r="C14" t="s">
        <v>1504</v>
      </c>
      <c r="D14">
        <v>-4</v>
      </c>
    </row>
    <row r="15" spans="1:4" x14ac:dyDescent="0.25">
      <c r="A15" t="s">
        <v>4</v>
      </c>
      <c r="B15" t="s">
        <v>1073</v>
      </c>
      <c r="C15" t="s">
        <v>1705</v>
      </c>
      <c r="D15">
        <v>-6</v>
      </c>
    </row>
    <row r="16" spans="1:4" x14ac:dyDescent="0.25">
      <c r="A16" t="s">
        <v>4</v>
      </c>
      <c r="B16" t="s">
        <v>267</v>
      </c>
      <c r="C16" t="s">
        <v>3614</v>
      </c>
      <c r="D16">
        <v>-8</v>
      </c>
    </row>
    <row r="17" spans="1:4" x14ac:dyDescent="0.25">
      <c r="A17" t="s">
        <v>4</v>
      </c>
      <c r="B17" t="s">
        <v>1076</v>
      </c>
      <c r="C17" t="s">
        <v>2700</v>
      </c>
      <c r="D17">
        <v>-6</v>
      </c>
    </row>
    <row r="18" spans="1:4" x14ac:dyDescent="0.25">
      <c r="A18" t="s">
        <v>4</v>
      </c>
      <c r="B18" t="s">
        <v>1019</v>
      </c>
      <c r="C18" t="s">
        <v>3617</v>
      </c>
      <c r="D18">
        <v>-8</v>
      </c>
    </row>
    <row r="19" spans="1:4" x14ac:dyDescent="0.25">
      <c r="A19" t="s">
        <v>4</v>
      </c>
      <c r="B19" t="s">
        <v>72</v>
      </c>
      <c r="C19" t="s">
        <v>3704</v>
      </c>
      <c r="D19">
        <v>-6</v>
      </c>
    </row>
    <row r="20" spans="1:4" x14ac:dyDescent="0.25">
      <c r="A20" t="s">
        <v>4</v>
      </c>
      <c r="B20" t="s">
        <v>1845</v>
      </c>
      <c r="C20" t="s">
        <v>1654</v>
      </c>
      <c r="D20">
        <v>-8</v>
      </c>
    </row>
    <row r="21" spans="1:4" x14ac:dyDescent="0.25">
      <c r="A21" t="s">
        <v>4</v>
      </c>
      <c r="B21" t="s">
        <v>1002</v>
      </c>
      <c r="C21" t="s">
        <v>2435</v>
      </c>
      <c r="D21">
        <v>-10</v>
      </c>
    </row>
    <row r="22" spans="1:4" x14ac:dyDescent="0.25">
      <c r="A22" t="s">
        <v>40</v>
      </c>
      <c r="B22" t="s">
        <v>453</v>
      </c>
      <c r="C22" t="s">
        <v>4285</v>
      </c>
      <c r="D22">
        <v>-13</v>
      </c>
    </row>
    <row r="23" spans="1:4" x14ac:dyDescent="0.25">
      <c r="A23" t="s">
        <v>40</v>
      </c>
      <c r="B23" t="s">
        <v>239</v>
      </c>
      <c r="C23" t="s">
        <v>4469</v>
      </c>
      <c r="D23">
        <v>-14</v>
      </c>
    </row>
    <row r="24" spans="1:4" x14ac:dyDescent="0.25">
      <c r="A24" t="s">
        <v>40</v>
      </c>
      <c r="B24" t="s">
        <v>933</v>
      </c>
      <c r="C24" t="s">
        <v>4444</v>
      </c>
      <c r="D24">
        <v>-13</v>
      </c>
    </row>
    <row r="25" spans="1:4" x14ac:dyDescent="0.25">
      <c r="A25" t="s">
        <v>40</v>
      </c>
      <c r="B25" t="s">
        <v>933</v>
      </c>
      <c r="C25" t="s">
        <v>4470</v>
      </c>
      <c r="D25">
        <v>-12</v>
      </c>
    </row>
    <row r="26" spans="1:4" x14ac:dyDescent="0.25">
      <c r="A26" t="s">
        <v>40</v>
      </c>
      <c r="B26" t="s">
        <v>1789</v>
      </c>
      <c r="C26" t="s">
        <v>4445</v>
      </c>
      <c r="D26">
        <v>-10</v>
      </c>
    </row>
    <row r="27" spans="1:4" x14ac:dyDescent="0.25">
      <c r="A27" t="s">
        <v>40</v>
      </c>
      <c r="B27" t="s">
        <v>1789</v>
      </c>
      <c r="C27" t="s">
        <v>3624</v>
      </c>
      <c r="D27">
        <v>-9</v>
      </c>
    </row>
    <row r="28" spans="1:4" x14ac:dyDescent="0.25">
      <c r="A28" t="s">
        <v>40</v>
      </c>
      <c r="B28" t="s">
        <v>935</v>
      </c>
      <c r="C28" t="s">
        <v>3884</v>
      </c>
      <c r="D28">
        <v>-11</v>
      </c>
    </row>
    <row r="29" spans="1:4" x14ac:dyDescent="0.25">
      <c r="A29" t="s">
        <v>40</v>
      </c>
      <c r="B29" t="s">
        <v>1613</v>
      </c>
      <c r="C29" t="s">
        <v>3557</v>
      </c>
      <c r="D29">
        <v>-8</v>
      </c>
    </row>
    <row r="30" spans="1:4" x14ac:dyDescent="0.25">
      <c r="A30" t="s">
        <v>40</v>
      </c>
      <c r="B30" t="s">
        <v>588</v>
      </c>
      <c r="C30" t="s">
        <v>3558</v>
      </c>
      <c r="D30">
        <v>-6</v>
      </c>
    </row>
    <row r="31" spans="1:4" x14ac:dyDescent="0.25">
      <c r="A31" t="s">
        <v>40</v>
      </c>
      <c r="B31" t="s">
        <v>590</v>
      </c>
      <c r="C31" t="s">
        <v>66</v>
      </c>
      <c r="D31">
        <v>-3</v>
      </c>
    </row>
    <row r="32" spans="1:4" x14ac:dyDescent="0.25">
      <c r="A32" t="s">
        <v>40</v>
      </c>
      <c r="B32" t="s">
        <v>54</v>
      </c>
      <c r="C32" t="s">
        <v>1756</v>
      </c>
      <c r="D32">
        <v>-1</v>
      </c>
    </row>
    <row r="33" spans="1:4" x14ac:dyDescent="0.25">
      <c r="A33" t="s">
        <v>40</v>
      </c>
      <c r="B33" t="s">
        <v>1227</v>
      </c>
      <c r="C33" t="s">
        <v>351</v>
      </c>
      <c r="D33">
        <v>1</v>
      </c>
    </row>
    <row r="34" spans="1:4" x14ac:dyDescent="0.25">
      <c r="A34" t="s">
        <v>40</v>
      </c>
      <c r="B34" t="s">
        <v>870</v>
      </c>
      <c r="C34" t="s">
        <v>470</v>
      </c>
      <c r="D34">
        <v>0</v>
      </c>
    </row>
    <row r="35" spans="1:4" x14ac:dyDescent="0.25">
      <c r="A35" t="s">
        <v>40</v>
      </c>
      <c r="B35" t="s">
        <v>870</v>
      </c>
      <c r="C35" t="s">
        <v>2303</v>
      </c>
      <c r="D35">
        <v>-1</v>
      </c>
    </row>
    <row r="36" spans="1:4" x14ac:dyDescent="0.25">
      <c r="A36" t="s">
        <v>40</v>
      </c>
      <c r="B36" t="s">
        <v>600</v>
      </c>
      <c r="C36" t="s">
        <v>354</v>
      </c>
      <c r="D36">
        <v>1</v>
      </c>
    </row>
    <row r="37" spans="1:4" x14ac:dyDescent="0.25">
      <c r="A37" t="s">
        <v>40</v>
      </c>
      <c r="B37" t="s">
        <v>196</v>
      </c>
      <c r="C37" t="s">
        <v>1757</v>
      </c>
      <c r="D37">
        <v>3</v>
      </c>
    </row>
    <row r="38" spans="1:4" x14ac:dyDescent="0.25">
      <c r="A38" t="s">
        <v>40</v>
      </c>
      <c r="B38" t="s">
        <v>1335</v>
      </c>
      <c r="C38" t="s">
        <v>476</v>
      </c>
      <c r="D38">
        <v>1</v>
      </c>
    </row>
    <row r="39" spans="1:4" x14ac:dyDescent="0.25">
      <c r="A39" t="s">
        <v>40</v>
      </c>
      <c r="B39" t="s">
        <v>1339</v>
      </c>
      <c r="C39" t="s">
        <v>1519</v>
      </c>
      <c r="D39">
        <v>-1</v>
      </c>
    </row>
    <row r="40" spans="1:4" x14ac:dyDescent="0.25">
      <c r="A40" t="s">
        <v>40</v>
      </c>
      <c r="B40" t="s">
        <v>710</v>
      </c>
      <c r="C40" t="s">
        <v>241</v>
      </c>
      <c r="D40">
        <v>-4</v>
      </c>
    </row>
    <row r="41" spans="1:4" x14ac:dyDescent="0.25">
      <c r="A41" t="s">
        <v>40</v>
      </c>
      <c r="B41" t="s">
        <v>1733</v>
      </c>
      <c r="C41" t="s">
        <v>2134</v>
      </c>
      <c r="D41">
        <v>-2</v>
      </c>
    </row>
    <row r="42" spans="1:4" x14ac:dyDescent="0.25">
      <c r="A42" t="s">
        <v>40</v>
      </c>
      <c r="B42" t="s">
        <v>1002</v>
      </c>
      <c r="C42" t="s">
        <v>1521</v>
      </c>
      <c r="D42">
        <v>-3</v>
      </c>
    </row>
    <row r="43" spans="1:4" x14ac:dyDescent="0.25">
      <c r="A43" t="s">
        <v>40</v>
      </c>
      <c r="B43" t="s">
        <v>1002</v>
      </c>
      <c r="C43" t="s">
        <v>3575</v>
      </c>
      <c r="D43">
        <v>-4</v>
      </c>
    </row>
    <row r="44" spans="1:4" x14ac:dyDescent="0.25">
      <c r="A44" t="s">
        <v>40</v>
      </c>
      <c r="B44" t="s">
        <v>1002</v>
      </c>
      <c r="C44" t="s">
        <v>1833</v>
      </c>
      <c r="D44">
        <v>-5</v>
      </c>
    </row>
    <row r="45" spans="1:4" x14ac:dyDescent="0.25">
      <c r="A45" t="s">
        <v>80</v>
      </c>
      <c r="B45" t="s">
        <v>933</v>
      </c>
      <c r="C45" t="s">
        <v>249</v>
      </c>
      <c r="D45">
        <v>-3</v>
      </c>
    </row>
    <row r="46" spans="1:4" x14ac:dyDescent="0.25">
      <c r="A46" t="s">
        <v>80</v>
      </c>
      <c r="B46" t="s">
        <v>1190</v>
      </c>
      <c r="C46" t="s">
        <v>252</v>
      </c>
      <c r="D46">
        <v>-1</v>
      </c>
    </row>
    <row r="47" spans="1:4" x14ac:dyDescent="0.25">
      <c r="A47" t="s">
        <v>80</v>
      </c>
      <c r="B47" t="s">
        <v>1143</v>
      </c>
      <c r="C47" t="s">
        <v>2489</v>
      </c>
      <c r="D47">
        <v>1</v>
      </c>
    </row>
    <row r="48" spans="1:4" x14ac:dyDescent="0.25">
      <c r="A48" t="s">
        <v>80</v>
      </c>
      <c r="B48" t="s">
        <v>1958</v>
      </c>
      <c r="C48" t="s">
        <v>3093</v>
      </c>
      <c r="D48">
        <v>4</v>
      </c>
    </row>
    <row r="49" spans="1:4" x14ac:dyDescent="0.25">
      <c r="A49" t="s">
        <v>80</v>
      </c>
      <c r="B49" t="s">
        <v>1033</v>
      </c>
      <c r="C49" t="s">
        <v>3028</v>
      </c>
      <c r="D49">
        <v>2</v>
      </c>
    </row>
    <row r="50" spans="1:4" x14ac:dyDescent="0.25">
      <c r="A50" t="s">
        <v>80</v>
      </c>
      <c r="B50" t="s">
        <v>941</v>
      </c>
      <c r="C50" t="s">
        <v>745</v>
      </c>
      <c r="D50">
        <v>0</v>
      </c>
    </row>
    <row r="51" spans="1:4" x14ac:dyDescent="0.25">
      <c r="A51" t="s">
        <v>80</v>
      </c>
      <c r="B51" t="s">
        <v>987</v>
      </c>
      <c r="C51" t="s">
        <v>2174</v>
      </c>
      <c r="D51">
        <v>3</v>
      </c>
    </row>
    <row r="52" spans="1:4" x14ac:dyDescent="0.25">
      <c r="A52" t="s">
        <v>80</v>
      </c>
      <c r="B52" t="s">
        <v>146</v>
      </c>
      <c r="C52" t="s">
        <v>1527</v>
      </c>
      <c r="D52">
        <v>4</v>
      </c>
    </row>
    <row r="53" spans="1:4" x14ac:dyDescent="0.25">
      <c r="A53" t="s">
        <v>80</v>
      </c>
      <c r="B53" t="s">
        <v>146</v>
      </c>
      <c r="C53" t="s">
        <v>2273</v>
      </c>
      <c r="D53">
        <v>5</v>
      </c>
    </row>
    <row r="54" spans="1:4" x14ac:dyDescent="0.25">
      <c r="A54" t="s">
        <v>80</v>
      </c>
      <c r="B54" t="s">
        <v>1076</v>
      </c>
      <c r="C54" t="s">
        <v>1603</v>
      </c>
      <c r="D54">
        <v>7</v>
      </c>
    </row>
    <row r="55" spans="1:4" x14ac:dyDescent="0.25">
      <c r="A55" t="s">
        <v>80</v>
      </c>
      <c r="B55" t="s">
        <v>33</v>
      </c>
      <c r="C55" t="s">
        <v>2274</v>
      </c>
      <c r="D55">
        <v>8</v>
      </c>
    </row>
    <row r="56" spans="1:4" x14ac:dyDescent="0.25">
      <c r="A56" t="s">
        <v>123</v>
      </c>
      <c r="B56" t="s">
        <v>1208</v>
      </c>
      <c r="C56" t="s">
        <v>1465</v>
      </c>
      <c r="D56">
        <v>10</v>
      </c>
    </row>
    <row r="57" spans="1:4" x14ac:dyDescent="0.25">
      <c r="A57" t="s">
        <v>123</v>
      </c>
      <c r="B57" t="s">
        <v>170</v>
      </c>
      <c r="C57" t="s">
        <v>3997</v>
      </c>
      <c r="D57">
        <v>8</v>
      </c>
    </row>
    <row r="58" spans="1:4" x14ac:dyDescent="0.25">
      <c r="A58" t="s">
        <v>123</v>
      </c>
      <c r="B58" t="s">
        <v>618</v>
      </c>
      <c r="C58" t="s">
        <v>1687</v>
      </c>
      <c r="D58">
        <v>10</v>
      </c>
    </row>
    <row r="59" spans="1:4" x14ac:dyDescent="0.25">
      <c r="A59" t="s">
        <v>123</v>
      </c>
      <c r="B59" t="s">
        <v>250</v>
      </c>
      <c r="C59" t="s">
        <v>3067</v>
      </c>
      <c r="D59">
        <v>9</v>
      </c>
    </row>
    <row r="60" spans="1:4" x14ac:dyDescent="0.25">
      <c r="A60" t="s">
        <v>123</v>
      </c>
      <c r="B60" t="s">
        <v>570</v>
      </c>
      <c r="C60" t="s">
        <v>3664</v>
      </c>
      <c r="D60">
        <v>11</v>
      </c>
    </row>
    <row r="61" spans="1:4" x14ac:dyDescent="0.25">
      <c r="A61" t="s">
        <v>123</v>
      </c>
      <c r="B61" t="s">
        <v>2170</v>
      </c>
      <c r="C61" t="s">
        <v>2987</v>
      </c>
      <c r="D61">
        <v>13</v>
      </c>
    </row>
    <row r="62" spans="1:4" x14ac:dyDescent="0.25">
      <c r="A62" t="s">
        <v>123</v>
      </c>
      <c r="B62" t="s">
        <v>700</v>
      </c>
      <c r="C62" t="s">
        <v>3939</v>
      </c>
      <c r="D62">
        <v>10</v>
      </c>
    </row>
    <row r="63" spans="1:4" x14ac:dyDescent="0.25">
      <c r="A63" t="s">
        <v>123</v>
      </c>
      <c r="B63" t="s">
        <v>21</v>
      </c>
      <c r="C63" t="s">
        <v>4281</v>
      </c>
      <c r="D63">
        <v>12</v>
      </c>
    </row>
    <row r="64" spans="1:4" x14ac:dyDescent="0.25">
      <c r="A64" t="s">
        <v>123</v>
      </c>
      <c r="B64" t="s">
        <v>701</v>
      </c>
      <c r="C64" t="s">
        <v>2454</v>
      </c>
      <c r="D64">
        <v>10</v>
      </c>
    </row>
    <row r="65" spans="1:4" x14ac:dyDescent="0.25">
      <c r="A65" t="s">
        <v>123</v>
      </c>
      <c r="B65" t="s">
        <v>701</v>
      </c>
      <c r="C65" t="s">
        <v>4367</v>
      </c>
      <c r="D65">
        <v>9</v>
      </c>
    </row>
    <row r="66" spans="1:4" x14ac:dyDescent="0.25">
      <c r="A66" t="s">
        <v>123</v>
      </c>
      <c r="B66" t="s">
        <v>67</v>
      </c>
      <c r="C66" t="s">
        <v>2457</v>
      </c>
      <c r="D66">
        <v>6</v>
      </c>
    </row>
    <row r="67" spans="1:4" x14ac:dyDescent="0.25">
      <c r="A67" t="s">
        <v>123</v>
      </c>
      <c r="B67" t="s">
        <v>1129</v>
      </c>
      <c r="C67" t="s">
        <v>1173</v>
      </c>
      <c r="D67">
        <v>5</v>
      </c>
    </row>
    <row r="68" spans="1:4" x14ac:dyDescent="0.25">
      <c r="A68" t="s">
        <v>123</v>
      </c>
      <c r="B68" t="s">
        <v>1129</v>
      </c>
      <c r="C68" t="s">
        <v>1738</v>
      </c>
      <c r="D68">
        <v>4</v>
      </c>
    </row>
    <row r="69" spans="1:4" x14ac:dyDescent="0.25">
      <c r="A69" t="s">
        <v>123</v>
      </c>
      <c r="B69" t="s">
        <v>2453</v>
      </c>
      <c r="C69" t="s">
        <v>1959</v>
      </c>
      <c r="D69">
        <v>6</v>
      </c>
    </row>
    <row r="70" spans="1:4" x14ac:dyDescent="0.25">
      <c r="A70" t="s">
        <v>123</v>
      </c>
      <c r="B70" t="s">
        <v>448</v>
      </c>
      <c r="C70" t="s">
        <v>1176</v>
      </c>
      <c r="D70">
        <v>3</v>
      </c>
    </row>
    <row r="71" spans="1:4" x14ac:dyDescent="0.25">
      <c r="A71" t="s">
        <v>123</v>
      </c>
      <c r="B71" t="s">
        <v>320</v>
      </c>
      <c r="C71" t="s">
        <v>763</v>
      </c>
      <c r="D71">
        <v>5</v>
      </c>
    </row>
    <row r="72" spans="1:4" x14ac:dyDescent="0.25">
      <c r="A72" t="s">
        <v>123</v>
      </c>
      <c r="B72" t="s">
        <v>1356</v>
      </c>
      <c r="C72" t="s">
        <v>2606</v>
      </c>
      <c r="D72">
        <v>4</v>
      </c>
    </row>
    <row r="73" spans="1:4" x14ac:dyDescent="0.25">
      <c r="A73" t="s">
        <v>123</v>
      </c>
      <c r="B73" t="s">
        <v>900</v>
      </c>
      <c r="C73" t="s">
        <v>1846</v>
      </c>
      <c r="D73">
        <v>6</v>
      </c>
    </row>
    <row r="74" spans="1:4" x14ac:dyDescent="0.25">
      <c r="A74" t="s">
        <v>123</v>
      </c>
      <c r="B74" t="s">
        <v>1809</v>
      </c>
      <c r="C74" t="s">
        <v>412</v>
      </c>
      <c r="D74">
        <v>7</v>
      </c>
    </row>
    <row r="75" spans="1:4" x14ac:dyDescent="0.25">
      <c r="A75" t="s">
        <v>123</v>
      </c>
      <c r="B75" t="s">
        <v>1809</v>
      </c>
      <c r="C75" t="s">
        <v>413</v>
      </c>
      <c r="D75">
        <v>8</v>
      </c>
    </row>
    <row r="77" spans="1:4" x14ac:dyDescent="0.25">
      <c r="A77" s="2" t="s">
        <v>157</v>
      </c>
    </row>
    <row r="78" spans="1:4" x14ac:dyDescent="0.25">
      <c r="A78" t="s">
        <v>158</v>
      </c>
      <c r="D78">
        <f>AVERAGE(D2:D75)</f>
        <v>-4.0540540540540543E-2</v>
      </c>
    </row>
    <row r="79" spans="1:4" x14ac:dyDescent="0.25">
      <c r="A79" t="s">
        <v>159</v>
      </c>
      <c r="D79">
        <f>MAX(D2:D75)</f>
        <v>13</v>
      </c>
    </row>
    <row r="80" spans="1:4" x14ac:dyDescent="0.25">
      <c r="A80" t="s">
        <v>160</v>
      </c>
      <c r="D80">
        <f>MIN(D2:D75)</f>
        <v>-14</v>
      </c>
    </row>
    <row r="81" spans="1:4" x14ac:dyDescent="0.25">
      <c r="A81" t="s">
        <v>161</v>
      </c>
      <c r="D81">
        <f>COUNTIF(D2:D75,"&gt;0")</f>
        <v>34</v>
      </c>
    </row>
    <row r="82" spans="1:4" x14ac:dyDescent="0.25">
      <c r="A82" t="s">
        <v>162</v>
      </c>
      <c r="D82">
        <f>COUNTIF(D2:D75,"=0")</f>
        <v>2</v>
      </c>
    </row>
    <row r="83" spans="1:4" x14ac:dyDescent="0.25">
      <c r="A83" t="s">
        <v>1491</v>
      </c>
      <c r="D83">
        <f>COUNTIF(D2:D75,"&lt;0")</f>
        <v>38</v>
      </c>
    </row>
    <row r="85" spans="1:4" x14ac:dyDescent="0.25">
      <c r="A85" s="2" t="s">
        <v>164</v>
      </c>
    </row>
    <row r="86" spans="1:4" x14ac:dyDescent="0.25">
      <c r="A86" t="s">
        <v>165</v>
      </c>
      <c r="D86">
        <f>AVERAGE(D2,D3,D4,D5,D6,D7,D8,D9,D10,D11,D12,D13,D14,D15,D16,D17,D18,D19,D20,D21)</f>
        <v>-3.75</v>
      </c>
    </row>
    <row r="87" spans="1:4" x14ac:dyDescent="0.25">
      <c r="A87" t="s">
        <v>166</v>
      </c>
      <c r="D87">
        <f>AVERAGE(D22,D23,D24,D25,D26,D27,D28,D29,D30,D31,D32,D33,D34,D35,D36,D37,D38,D39,D40,D41,D42,D43,D44)</f>
        <v>-4.9565217391304346</v>
      </c>
    </row>
    <row r="88" spans="1:4" x14ac:dyDescent="0.25">
      <c r="A88" t="s">
        <v>167</v>
      </c>
      <c r="D88">
        <f>AVERAGE(D45,D46,D47,D48,D49,D50,D51,D52,D53,D54,D55)</f>
        <v>2.7272727272727271</v>
      </c>
    </row>
    <row r="89" spans="1:4" x14ac:dyDescent="0.25">
      <c r="A89" t="s">
        <v>168</v>
      </c>
      <c r="D89">
        <f>AVERAGE(D56,D57,D58,D59,D60,D61,D62,D63,D64,D65,D66,D67,D68,D69,D70,D71,D72,D73,D74,D75)</f>
        <v>7.8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D10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1055</v>
      </c>
      <c r="C2" t="s">
        <v>6</v>
      </c>
      <c r="D2">
        <v>2</v>
      </c>
    </row>
    <row r="3" spans="1:4" x14ac:dyDescent="0.25">
      <c r="A3" t="s">
        <v>4</v>
      </c>
      <c r="B3" t="s">
        <v>2405</v>
      </c>
      <c r="C3" t="s">
        <v>2353</v>
      </c>
      <c r="D3">
        <v>4</v>
      </c>
    </row>
    <row r="4" spans="1:4" x14ac:dyDescent="0.25">
      <c r="A4" t="s">
        <v>4</v>
      </c>
      <c r="B4" t="s">
        <v>2842</v>
      </c>
      <c r="C4" t="s">
        <v>564</v>
      </c>
      <c r="D4">
        <v>2</v>
      </c>
    </row>
    <row r="5" spans="1:4" x14ac:dyDescent="0.25">
      <c r="A5" t="s">
        <v>4</v>
      </c>
      <c r="B5" t="s">
        <v>1013</v>
      </c>
      <c r="C5" t="s">
        <v>2592</v>
      </c>
      <c r="D5">
        <v>5</v>
      </c>
    </row>
    <row r="6" spans="1:4" x14ac:dyDescent="0.25">
      <c r="A6" t="s">
        <v>4</v>
      </c>
      <c r="B6" t="s">
        <v>58</v>
      </c>
      <c r="C6" t="s">
        <v>1348</v>
      </c>
      <c r="D6">
        <v>3</v>
      </c>
    </row>
    <row r="7" spans="1:4" x14ac:dyDescent="0.25">
      <c r="A7" t="s">
        <v>4</v>
      </c>
      <c r="B7" t="s">
        <v>499</v>
      </c>
      <c r="C7" t="s">
        <v>311</v>
      </c>
      <c r="D7">
        <v>1</v>
      </c>
    </row>
    <row r="8" spans="1:4" x14ac:dyDescent="0.25">
      <c r="A8" t="s">
        <v>4</v>
      </c>
      <c r="B8" t="s">
        <v>263</v>
      </c>
      <c r="C8" t="s">
        <v>2559</v>
      </c>
      <c r="D8">
        <v>3</v>
      </c>
    </row>
    <row r="9" spans="1:4" x14ac:dyDescent="0.25">
      <c r="A9" t="s">
        <v>4</v>
      </c>
      <c r="B9" t="s">
        <v>1503</v>
      </c>
      <c r="C9" t="s">
        <v>3087</v>
      </c>
      <c r="D9">
        <v>1</v>
      </c>
    </row>
    <row r="10" spans="1:4" x14ac:dyDescent="0.25">
      <c r="A10" t="s">
        <v>4</v>
      </c>
      <c r="B10" t="s">
        <v>116</v>
      </c>
      <c r="C10" t="s">
        <v>22</v>
      </c>
      <c r="D10">
        <v>2</v>
      </c>
    </row>
    <row r="11" spans="1:4" x14ac:dyDescent="0.25">
      <c r="A11" t="s">
        <v>4</v>
      </c>
      <c r="B11" t="s">
        <v>116</v>
      </c>
      <c r="C11" t="s">
        <v>1353</v>
      </c>
      <c r="D11">
        <v>3</v>
      </c>
    </row>
    <row r="12" spans="1:4" x14ac:dyDescent="0.25">
      <c r="A12" t="s">
        <v>4</v>
      </c>
      <c r="B12" t="s">
        <v>671</v>
      </c>
      <c r="C12" t="s">
        <v>439</v>
      </c>
      <c r="D12">
        <v>1</v>
      </c>
    </row>
    <row r="13" spans="1:4" x14ac:dyDescent="0.25">
      <c r="A13" t="s">
        <v>4</v>
      </c>
      <c r="B13" t="s">
        <v>2363</v>
      </c>
      <c r="C13" t="s">
        <v>575</v>
      </c>
      <c r="D13">
        <v>-1</v>
      </c>
    </row>
    <row r="14" spans="1:4" x14ac:dyDescent="0.25">
      <c r="A14" t="s">
        <v>4</v>
      </c>
      <c r="B14" t="s">
        <v>296</v>
      </c>
      <c r="C14" t="s">
        <v>576</v>
      </c>
      <c r="D14">
        <v>-4</v>
      </c>
    </row>
    <row r="15" spans="1:4" x14ac:dyDescent="0.25">
      <c r="A15" t="s">
        <v>4</v>
      </c>
      <c r="B15" t="s">
        <v>1990</v>
      </c>
      <c r="C15" t="s">
        <v>1746</v>
      </c>
      <c r="D15">
        <v>-3</v>
      </c>
    </row>
    <row r="16" spans="1:4" x14ac:dyDescent="0.25">
      <c r="A16" t="s">
        <v>4</v>
      </c>
      <c r="B16" t="s">
        <v>1990</v>
      </c>
      <c r="C16" t="s">
        <v>445</v>
      </c>
      <c r="D16">
        <v>-2</v>
      </c>
    </row>
    <row r="17" spans="1:4" x14ac:dyDescent="0.25">
      <c r="A17" t="s">
        <v>4</v>
      </c>
      <c r="B17" t="s">
        <v>1135</v>
      </c>
      <c r="C17" t="s">
        <v>2121</v>
      </c>
      <c r="D17">
        <v>0</v>
      </c>
    </row>
    <row r="18" spans="1:4" x14ac:dyDescent="0.25">
      <c r="A18" t="s">
        <v>40</v>
      </c>
      <c r="B18" t="s">
        <v>1704</v>
      </c>
      <c r="C18" t="s">
        <v>705</v>
      </c>
      <c r="D18">
        <v>-1</v>
      </c>
    </row>
    <row r="19" spans="1:4" x14ac:dyDescent="0.25">
      <c r="A19" t="s">
        <v>40</v>
      </c>
      <c r="B19" t="s">
        <v>1704</v>
      </c>
      <c r="C19" t="s">
        <v>1505</v>
      </c>
      <c r="D19">
        <v>-2</v>
      </c>
    </row>
    <row r="20" spans="1:4" x14ac:dyDescent="0.25">
      <c r="A20" t="s">
        <v>40</v>
      </c>
      <c r="B20" t="s">
        <v>1922</v>
      </c>
      <c r="C20" t="s">
        <v>2699</v>
      </c>
      <c r="D20">
        <v>-4</v>
      </c>
    </row>
    <row r="21" spans="1:4" x14ac:dyDescent="0.25">
      <c r="A21" t="s">
        <v>40</v>
      </c>
      <c r="B21" t="s">
        <v>1346</v>
      </c>
      <c r="C21" t="s">
        <v>1821</v>
      </c>
      <c r="D21">
        <v>-2</v>
      </c>
    </row>
    <row r="22" spans="1:4" x14ac:dyDescent="0.25">
      <c r="A22" t="s">
        <v>40</v>
      </c>
      <c r="B22" t="s">
        <v>1083</v>
      </c>
      <c r="C22" t="s">
        <v>1507</v>
      </c>
      <c r="D22">
        <v>-3</v>
      </c>
    </row>
    <row r="23" spans="1:4" x14ac:dyDescent="0.25">
      <c r="A23" t="s">
        <v>40</v>
      </c>
      <c r="B23" t="s">
        <v>511</v>
      </c>
      <c r="C23" t="s">
        <v>2205</v>
      </c>
      <c r="D23">
        <v>-5</v>
      </c>
    </row>
    <row r="24" spans="1:4" x14ac:dyDescent="0.25">
      <c r="A24" t="s">
        <v>40</v>
      </c>
      <c r="B24" t="s">
        <v>1768</v>
      </c>
      <c r="C24" t="s">
        <v>2206</v>
      </c>
      <c r="D24">
        <v>-3</v>
      </c>
    </row>
    <row r="25" spans="1:4" x14ac:dyDescent="0.25">
      <c r="A25" t="s">
        <v>40</v>
      </c>
      <c r="B25" t="s">
        <v>588</v>
      </c>
      <c r="C25" t="s">
        <v>1509</v>
      </c>
      <c r="D25">
        <v>-4</v>
      </c>
    </row>
    <row r="26" spans="1:4" x14ac:dyDescent="0.25">
      <c r="A26" t="s">
        <v>40</v>
      </c>
      <c r="B26" t="s">
        <v>588</v>
      </c>
      <c r="C26" t="s">
        <v>46</v>
      </c>
      <c r="D26">
        <v>-5</v>
      </c>
    </row>
    <row r="27" spans="1:4" x14ac:dyDescent="0.25">
      <c r="A27" t="s">
        <v>40</v>
      </c>
      <c r="B27" t="s">
        <v>800</v>
      </c>
      <c r="C27" t="s">
        <v>48</v>
      </c>
      <c r="D27">
        <v>-3</v>
      </c>
    </row>
    <row r="28" spans="1:4" x14ac:dyDescent="0.25">
      <c r="A28" t="s">
        <v>40</v>
      </c>
      <c r="B28" t="s">
        <v>759</v>
      </c>
      <c r="C28" t="s">
        <v>2329</v>
      </c>
      <c r="D28">
        <v>-4</v>
      </c>
    </row>
    <row r="29" spans="1:4" x14ac:dyDescent="0.25">
      <c r="A29" t="s">
        <v>40</v>
      </c>
      <c r="B29" t="s">
        <v>1826</v>
      </c>
      <c r="C29" t="s">
        <v>1712</v>
      </c>
      <c r="D29">
        <v>-6</v>
      </c>
    </row>
    <row r="30" spans="1:4" x14ac:dyDescent="0.25">
      <c r="A30" t="s">
        <v>40</v>
      </c>
      <c r="B30" t="s">
        <v>335</v>
      </c>
      <c r="C30" t="s">
        <v>799</v>
      </c>
      <c r="D30">
        <v>-4</v>
      </c>
    </row>
    <row r="31" spans="1:4" x14ac:dyDescent="0.25">
      <c r="A31" t="s">
        <v>40</v>
      </c>
      <c r="B31" t="s">
        <v>698</v>
      </c>
      <c r="C31" t="s">
        <v>595</v>
      </c>
      <c r="D31">
        <v>-2</v>
      </c>
    </row>
    <row r="32" spans="1:4" x14ac:dyDescent="0.25">
      <c r="A32" t="s">
        <v>40</v>
      </c>
      <c r="B32" t="s">
        <v>97</v>
      </c>
      <c r="C32" t="s">
        <v>459</v>
      </c>
      <c r="D32">
        <v>-3</v>
      </c>
    </row>
    <row r="33" spans="1:4" x14ac:dyDescent="0.25">
      <c r="A33" t="s">
        <v>40</v>
      </c>
      <c r="B33" t="s">
        <v>97</v>
      </c>
      <c r="C33" t="s">
        <v>57</v>
      </c>
      <c r="D33">
        <v>-4</v>
      </c>
    </row>
    <row r="34" spans="1:4" x14ac:dyDescent="0.25">
      <c r="A34" t="s">
        <v>40</v>
      </c>
      <c r="B34" t="s">
        <v>577</v>
      </c>
      <c r="C34" t="s">
        <v>1512</v>
      </c>
      <c r="D34">
        <v>-2</v>
      </c>
    </row>
    <row r="35" spans="1:4" x14ac:dyDescent="0.25">
      <c r="A35" t="s">
        <v>40</v>
      </c>
      <c r="B35" t="s">
        <v>544</v>
      </c>
      <c r="C35" t="s">
        <v>1513</v>
      </c>
      <c r="D35">
        <v>-4</v>
      </c>
    </row>
    <row r="36" spans="1:4" x14ac:dyDescent="0.25">
      <c r="A36" t="s">
        <v>40</v>
      </c>
      <c r="B36" t="s">
        <v>1200</v>
      </c>
      <c r="C36" t="s">
        <v>61</v>
      </c>
      <c r="D36">
        <v>-3</v>
      </c>
    </row>
    <row r="37" spans="1:4" x14ac:dyDescent="0.25">
      <c r="A37" t="s">
        <v>40</v>
      </c>
      <c r="B37" t="s">
        <v>1200</v>
      </c>
      <c r="C37" t="s">
        <v>1514</v>
      </c>
      <c r="D37">
        <v>-2</v>
      </c>
    </row>
    <row r="38" spans="1:4" x14ac:dyDescent="0.25">
      <c r="A38" t="s">
        <v>40</v>
      </c>
      <c r="B38" t="s">
        <v>990</v>
      </c>
      <c r="C38" t="s">
        <v>1716</v>
      </c>
      <c r="D38">
        <v>-4</v>
      </c>
    </row>
    <row r="39" spans="1:4" x14ac:dyDescent="0.25">
      <c r="A39" t="s">
        <v>40</v>
      </c>
      <c r="B39" t="s">
        <v>1045</v>
      </c>
      <c r="C39" t="s">
        <v>606</v>
      </c>
      <c r="D39">
        <v>-6</v>
      </c>
    </row>
    <row r="40" spans="1:4" x14ac:dyDescent="0.25">
      <c r="A40" t="s">
        <v>40</v>
      </c>
      <c r="B40" t="s">
        <v>1844</v>
      </c>
      <c r="C40" t="s">
        <v>608</v>
      </c>
      <c r="D40">
        <v>-8</v>
      </c>
    </row>
    <row r="41" spans="1:4" x14ac:dyDescent="0.25">
      <c r="A41" t="s">
        <v>40</v>
      </c>
      <c r="B41" t="s">
        <v>552</v>
      </c>
      <c r="C41" t="s">
        <v>3626</v>
      </c>
      <c r="D41">
        <v>-10</v>
      </c>
    </row>
    <row r="42" spans="1:4" x14ac:dyDescent="0.25">
      <c r="A42" t="s">
        <v>40</v>
      </c>
      <c r="B42" t="s">
        <v>294</v>
      </c>
      <c r="C42" t="s">
        <v>3559</v>
      </c>
      <c r="D42">
        <v>-7</v>
      </c>
    </row>
    <row r="43" spans="1:4" x14ac:dyDescent="0.25">
      <c r="A43" t="s">
        <v>40</v>
      </c>
      <c r="B43" t="s">
        <v>999</v>
      </c>
      <c r="C43" t="s">
        <v>77</v>
      </c>
      <c r="D43">
        <v>-10</v>
      </c>
    </row>
    <row r="44" spans="1:4" x14ac:dyDescent="0.25">
      <c r="A44" t="s">
        <v>40</v>
      </c>
      <c r="B44" t="s">
        <v>2042</v>
      </c>
      <c r="C44" t="s">
        <v>4203</v>
      </c>
      <c r="D44">
        <v>-11</v>
      </c>
    </row>
    <row r="45" spans="1:4" x14ac:dyDescent="0.25">
      <c r="A45" t="s">
        <v>40</v>
      </c>
      <c r="B45" t="s">
        <v>1733</v>
      </c>
      <c r="C45" t="s">
        <v>614</v>
      </c>
      <c r="D45">
        <v>-9</v>
      </c>
    </row>
    <row r="46" spans="1:4" x14ac:dyDescent="0.25">
      <c r="A46" t="s">
        <v>40</v>
      </c>
      <c r="B46" t="s">
        <v>683</v>
      </c>
      <c r="C46" t="s">
        <v>4330</v>
      </c>
      <c r="D46">
        <v>-8</v>
      </c>
    </row>
    <row r="47" spans="1:4" x14ac:dyDescent="0.25">
      <c r="A47" t="s">
        <v>40</v>
      </c>
      <c r="B47" t="s">
        <v>78</v>
      </c>
      <c r="C47" t="s">
        <v>1832</v>
      </c>
      <c r="D47">
        <v>-6</v>
      </c>
    </row>
    <row r="48" spans="1:4" x14ac:dyDescent="0.25">
      <c r="A48" t="s">
        <v>80</v>
      </c>
      <c r="B48" t="s">
        <v>5</v>
      </c>
      <c r="C48" t="s">
        <v>3973</v>
      </c>
      <c r="D48">
        <v>-8</v>
      </c>
    </row>
    <row r="49" spans="1:4" x14ac:dyDescent="0.25">
      <c r="A49" t="s">
        <v>80</v>
      </c>
      <c r="B49" t="s">
        <v>1765</v>
      </c>
      <c r="C49" t="s">
        <v>2219</v>
      </c>
      <c r="D49">
        <v>-6</v>
      </c>
    </row>
    <row r="50" spans="1:4" x14ac:dyDescent="0.25">
      <c r="A50" t="s">
        <v>80</v>
      </c>
      <c r="B50" t="s">
        <v>85</v>
      </c>
      <c r="C50" t="s">
        <v>2220</v>
      </c>
      <c r="D50">
        <v>-8</v>
      </c>
    </row>
    <row r="51" spans="1:4" x14ac:dyDescent="0.25">
      <c r="A51" t="s">
        <v>80</v>
      </c>
      <c r="B51" t="s">
        <v>1029</v>
      </c>
      <c r="C51" t="s">
        <v>2221</v>
      </c>
      <c r="D51">
        <v>-10</v>
      </c>
    </row>
    <row r="52" spans="1:4" x14ac:dyDescent="0.25">
      <c r="A52" t="s">
        <v>80</v>
      </c>
      <c r="B52" t="s">
        <v>1453</v>
      </c>
      <c r="C52" t="s">
        <v>2135</v>
      </c>
      <c r="D52">
        <v>-7</v>
      </c>
    </row>
    <row r="53" spans="1:4" x14ac:dyDescent="0.25">
      <c r="A53" t="s">
        <v>80</v>
      </c>
      <c r="B53" t="s">
        <v>1771</v>
      </c>
      <c r="C53" t="s">
        <v>98</v>
      </c>
      <c r="D53">
        <v>-8</v>
      </c>
    </row>
    <row r="54" spans="1:4" x14ac:dyDescent="0.25">
      <c r="A54" t="s">
        <v>80</v>
      </c>
      <c r="B54" t="s">
        <v>2842</v>
      </c>
      <c r="C54" t="s">
        <v>2566</v>
      </c>
      <c r="D54">
        <v>-7</v>
      </c>
    </row>
    <row r="55" spans="1:4" x14ac:dyDescent="0.25">
      <c r="A55" t="s">
        <v>80</v>
      </c>
      <c r="B55" t="s">
        <v>2842</v>
      </c>
      <c r="C55" t="s">
        <v>100</v>
      </c>
      <c r="D55">
        <v>-6</v>
      </c>
    </row>
    <row r="56" spans="1:4" x14ac:dyDescent="0.25">
      <c r="A56" t="s">
        <v>80</v>
      </c>
      <c r="B56" t="s">
        <v>335</v>
      </c>
      <c r="C56" t="s">
        <v>103</v>
      </c>
      <c r="D56">
        <v>-8</v>
      </c>
    </row>
    <row r="57" spans="1:4" x14ac:dyDescent="0.25">
      <c r="A57" t="s">
        <v>80</v>
      </c>
      <c r="B57" t="s">
        <v>594</v>
      </c>
      <c r="C57" t="s">
        <v>1766</v>
      </c>
      <c r="D57">
        <v>-6</v>
      </c>
    </row>
    <row r="58" spans="1:4" x14ac:dyDescent="0.25">
      <c r="A58" t="s">
        <v>80</v>
      </c>
      <c r="B58" t="s">
        <v>598</v>
      </c>
      <c r="C58" t="s">
        <v>1767</v>
      </c>
      <c r="D58">
        <v>-4</v>
      </c>
    </row>
    <row r="59" spans="1:4" x14ac:dyDescent="0.25">
      <c r="A59" t="s">
        <v>80</v>
      </c>
      <c r="B59" t="s">
        <v>1695</v>
      </c>
      <c r="C59" t="s">
        <v>1729</v>
      </c>
      <c r="D59">
        <v>-2</v>
      </c>
    </row>
    <row r="60" spans="1:4" x14ac:dyDescent="0.25">
      <c r="A60" t="s">
        <v>80</v>
      </c>
      <c r="B60" t="s">
        <v>1092</v>
      </c>
      <c r="C60" t="s">
        <v>2765</v>
      </c>
      <c r="D60">
        <v>-3</v>
      </c>
    </row>
    <row r="61" spans="1:4" x14ac:dyDescent="0.25">
      <c r="A61" t="s">
        <v>80</v>
      </c>
      <c r="B61" t="s">
        <v>1092</v>
      </c>
      <c r="C61" t="s">
        <v>3984</v>
      </c>
      <c r="D61">
        <v>-4</v>
      </c>
    </row>
    <row r="62" spans="1:4" x14ac:dyDescent="0.25">
      <c r="A62" t="s">
        <v>80</v>
      </c>
      <c r="B62" t="s">
        <v>106</v>
      </c>
      <c r="C62" t="s">
        <v>3454</v>
      </c>
      <c r="D62">
        <v>-1</v>
      </c>
    </row>
    <row r="63" spans="1:4" x14ac:dyDescent="0.25">
      <c r="A63" t="s">
        <v>80</v>
      </c>
      <c r="B63" t="s">
        <v>629</v>
      </c>
      <c r="C63" t="s">
        <v>3083</v>
      </c>
      <c r="D63">
        <v>-3</v>
      </c>
    </row>
    <row r="64" spans="1:4" x14ac:dyDescent="0.25">
      <c r="A64" t="s">
        <v>80</v>
      </c>
      <c r="B64" t="s">
        <v>290</v>
      </c>
      <c r="C64" t="s">
        <v>2532</v>
      </c>
      <c r="D64">
        <v>-1</v>
      </c>
    </row>
    <row r="65" spans="1:4" x14ac:dyDescent="0.25">
      <c r="A65" t="s">
        <v>80</v>
      </c>
      <c r="B65" t="s">
        <v>896</v>
      </c>
      <c r="C65" t="s">
        <v>635</v>
      </c>
      <c r="D65">
        <v>1</v>
      </c>
    </row>
    <row r="66" spans="1:4" x14ac:dyDescent="0.25">
      <c r="A66" t="s">
        <v>80</v>
      </c>
      <c r="B66" t="s">
        <v>898</v>
      </c>
      <c r="C66" t="s">
        <v>2495</v>
      </c>
      <c r="D66">
        <v>0</v>
      </c>
    </row>
    <row r="67" spans="1:4" x14ac:dyDescent="0.25">
      <c r="A67" t="s">
        <v>80</v>
      </c>
      <c r="B67" t="s">
        <v>898</v>
      </c>
      <c r="C67" t="s">
        <v>388</v>
      </c>
      <c r="D67">
        <v>-1</v>
      </c>
    </row>
    <row r="68" spans="1:4" x14ac:dyDescent="0.25">
      <c r="A68" t="s">
        <v>80</v>
      </c>
      <c r="B68" t="s">
        <v>634</v>
      </c>
      <c r="C68" t="s">
        <v>2181</v>
      </c>
      <c r="D68">
        <v>2</v>
      </c>
    </row>
    <row r="69" spans="1:4" x14ac:dyDescent="0.25">
      <c r="A69" t="s">
        <v>80</v>
      </c>
      <c r="B69" t="s">
        <v>793</v>
      </c>
      <c r="C69" t="s">
        <v>638</v>
      </c>
      <c r="D69">
        <v>4</v>
      </c>
    </row>
    <row r="70" spans="1:4" x14ac:dyDescent="0.25">
      <c r="A70" t="s">
        <v>80</v>
      </c>
      <c r="B70" t="s">
        <v>396</v>
      </c>
      <c r="C70" t="s">
        <v>3199</v>
      </c>
      <c r="D70">
        <v>1</v>
      </c>
    </row>
    <row r="71" spans="1:4" x14ac:dyDescent="0.25">
      <c r="A71" t="s">
        <v>123</v>
      </c>
      <c r="B71" t="s">
        <v>2421</v>
      </c>
      <c r="C71" t="s">
        <v>3539</v>
      </c>
      <c r="D71">
        <v>-2</v>
      </c>
    </row>
    <row r="72" spans="1:4" x14ac:dyDescent="0.25">
      <c r="A72" t="s">
        <v>123</v>
      </c>
      <c r="B72" t="s">
        <v>1431</v>
      </c>
      <c r="C72" t="s">
        <v>2603</v>
      </c>
      <c r="D72">
        <v>1</v>
      </c>
    </row>
    <row r="73" spans="1:4" x14ac:dyDescent="0.25">
      <c r="A73" t="s">
        <v>123</v>
      </c>
      <c r="B73" t="s">
        <v>1573</v>
      </c>
      <c r="C73" t="s">
        <v>1174</v>
      </c>
      <c r="D73">
        <v>3</v>
      </c>
    </row>
    <row r="74" spans="1:4" x14ac:dyDescent="0.25">
      <c r="A74" t="s">
        <v>123</v>
      </c>
      <c r="B74" t="s">
        <v>1143</v>
      </c>
      <c r="C74" t="s">
        <v>3031</v>
      </c>
      <c r="D74">
        <v>0</v>
      </c>
    </row>
    <row r="75" spans="1:4" x14ac:dyDescent="0.25">
      <c r="A75" t="s">
        <v>123</v>
      </c>
      <c r="B75" t="s">
        <v>590</v>
      </c>
      <c r="C75" t="s">
        <v>2604</v>
      </c>
      <c r="D75">
        <v>2</v>
      </c>
    </row>
    <row r="76" spans="1:4" x14ac:dyDescent="0.25">
      <c r="A76" t="s">
        <v>123</v>
      </c>
      <c r="B76" t="s">
        <v>1683</v>
      </c>
      <c r="C76" t="s">
        <v>2606</v>
      </c>
      <c r="D76">
        <v>4</v>
      </c>
    </row>
    <row r="77" spans="1:4" x14ac:dyDescent="0.25">
      <c r="A77" t="s">
        <v>123</v>
      </c>
      <c r="B77" t="s">
        <v>1683</v>
      </c>
      <c r="C77" t="s">
        <v>410</v>
      </c>
      <c r="D77">
        <v>5</v>
      </c>
    </row>
    <row r="78" spans="1:4" x14ac:dyDescent="0.25">
      <c r="A78" t="s">
        <v>123</v>
      </c>
      <c r="B78" t="s">
        <v>215</v>
      </c>
      <c r="C78" t="s">
        <v>3069</v>
      </c>
      <c r="D78">
        <v>2</v>
      </c>
    </row>
    <row r="79" spans="1:4" x14ac:dyDescent="0.25">
      <c r="A79" t="s">
        <v>123</v>
      </c>
      <c r="B79" t="s">
        <v>1817</v>
      </c>
      <c r="C79" t="s">
        <v>3836</v>
      </c>
      <c r="D79">
        <v>4</v>
      </c>
    </row>
    <row r="80" spans="1:4" x14ac:dyDescent="0.25">
      <c r="A80" t="s">
        <v>123</v>
      </c>
      <c r="B80" t="s">
        <v>661</v>
      </c>
      <c r="C80" t="s">
        <v>3578</v>
      </c>
      <c r="D80">
        <v>2</v>
      </c>
    </row>
    <row r="81" spans="1:4" x14ac:dyDescent="0.25">
      <c r="A81" t="s">
        <v>123</v>
      </c>
      <c r="B81" t="s">
        <v>1092</v>
      </c>
      <c r="C81" t="s">
        <v>1965</v>
      </c>
      <c r="D81">
        <v>4</v>
      </c>
    </row>
    <row r="82" spans="1:4" x14ac:dyDescent="0.25">
      <c r="A82" t="s">
        <v>123</v>
      </c>
      <c r="B82" t="s">
        <v>472</v>
      </c>
      <c r="C82" t="s">
        <v>666</v>
      </c>
      <c r="D82">
        <v>3</v>
      </c>
    </row>
    <row r="83" spans="1:4" x14ac:dyDescent="0.25">
      <c r="A83" t="s">
        <v>123</v>
      </c>
      <c r="B83" t="s">
        <v>414</v>
      </c>
      <c r="C83" t="s">
        <v>3203</v>
      </c>
      <c r="D83">
        <v>5</v>
      </c>
    </row>
    <row r="84" spans="1:4" x14ac:dyDescent="0.25">
      <c r="A84" t="s">
        <v>123</v>
      </c>
      <c r="B84" t="s">
        <v>1843</v>
      </c>
      <c r="C84" t="s">
        <v>4368</v>
      </c>
      <c r="D84">
        <v>3</v>
      </c>
    </row>
    <row r="85" spans="1:4" x14ac:dyDescent="0.25">
      <c r="A85" t="s">
        <v>123</v>
      </c>
      <c r="B85" t="s">
        <v>1339</v>
      </c>
      <c r="C85" t="s">
        <v>771</v>
      </c>
      <c r="D85">
        <v>4</v>
      </c>
    </row>
    <row r="86" spans="1:4" x14ac:dyDescent="0.25">
      <c r="A86" t="s">
        <v>123</v>
      </c>
      <c r="B86" t="s">
        <v>1339</v>
      </c>
      <c r="C86" t="s">
        <v>773</v>
      </c>
      <c r="D86">
        <v>5</v>
      </c>
    </row>
    <row r="87" spans="1:4" x14ac:dyDescent="0.25">
      <c r="A87" t="s">
        <v>123</v>
      </c>
      <c r="B87" t="s">
        <v>231</v>
      </c>
      <c r="C87" t="s">
        <v>2318</v>
      </c>
      <c r="D87">
        <v>2</v>
      </c>
    </row>
    <row r="88" spans="1:4" x14ac:dyDescent="0.25">
      <c r="A88" t="s">
        <v>123</v>
      </c>
      <c r="B88" t="s">
        <v>1675</v>
      </c>
      <c r="C88" t="s">
        <v>1970</v>
      </c>
      <c r="D88">
        <v>3</v>
      </c>
    </row>
    <row r="89" spans="1:4" x14ac:dyDescent="0.25">
      <c r="A89" t="s">
        <v>123</v>
      </c>
      <c r="B89" t="s">
        <v>1845</v>
      </c>
      <c r="C89" t="s">
        <v>1971</v>
      </c>
      <c r="D89">
        <v>4</v>
      </c>
    </row>
    <row r="90" spans="1:4" x14ac:dyDescent="0.25">
      <c r="A90" t="s">
        <v>123</v>
      </c>
      <c r="B90" t="s">
        <v>683</v>
      </c>
      <c r="C90" t="s">
        <v>1625</v>
      </c>
      <c r="D90">
        <v>5</v>
      </c>
    </row>
    <row r="91" spans="1:4" x14ac:dyDescent="0.25">
      <c r="A91" t="s">
        <v>123</v>
      </c>
      <c r="B91" t="s">
        <v>770</v>
      </c>
      <c r="C91" t="s">
        <v>682</v>
      </c>
      <c r="D91">
        <v>6</v>
      </c>
    </row>
    <row r="92" spans="1:4" x14ac:dyDescent="0.25">
      <c r="A92" t="s">
        <v>123</v>
      </c>
      <c r="B92" t="s">
        <v>770</v>
      </c>
      <c r="C92" t="s">
        <v>684</v>
      </c>
      <c r="D92">
        <v>7</v>
      </c>
    </row>
    <row r="93" spans="1:4" x14ac:dyDescent="0.25">
      <c r="A93" t="s">
        <v>123</v>
      </c>
      <c r="B93" t="s">
        <v>508</v>
      </c>
      <c r="C93" t="s">
        <v>4130</v>
      </c>
      <c r="D93">
        <v>6</v>
      </c>
    </row>
    <row r="94" spans="1:4" x14ac:dyDescent="0.25">
      <c r="A94" t="s">
        <v>123</v>
      </c>
      <c r="B94" t="s">
        <v>584</v>
      </c>
      <c r="C94" t="s">
        <v>4471</v>
      </c>
      <c r="D94">
        <v>8</v>
      </c>
    </row>
    <row r="96" spans="1:4" x14ac:dyDescent="0.25">
      <c r="A96" s="2" t="s">
        <v>157</v>
      </c>
    </row>
    <row r="97" spans="1:4" x14ac:dyDescent="0.25">
      <c r="A97" t="s">
        <v>158</v>
      </c>
      <c r="D97">
        <f>AVERAGE(D2:D94)</f>
        <v>-1.3655913978494623</v>
      </c>
    </row>
    <row r="98" spans="1:4" x14ac:dyDescent="0.25">
      <c r="A98" t="s">
        <v>159</v>
      </c>
      <c r="D98">
        <f>MAX(D2:D94)</f>
        <v>8</v>
      </c>
    </row>
    <row r="99" spans="1:4" x14ac:dyDescent="0.25">
      <c r="A99" t="s">
        <v>160</v>
      </c>
      <c r="D99">
        <f>MIN(D2:D94)</f>
        <v>-11</v>
      </c>
    </row>
    <row r="100" spans="1:4" x14ac:dyDescent="0.25">
      <c r="A100" t="s">
        <v>161</v>
      </c>
      <c r="D100">
        <f>COUNTIF(D2:D94,"&gt;0")</f>
        <v>37</v>
      </c>
    </row>
    <row r="101" spans="1:4" x14ac:dyDescent="0.25">
      <c r="A101" t="s">
        <v>162</v>
      </c>
      <c r="D101">
        <f>COUNTIF(D2:D94,"=0")</f>
        <v>3</v>
      </c>
    </row>
    <row r="102" spans="1:4" x14ac:dyDescent="0.25">
      <c r="A102" t="s">
        <v>1428</v>
      </c>
      <c r="D102">
        <f>COUNTIF(D2:D94,"&lt;0")</f>
        <v>53</v>
      </c>
    </row>
    <row r="104" spans="1:4" x14ac:dyDescent="0.25">
      <c r="A104" s="2" t="s">
        <v>164</v>
      </c>
    </row>
    <row r="105" spans="1:4" x14ac:dyDescent="0.25">
      <c r="A105" t="s">
        <v>165</v>
      </c>
      <c r="D105">
        <f>AVERAGE(D2,D3,D4,D5,D6,D7,D8,D9,D10,D11,D12,D13,D14,D15,D16,D17)</f>
        <v>1.0625</v>
      </c>
    </row>
    <row r="106" spans="1:4" x14ac:dyDescent="0.25">
      <c r="A106" t="s">
        <v>166</v>
      </c>
      <c r="D106">
        <f>AVERAGE(D18,D19,D20,D21,D22,D23,D24,D25,D26,D27,D28,D29,D30,D31,D32,D33,D34,D35,D36,D37,D38,D39,D40,D41,D42,D43,D44,D45,D46,D47)</f>
        <v>-4.833333333333333</v>
      </c>
    </row>
    <row r="107" spans="1:4" x14ac:dyDescent="0.25">
      <c r="A107" t="s">
        <v>167</v>
      </c>
      <c r="D107">
        <f>AVERAGE(D48,D49,D50,D51,D52,D53,D54,D55,D56,D57,D58,D59,D60,D61,D62,D63,D64,D65,D66,D67,D68,D69,D70)</f>
        <v>-3.6956521739130435</v>
      </c>
    </row>
    <row r="108" spans="1:4" x14ac:dyDescent="0.25">
      <c r="A108" t="s">
        <v>168</v>
      </c>
      <c r="D108">
        <f>AVERAGE(D71,D72,D73,D74,D75,D76,D77,D78,D79,D80,D81,D82,D83,D84,D85,D86,D87,D88,D89,D90,D91,D92,D93,D94)</f>
        <v>3.5833333333333335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10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427</v>
      </c>
      <c r="C2" t="s">
        <v>171</v>
      </c>
      <c r="D2">
        <v>3</v>
      </c>
    </row>
    <row r="3" spans="1:4" x14ac:dyDescent="0.25">
      <c r="A3" t="s">
        <v>4</v>
      </c>
      <c r="B3" t="s">
        <v>693</v>
      </c>
      <c r="C3" t="s">
        <v>1572</v>
      </c>
      <c r="D3">
        <v>5</v>
      </c>
    </row>
    <row r="4" spans="1:4" x14ac:dyDescent="0.25">
      <c r="A4" t="s">
        <v>4</v>
      </c>
      <c r="B4" t="s">
        <v>246</v>
      </c>
      <c r="C4" t="s">
        <v>1347</v>
      </c>
      <c r="D4">
        <v>3</v>
      </c>
    </row>
    <row r="5" spans="1:4" x14ac:dyDescent="0.25">
      <c r="A5" t="s">
        <v>4</v>
      </c>
      <c r="B5" t="s">
        <v>1771</v>
      </c>
      <c r="C5" t="s">
        <v>176</v>
      </c>
      <c r="D5">
        <v>4</v>
      </c>
    </row>
    <row r="6" spans="1:4" x14ac:dyDescent="0.25">
      <c r="A6" t="s">
        <v>4</v>
      </c>
      <c r="B6" t="s">
        <v>1742</v>
      </c>
      <c r="C6" t="s">
        <v>1972</v>
      </c>
      <c r="D6">
        <v>6</v>
      </c>
    </row>
    <row r="7" spans="1:4" x14ac:dyDescent="0.25">
      <c r="A7" t="s">
        <v>4</v>
      </c>
      <c r="B7" t="s">
        <v>140</v>
      </c>
      <c r="C7" t="s">
        <v>3466</v>
      </c>
      <c r="D7">
        <v>8</v>
      </c>
    </row>
    <row r="8" spans="1:4" x14ac:dyDescent="0.25">
      <c r="A8" t="s">
        <v>4</v>
      </c>
      <c r="B8" t="s">
        <v>762</v>
      </c>
      <c r="C8" t="s">
        <v>1974</v>
      </c>
      <c r="D8">
        <v>5</v>
      </c>
    </row>
    <row r="9" spans="1:4" x14ac:dyDescent="0.25">
      <c r="A9" t="s">
        <v>4</v>
      </c>
      <c r="B9" t="s">
        <v>2629</v>
      </c>
      <c r="C9" t="s">
        <v>22</v>
      </c>
      <c r="D9">
        <v>2</v>
      </c>
    </row>
    <row r="10" spans="1:4" x14ac:dyDescent="0.25">
      <c r="A10" t="s">
        <v>4</v>
      </c>
      <c r="B10" t="s">
        <v>23</v>
      </c>
      <c r="C10" t="s">
        <v>785</v>
      </c>
      <c r="D10">
        <v>5</v>
      </c>
    </row>
    <row r="11" spans="1:4" x14ac:dyDescent="0.25">
      <c r="A11" t="s">
        <v>4</v>
      </c>
      <c r="B11" t="s">
        <v>1040</v>
      </c>
      <c r="C11" t="s">
        <v>786</v>
      </c>
      <c r="D11">
        <v>7</v>
      </c>
    </row>
    <row r="12" spans="1:4" x14ac:dyDescent="0.25">
      <c r="A12" t="s">
        <v>4</v>
      </c>
      <c r="B12" t="s">
        <v>629</v>
      </c>
      <c r="C12" t="s">
        <v>1111</v>
      </c>
      <c r="D12">
        <v>5</v>
      </c>
    </row>
    <row r="13" spans="1:4" x14ac:dyDescent="0.25">
      <c r="A13" t="s">
        <v>4</v>
      </c>
      <c r="B13" t="s">
        <v>1882</v>
      </c>
      <c r="C13" t="s">
        <v>920</v>
      </c>
      <c r="D13">
        <v>3</v>
      </c>
    </row>
    <row r="14" spans="1:4" x14ac:dyDescent="0.25">
      <c r="A14" t="s">
        <v>4</v>
      </c>
      <c r="B14" t="s">
        <v>1619</v>
      </c>
      <c r="C14" t="s">
        <v>1577</v>
      </c>
      <c r="D14">
        <v>5</v>
      </c>
    </row>
    <row r="15" spans="1:4" x14ac:dyDescent="0.25">
      <c r="A15" t="s">
        <v>4</v>
      </c>
      <c r="B15" t="s">
        <v>2363</v>
      </c>
      <c r="C15" t="s">
        <v>326</v>
      </c>
      <c r="D15">
        <v>8</v>
      </c>
    </row>
    <row r="16" spans="1:4" x14ac:dyDescent="0.25">
      <c r="A16" t="s">
        <v>4</v>
      </c>
      <c r="B16" t="s">
        <v>1113</v>
      </c>
      <c r="C16" t="s">
        <v>327</v>
      </c>
      <c r="D16">
        <v>9</v>
      </c>
    </row>
    <row r="17" spans="1:4" x14ac:dyDescent="0.25">
      <c r="A17" t="s">
        <v>4</v>
      </c>
      <c r="B17" t="s">
        <v>1113</v>
      </c>
      <c r="C17" t="s">
        <v>1020</v>
      </c>
      <c r="D17">
        <v>10</v>
      </c>
    </row>
    <row r="18" spans="1:4" x14ac:dyDescent="0.25">
      <c r="A18" t="s">
        <v>4</v>
      </c>
      <c r="B18" t="s">
        <v>483</v>
      </c>
      <c r="C18" t="s">
        <v>3730</v>
      </c>
      <c r="D18">
        <v>13</v>
      </c>
    </row>
    <row r="19" spans="1:4" x14ac:dyDescent="0.25">
      <c r="A19" t="s">
        <v>4</v>
      </c>
      <c r="B19" t="s">
        <v>772</v>
      </c>
      <c r="C19" t="s">
        <v>2520</v>
      </c>
      <c r="D19">
        <v>12</v>
      </c>
    </row>
    <row r="20" spans="1:4" x14ac:dyDescent="0.25">
      <c r="A20" t="s">
        <v>4</v>
      </c>
      <c r="B20" t="s">
        <v>817</v>
      </c>
      <c r="C20" t="s">
        <v>3050</v>
      </c>
      <c r="D20">
        <v>14</v>
      </c>
    </row>
    <row r="21" spans="1:4" x14ac:dyDescent="0.25">
      <c r="A21" t="s">
        <v>40</v>
      </c>
      <c r="B21" t="s">
        <v>1543</v>
      </c>
      <c r="C21" t="s">
        <v>3447</v>
      </c>
      <c r="D21">
        <v>11</v>
      </c>
    </row>
    <row r="22" spans="1:4" x14ac:dyDescent="0.25">
      <c r="A22" t="s">
        <v>40</v>
      </c>
      <c r="B22" t="s">
        <v>1973</v>
      </c>
      <c r="C22" t="s">
        <v>2522</v>
      </c>
      <c r="D22">
        <v>12</v>
      </c>
    </row>
    <row r="23" spans="1:4" x14ac:dyDescent="0.25">
      <c r="A23" t="s">
        <v>40</v>
      </c>
      <c r="B23" t="s">
        <v>11</v>
      </c>
      <c r="C23" t="s">
        <v>4276</v>
      </c>
      <c r="D23">
        <v>15</v>
      </c>
    </row>
    <row r="24" spans="1:4" x14ac:dyDescent="0.25">
      <c r="A24" t="s">
        <v>40</v>
      </c>
      <c r="B24" t="s">
        <v>51</v>
      </c>
      <c r="C24" t="s">
        <v>2649</v>
      </c>
      <c r="D24">
        <v>13</v>
      </c>
    </row>
    <row r="25" spans="1:4" x14ac:dyDescent="0.25">
      <c r="A25" t="s">
        <v>40</v>
      </c>
      <c r="B25" t="s">
        <v>51</v>
      </c>
      <c r="C25" t="s">
        <v>2928</v>
      </c>
      <c r="D25">
        <v>12</v>
      </c>
    </row>
    <row r="26" spans="1:4" x14ac:dyDescent="0.25">
      <c r="A26" t="s">
        <v>40</v>
      </c>
      <c r="B26" t="s">
        <v>1169</v>
      </c>
      <c r="C26" t="s">
        <v>3005</v>
      </c>
      <c r="D26">
        <v>14</v>
      </c>
    </row>
    <row r="27" spans="1:4" x14ac:dyDescent="0.25">
      <c r="A27" t="s">
        <v>40</v>
      </c>
      <c r="B27" t="s">
        <v>1755</v>
      </c>
      <c r="C27" t="s">
        <v>2526</v>
      </c>
      <c r="D27">
        <v>11</v>
      </c>
    </row>
    <row r="28" spans="1:4" x14ac:dyDescent="0.25">
      <c r="A28" t="s">
        <v>40</v>
      </c>
      <c r="B28" t="s">
        <v>333</v>
      </c>
      <c r="C28" t="s">
        <v>1034</v>
      </c>
      <c r="D28">
        <v>13</v>
      </c>
    </row>
    <row r="29" spans="1:4" x14ac:dyDescent="0.25">
      <c r="A29" t="s">
        <v>40</v>
      </c>
      <c r="B29" t="s">
        <v>1683</v>
      </c>
      <c r="C29" t="s">
        <v>3007</v>
      </c>
      <c r="D29">
        <v>12</v>
      </c>
    </row>
    <row r="30" spans="1:4" x14ac:dyDescent="0.25">
      <c r="A30" t="s">
        <v>40</v>
      </c>
      <c r="B30" t="s">
        <v>1683</v>
      </c>
      <c r="C30" t="s">
        <v>3008</v>
      </c>
      <c r="D30">
        <v>11</v>
      </c>
    </row>
    <row r="31" spans="1:4" x14ac:dyDescent="0.25">
      <c r="A31" t="s">
        <v>40</v>
      </c>
      <c r="B31" t="s">
        <v>572</v>
      </c>
      <c r="C31" t="s">
        <v>2652</v>
      </c>
      <c r="D31">
        <v>13</v>
      </c>
    </row>
    <row r="32" spans="1:4" x14ac:dyDescent="0.25">
      <c r="A32" t="s">
        <v>40</v>
      </c>
      <c r="B32" t="s">
        <v>364</v>
      </c>
      <c r="C32" t="s">
        <v>3009</v>
      </c>
      <c r="D32">
        <v>10</v>
      </c>
    </row>
    <row r="33" spans="1:4" x14ac:dyDescent="0.25">
      <c r="A33" t="s">
        <v>40</v>
      </c>
      <c r="B33" t="s">
        <v>15</v>
      </c>
      <c r="C33" t="s">
        <v>3010</v>
      </c>
      <c r="D33">
        <v>12</v>
      </c>
    </row>
    <row r="34" spans="1:4" x14ac:dyDescent="0.25">
      <c r="A34" t="s">
        <v>40</v>
      </c>
      <c r="B34" t="s">
        <v>93</v>
      </c>
      <c r="C34" t="s">
        <v>3124</v>
      </c>
      <c r="D34">
        <v>10</v>
      </c>
    </row>
    <row r="35" spans="1:4" x14ac:dyDescent="0.25">
      <c r="A35" t="s">
        <v>40</v>
      </c>
      <c r="B35" t="s">
        <v>1775</v>
      </c>
      <c r="C35" t="s">
        <v>3125</v>
      </c>
      <c r="D35">
        <v>13</v>
      </c>
    </row>
    <row r="36" spans="1:4" x14ac:dyDescent="0.25">
      <c r="A36" t="s">
        <v>40</v>
      </c>
      <c r="B36" t="s">
        <v>313</v>
      </c>
      <c r="C36" t="s">
        <v>2909</v>
      </c>
      <c r="D36">
        <v>12</v>
      </c>
    </row>
    <row r="37" spans="1:4" x14ac:dyDescent="0.25">
      <c r="A37" t="s">
        <v>40</v>
      </c>
      <c r="B37" t="s">
        <v>313</v>
      </c>
      <c r="C37" t="s">
        <v>2935</v>
      </c>
      <c r="D37">
        <v>11</v>
      </c>
    </row>
    <row r="38" spans="1:4" x14ac:dyDescent="0.25">
      <c r="A38" t="s">
        <v>40</v>
      </c>
      <c r="B38" t="s">
        <v>1230</v>
      </c>
      <c r="C38" t="s">
        <v>3013</v>
      </c>
      <c r="D38">
        <v>14</v>
      </c>
    </row>
    <row r="39" spans="1:4" x14ac:dyDescent="0.25">
      <c r="A39" t="s">
        <v>40</v>
      </c>
      <c r="B39" t="s">
        <v>519</v>
      </c>
      <c r="C39" t="s">
        <v>4230</v>
      </c>
      <c r="D39">
        <v>12</v>
      </c>
    </row>
    <row r="40" spans="1:4" x14ac:dyDescent="0.25">
      <c r="A40" t="s">
        <v>40</v>
      </c>
      <c r="B40" t="s">
        <v>64</v>
      </c>
      <c r="C40" t="s">
        <v>4027</v>
      </c>
      <c r="D40">
        <v>15</v>
      </c>
    </row>
    <row r="41" spans="1:4" x14ac:dyDescent="0.25">
      <c r="A41" t="s">
        <v>40</v>
      </c>
      <c r="B41" t="s">
        <v>467</v>
      </c>
      <c r="C41" t="s">
        <v>1452</v>
      </c>
      <c r="D41">
        <v>14</v>
      </c>
    </row>
    <row r="42" spans="1:4" x14ac:dyDescent="0.25">
      <c r="A42" t="s">
        <v>40</v>
      </c>
      <c r="B42" t="s">
        <v>467</v>
      </c>
      <c r="C42" t="s">
        <v>950</v>
      </c>
      <c r="D42">
        <v>13</v>
      </c>
    </row>
    <row r="43" spans="1:4" x14ac:dyDescent="0.25">
      <c r="A43" t="s">
        <v>40</v>
      </c>
      <c r="B43" t="s">
        <v>1217</v>
      </c>
      <c r="C43" t="s">
        <v>1454</v>
      </c>
      <c r="D43">
        <v>11</v>
      </c>
    </row>
    <row r="44" spans="1:4" x14ac:dyDescent="0.25">
      <c r="A44" t="s">
        <v>40</v>
      </c>
      <c r="B44" t="s">
        <v>146</v>
      </c>
      <c r="C44" t="s">
        <v>1676</v>
      </c>
      <c r="D44">
        <v>10</v>
      </c>
    </row>
    <row r="45" spans="1:4" x14ac:dyDescent="0.25">
      <c r="A45" t="s">
        <v>40</v>
      </c>
      <c r="B45" t="s">
        <v>2608</v>
      </c>
      <c r="C45" t="s">
        <v>1595</v>
      </c>
      <c r="D45">
        <v>9</v>
      </c>
    </row>
    <row r="46" spans="1:4" x14ac:dyDescent="0.25">
      <c r="A46" t="s">
        <v>40</v>
      </c>
      <c r="B46" t="s">
        <v>2608</v>
      </c>
      <c r="C46" t="s">
        <v>2705</v>
      </c>
      <c r="D46">
        <v>8</v>
      </c>
    </row>
    <row r="47" spans="1:4" x14ac:dyDescent="0.25">
      <c r="A47" t="s">
        <v>40</v>
      </c>
      <c r="B47" t="s">
        <v>582</v>
      </c>
      <c r="C47" t="s">
        <v>1149</v>
      </c>
      <c r="D47">
        <v>11</v>
      </c>
    </row>
    <row r="48" spans="1:4" x14ac:dyDescent="0.25">
      <c r="A48" t="s">
        <v>40</v>
      </c>
      <c r="B48" t="s">
        <v>350</v>
      </c>
      <c r="C48" t="s">
        <v>2982</v>
      </c>
      <c r="D48">
        <v>9</v>
      </c>
    </row>
    <row r="49" spans="1:4" x14ac:dyDescent="0.25">
      <c r="A49" t="s">
        <v>40</v>
      </c>
      <c r="B49" t="s">
        <v>559</v>
      </c>
      <c r="C49" t="s">
        <v>3834</v>
      </c>
      <c r="D49">
        <v>10</v>
      </c>
    </row>
    <row r="50" spans="1:4" x14ac:dyDescent="0.25">
      <c r="A50" t="s">
        <v>40</v>
      </c>
      <c r="B50" t="s">
        <v>559</v>
      </c>
      <c r="C50" t="s">
        <v>1458</v>
      </c>
      <c r="D50">
        <v>11</v>
      </c>
    </row>
    <row r="51" spans="1:4" x14ac:dyDescent="0.25">
      <c r="A51" t="s">
        <v>80</v>
      </c>
      <c r="B51" t="s">
        <v>1608</v>
      </c>
      <c r="C51" t="s">
        <v>2983</v>
      </c>
      <c r="D51">
        <v>9</v>
      </c>
    </row>
    <row r="52" spans="1:4" x14ac:dyDescent="0.25">
      <c r="A52" t="s">
        <v>80</v>
      </c>
      <c r="B52" t="s">
        <v>857</v>
      </c>
      <c r="C52" t="s">
        <v>2984</v>
      </c>
      <c r="D52">
        <v>11</v>
      </c>
    </row>
    <row r="53" spans="1:4" x14ac:dyDescent="0.25">
      <c r="A53" t="s">
        <v>80</v>
      </c>
      <c r="B53" t="s">
        <v>1408</v>
      </c>
      <c r="C53" t="s">
        <v>3451</v>
      </c>
      <c r="D53">
        <v>14</v>
      </c>
    </row>
    <row r="54" spans="1:4" x14ac:dyDescent="0.25">
      <c r="A54" t="s">
        <v>80</v>
      </c>
      <c r="B54" t="s">
        <v>566</v>
      </c>
      <c r="C54" t="s">
        <v>3378</v>
      </c>
      <c r="D54">
        <v>15</v>
      </c>
    </row>
    <row r="55" spans="1:4" x14ac:dyDescent="0.25">
      <c r="A55" t="s">
        <v>80</v>
      </c>
      <c r="B55" t="s">
        <v>335</v>
      </c>
      <c r="C55" t="s">
        <v>3133</v>
      </c>
      <c r="D55">
        <v>17</v>
      </c>
    </row>
    <row r="56" spans="1:4" x14ac:dyDescent="0.25">
      <c r="A56" t="s">
        <v>80</v>
      </c>
      <c r="B56" t="s">
        <v>17</v>
      </c>
      <c r="C56" t="s">
        <v>2791</v>
      </c>
      <c r="D56">
        <v>14</v>
      </c>
    </row>
    <row r="57" spans="1:4" x14ac:dyDescent="0.25">
      <c r="A57" t="s">
        <v>80</v>
      </c>
      <c r="B57" t="s">
        <v>1533</v>
      </c>
      <c r="C57" t="s">
        <v>3134</v>
      </c>
      <c r="D57">
        <v>16</v>
      </c>
    </row>
    <row r="58" spans="1:4" x14ac:dyDescent="0.25">
      <c r="A58" t="s">
        <v>80</v>
      </c>
      <c r="B58" t="s">
        <v>1349</v>
      </c>
      <c r="C58" t="s">
        <v>969</v>
      </c>
      <c r="D58">
        <v>19</v>
      </c>
    </row>
    <row r="59" spans="1:4" x14ac:dyDescent="0.25">
      <c r="A59" t="s">
        <v>80</v>
      </c>
      <c r="B59" t="s">
        <v>1092</v>
      </c>
      <c r="C59" t="s">
        <v>3135</v>
      </c>
      <c r="D59">
        <v>21</v>
      </c>
    </row>
    <row r="60" spans="1:4" x14ac:dyDescent="0.25">
      <c r="A60" t="s">
        <v>80</v>
      </c>
      <c r="B60" t="s">
        <v>317</v>
      </c>
      <c r="C60" t="s">
        <v>971</v>
      </c>
      <c r="D60">
        <v>19</v>
      </c>
    </row>
    <row r="61" spans="1:4" x14ac:dyDescent="0.25">
      <c r="A61" t="s">
        <v>80</v>
      </c>
      <c r="B61" t="s">
        <v>924</v>
      </c>
      <c r="C61" t="s">
        <v>3181</v>
      </c>
      <c r="D61">
        <v>20</v>
      </c>
    </row>
    <row r="62" spans="1:4" x14ac:dyDescent="0.25">
      <c r="A62" t="s">
        <v>80</v>
      </c>
      <c r="B62" t="s">
        <v>877</v>
      </c>
      <c r="C62" t="s">
        <v>3137</v>
      </c>
      <c r="D62">
        <v>22</v>
      </c>
    </row>
    <row r="63" spans="1:4" x14ac:dyDescent="0.25">
      <c r="A63" t="s">
        <v>80</v>
      </c>
      <c r="B63" t="s">
        <v>1019</v>
      </c>
      <c r="C63" t="s">
        <v>4019</v>
      </c>
      <c r="D63">
        <v>19</v>
      </c>
    </row>
    <row r="64" spans="1:4" x14ac:dyDescent="0.25">
      <c r="A64" t="s">
        <v>80</v>
      </c>
      <c r="B64" t="s">
        <v>1874</v>
      </c>
      <c r="C64" t="s">
        <v>3851</v>
      </c>
      <c r="D64">
        <v>22</v>
      </c>
    </row>
    <row r="65" spans="1:4" x14ac:dyDescent="0.25">
      <c r="A65" t="s">
        <v>80</v>
      </c>
      <c r="B65" t="s">
        <v>793</v>
      </c>
      <c r="C65" t="s">
        <v>3852</v>
      </c>
      <c r="D65">
        <v>20</v>
      </c>
    </row>
    <row r="66" spans="1:4" x14ac:dyDescent="0.25">
      <c r="A66" t="s">
        <v>123</v>
      </c>
      <c r="B66" t="s">
        <v>716</v>
      </c>
      <c r="C66" t="s">
        <v>2838</v>
      </c>
      <c r="D66">
        <v>21</v>
      </c>
    </row>
    <row r="67" spans="1:4" x14ac:dyDescent="0.25">
      <c r="A67" t="s">
        <v>123</v>
      </c>
      <c r="B67" t="s">
        <v>716</v>
      </c>
      <c r="C67" t="s">
        <v>4077</v>
      </c>
      <c r="D67">
        <v>22</v>
      </c>
    </row>
    <row r="68" spans="1:4" x14ac:dyDescent="0.25">
      <c r="A68" t="s">
        <v>123</v>
      </c>
      <c r="B68" t="s">
        <v>269</v>
      </c>
      <c r="C68" t="s">
        <v>2092</v>
      </c>
      <c r="D68">
        <v>19</v>
      </c>
    </row>
    <row r="69" spans="1:4" x14ac:dyDescent="0.25">
      <c r="A69" t="s">
        <v>123</v>
      </c>
      <c r="B69" t="s">
        <v>130</v>
      </c>
      <c r="C69" t="s">
        <v>4472</v>
      </c>
      <c r="D69">
        <v>21</v>
      </c>
    </row>
    <row r="70" spans="1:4" x14ac:dyDescent="0.25">
      <c r="A70" t="s">
        <v>123</v>
      </c>
      <c r="B70" t="s">
        <v>1010</v>
      </c>
      <c r="C70" t="s">
        <v>4263</v>
      </c>
      <c r="D70">
        <v>23</v>
      </c>
    </row>
    <row r="71" spans="1:4" x14ac:dyDescent="0.25">
      <c r="A71" t="s">
        <v>123</v>
      </c>
      <c r="B71" t="s">
        <v>1411</v>
      </c>
      <c r="C71" t="s">
        <v>2095</v>
      </c>
      <c r="D71">
        <v>20</v>
      </c>
    </row>
    <row r="72" spans="1:4" x14ac:dyDescent="0.25">
      <c r="A72" t="s">
        <v>123</v>
      </c>
      <c r="B72" t="s">
        <v>333</v>
      </c>
      <c r="C72" t="s">
        <v>3355</v>
      </c>
      <c r="D72">
        <v>19</v>
      </c>
    </row>
    <row r="73" spans="1:4" x14ac:dyDescent="0.25">
      <c r="A73" t="s">
        <v>123</v>
      </c>
      <c r="B73" t="s">
        <v>2842</v>
      </c>
      <c r="C73" t="s">
        <v>4231</v>
      </c>
      <c r="D73">
        <v>22</v>
      </c>
    </row>
    <row r="74" spans="1:4" x14ac:dyDescent="0.25">
      <c r="A74" t="s">
        <v>123</v>
      </c>
      <c r="B74" t="s">
        <v>256</v>
      </c>
      <c r="C74" t="s">
        <v>3150</v>
      </c>
      <c r="D74">
        <v>24</v>
      </c>
    </row>
    <row r="75" spans="1:4" x14ac:dyDescent="0.25">
      <c r="A75" t="s">
        <v>123</v>
      </c>
      <c r="B75" t="s">
        <v>1350</v>
      </c>
      <c r="C75" t="s">
        <v>3151</v>
      </c>
      <c r="D75">
        <v>25</v>
      </c>
    </row>
    <row r="76" spans="1:4" x14ac:dyDescent="0.25">
      <c r="A76" t="s">
        <v>123</v>
      </c>
      <c r="B76" t="s">
        <v>1829</v>
      </c>
      <c r="C76" t="s">
        <v>3690</v>
      </c>
      <c r="D76">
        <v>22</v>
      </c>
    </row>
    <row r="77" spans="1:4" x14ac:dyDescent="0.25">
      <c r="A77" t="s">
        <v>123</v>
      </c>
      <c r="B77" t="s">
        <v>108</v>
      </c>
      <c r="C77" t="s">
        <v>2950</v>
      </c>
      <c r="D77">
        <v>20</v>
      </c>
    </row>
    <row r="78" spans="1:4" x14ac:dyDescent="0.25">
      <c r="A78" t="s">
        <v>123</v>
      </c>
      <c r="B78" t="s">
        <v>110</v>
      </c>
      <c r="C78" t="s">
        <v>3191</v>
      </c>
      <c r="D78">
        <v>18</v>
      </c>
    </row>
    <row r="79" spans="1:4" x14ac:dyDescent="0.25">
      <c r="A79" t="s">
        <v>123</v>
      </c>
      <c r="B79" t="s">
        <v>70</v>
      </c>
      <c r="C79" t="s">
        <v>3024</v>
      </c>
      <c r="D79">
        <v>15</v>
      </c>
    </row>
    <row r="80" spans="1:4" x14ac:dyDescent="0.25">
      <c r="A80" t="s">
        <v>123</v>
      </c>
      <c r="B80" t="s">
        <v>1129</v>
      </c>
      <c r="C80" t="s">
        <v>997</v>
      </c>
      <c r="D80">
        <v>13</v>
      </c>
    </row>
    <row r="81" spans="1:4" x14ac:dyDescent="0.25">
      <c r="A81" t="s">
        <v>123</v>
      </c>
      <c r="B81" t="s">
        <v>1940</v>
      </c>
      <c r="C81" t="s">
        <v>2197</v>
      </c>
      <c r="D81">
        <v>10</v>
      </c>
    </row>
    <row r="82" spans="1:4" x14ac:dyDescent="0.25">
      <c r="A82" t="s">
        <v>123</v>
      </c>
      <c r="B82" t="s">
        <v>1112</v>
      </c>
      <c r="C82" t="s">
        <v>3360</v>
      </c>
      <c r="D82">
        <v>8</v>
      </c>
    </row>
    <row r="83" spans="1:4" x14ac:dyDescent="0.25">
      <c r="A83" t="s">
        <v>123</v>
      </c>
      <c r="B83" t="s">
        <v>231</v>
      </c>
      <c r="C83" t="s">
        <v>4403</v>
      </c>
      <c r="D83">
        <v>11</v>
      </c>
    </row>
    <row r="84" spans="1:4" x14ac:dyDescent="0.25">
      <c r="A84" t="s">
        <v>123</v>
      </c>
      <c r="B84" t="s">
        <v>534</v>
      </c>
      <c r="C84" t="s">
        <v>2685</v>
      </c>
      <c r="D84">
        <v>13</v>
      </c>
    </row>
    <row r="85" spans="1:4" x14ac:dyDescent="0.25">
      <c r="A85" t="s">
        <v>123</v>
      </c>
      <c r="B85" t="s">
        <v>1874</v>
      </c>
      <c r="C85" t="s">
        <v>4473</v>
      </c>
      <c r="D85">
        <v>11</v>
      </c>
    </row>
    <row r="86" spans="1:4" x14ac:dyDescent="0.25">
      <c r="A86" t="s">
        <v>123</v>
      </c>
      <c r="B86" t="s">
        <v>348</v>
      </c>
      <c r="C86" t="s">
        <v>4414</v>
      </c>
      <c r="D86">
        <v>13</v>
      </c>
    </row>
    <row r="88" spans="1:4" x14ac:dyDescent="0.25">
      <c r="A88" s="2" t="s">
        <v>157</v>
      </c>
    </row>
    <row r="89" spans="1:4" x14ac:dyDescent="0.25">
      <c r="A89" t="s">
        <v>158</v>
      </c>
      <c r="D89">
        <f>AVERAGE(D2:D86)</f>
        <v>13.023529411764706</v>
      </c>
    </row>
    <row r="90" spans="1:4" x14ac:dyDescent="0.25">
      <c r="A90" t="s">
        <v>159</v>
      </c>
      <c r="D90">
        <f>MAX(D2:D86)</f>
        <v>25</v>
      </c>
    </row>
    <row r="91" spans="1:4" x14ac:dyDescent="0.25">
      <c r="A91" t="s">
        <v>160</v>
      </c>
      <c r="D91">
        <f>MIN(D2:D86)</f>
        <v>2</v>
      </c>
    </row>
    <row r="92" spans="1:4" x14ac:dyDescent="0.25">
      <c r="A92" t="s">
        <v>161</v>
      </c>
      <c r="D92">
        <f>COUNTIF(D2:D86,"&gt;0")</f>
        <v>85</v>
      </c>
    </row>
    <row r="93" spans="1:4" x14ac:dyDescent="0.25">
      <c r="A93" t="s">
        <v>162</v>
      </c>
      <c r="D93">
        <f>COUNTIF(D2:D86,"=0")</f>
        <v>0</v>
      </c>
    </row>
    <row r="94" spans="1:4" x14ac:dyDescent="0.25">
      <c r="A94" t="s">
        <v>2150</v>
      </c>
      <c r="D94">
        <f>COUNTIF(D2:D86,"&lt;0")</f>
        <v>0</v>
      </c>
    </row>
    <row r="96" spans="1:4" x14ac:dyDescent="0.25">
      <c r="A96" s="2" t="s">
        <v>164</v>
      </c>
    </row>
    <row r="97" spans="1:4" x14ac:dyDescent="0.25">
      <c r="A97" t="s">
        <v>165</v>
      </c>
      <c r="D97">
        <f>AVERAGE(D2,D3,D4,D5,D6,D7,D8,D9,D10,D11,D12,D13,D14,D15,D16,D17,D18,D19,D20)</f>
        <v>6.6842105263157894</v>
      </c>
    </row>
    <row r="98" spans="1:4" x14ac:dyDescent="0.25">
      <c r="A98" t="s">
        <v>166</v>
      </c>
      <c r="D98">
        <f>AVERAGE(D21,D22,D23,D24,D25,D26,D27,D28,D29,D30,D31,D32,D33,D34,D35,D36,D37,D38,D39,D40,D41,D42,D43,D44,D45,D46,D47,D48,D49,D50)</f>
        <v>11.733333333333333</v>
      </c>
    </row>
    <row r="99" spans="1:4" x14ac:dyDescent="0.25">
      <c r="A99" t="s">
        <v>167</v>
      </c>
      <c r="D99">
        <f>AVERAGE(D51,D52,D53,D54,D55,D56,D57,D58,D59,D60,D61,D62,D63,D64,D65)</f>
        <v>17.2</v>
      </c>
    </row>
    <row r="100" spans="1:4" x14ac:dyDescent="0.25">
      <c r="A100" t="s">
        <v>168</v>
      </c>
      <c r="D100">
        <f>AVERAGE(D66,D67,D68,D69,D70,D71,D72,D73,D74,D75,D76,D77,D78,D79,D80,D81,D82,D83,D84,D85,D86)</f>
        <v>17.61904761904762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D95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5</v>
      </c>
      <c r="C2" t="s">
        <v>908</v>
      </c>
      <c r="D2">
        <v>-2</v>
      </c>
    </row>
    <row r="3" spans="1:4" x14ac:dyDescent="0.25">
      <c r="A3" t="s">
        <v>4</v>
      </c>
      <c r="B3" t="s">
        <v>1524</v>
      </c>
      <c r="C3" t="s">
        <v>8</v>
      </c>
      <c r="D3">
        <v>0</v>
      </c>
    </row>
    <row r="4" spans="1:4" x14ac:dyDescent="0.25">
      <c r="A4" t="s">
        <v>4</v>
      </c>
      <c r="B4" t="s">
        <v>2151</v>
      </c>
      <c r="C4" t="s">
        <v>10</v>
      </c>
      <c r="D4">
        <v>-2</v>
      </c>
    </row>
    <row r="5" spans="1:4" x14ac:dyDescent="0.25">
      <c r="A5" t="s">
        <v>4</v>
      </c>
      <c r="B5" t="s">
        <v>1321</v>
      </c>
      <c r="C5" t="s">
        <v>12</v>
      </c>
      <c r="D5">
        <v>0</v>
      </c>
    </row>
    <row r="6" spans="1:4" x14ac:dyDescent="0.25">
      <c r="A6" t="s">
        <v>4</v>
      </c>
      <c r="B6" t="s">
        <v>1573</v>
      </c>
      <c r="C6" t="s">
        <v>310</v>
      </c>
      <c r="D6">
        <v>-2</v>
      </c>
    </row>
    <row r="7" spans="1:4" x14ac:dyDescent="0.25">
      <c r="A7" t="s">
        <v>4</v>
      </c>
      <c r="B7" t="s">
        <v>357</v>
      </c>
      <c r="C7" t="s">
        <v>2046</v>
      </c>
      <c r="D7">
        <v>0</v>
      </c>
    </row>
    <row r="8" spans="1:4" x14ac:dyDescent="0.25">
      <c r="A8" t="s">
        <v>4</v>
      </c>
      <c r="B8" t="s">
        <v>1248</v>
      </c>
      <c r="C8" t="s">
        <v>18</v>
      </c>
      <c r="D8">
        <v>-2</v>
      </c>
    </row>
    <row r="9" spans="1:4" x14ac:dyDescent="0.25">
      <c r="A9" t="s">
        <v>4</v>
      </c>
      <c r="B9" t="s">
        <v>277</v>
      </c>
      <c r="C9" t="s">
        <v>1636</v>
      </c>
      <c r="D9">
        <v>-4</v>
      </c>
    </row>
    <row r="10" spans="1:4" x14ac:dyDescent="0.25">
      <c r="A10" t="s">
        <v>4</v>
      </c>
      <c r="B10" t="s">
        <v>277</v>
      </c>
      <c r="C10" t="s">
        <v>1696</v>
      </c>
      <c r="D10">
        <v>-5</v>
      </c>
    </row>
    <row r="11" spans="1:4" x14ac:dyDescent="0.25">
      <c r="A11" t="s">
        <v>4</v>
      </c>
      <c r="B11" t="s">
        <v>363</v>
      </c>
      <c r="C11" t="s">
        <v>1743</v>
      </c>
      <c r="D11">
        <v>-3</v>
      </c>
    </row>
    <row r="12" spans="1:4" x14ac:dyDescent="0.25">
      <c r="A12" t="s">
        <v>4</v>
      </c>
      <c r="B12" t="s">
        <v>2158</v>
      </c>
      <c r="C12" t="s">
        <v>574</v>
      </c>
      <c r="D12">
        <v>0</v>
      </c>
    </row>
    <row r="13" spans="1:4" x14ac:dyDescent="0.25">
      <c r="A13" t="s">
        <v>4</v>
      </c>
      <c r="B13" t="s">
        <v>2120</v>
      </c>
      <c r="C13" t="s">
        <v>1818</v>
      </c>
      <c r="D13">
        <v>2</v>
      </c>
    </row>
    <row r="14" spans="1:4" x14ac:dyDescent="0.25">
      <c r="A14" t="s">
        <v>4</v>
      </c>
      <c r="B14" t="s">
        <v>1481</v>
      </c>
      <c r="C14" t="s">
        <v>3025</v>
      </c>
      <c r="D14">
        <v>3</v>
      </c>
    </row>
    <row r="15" spans="1:4" x14ac:dyDescent="0.25">
      <c r="A15" t="s">
        <v>4</v>
      </c>
      <c r="B15" t="s">
        <v>894</v>
      </c>
      <c r="C15" t="s">
        <v>32</v>
      </c>
      <c r="D15">
        <v>1</v>
      </c>
    </row>
    <row r="16" spans="1:4" x14ac:dyDescent="0.25">
      <c r="A16" t="s">
        <v>4</v>
      </c>
      <c r="B16" t="s">
        <v>1129</v>
      </c>
      <c r="C16" t="s">
        <v>1926</v>
      </c>
      <c r="D16">
        <v>3</v>
      </c>
    </row>
    <row r="17" spans="1:4" x14ac:dyDescent="0.25">
      <c r="A17" t="s">
        <v>4</v>
      </c>
      <c r="B17" t="s">
        <v>1132</v>
      </c>
      <c r="C17" t="s">
        <v>1747</v>
      </c>
      <c r="D17">
        <v>0</v>
      </c>
    </row>
    <row r="18" spans="1:4" x14ac:dyDescent="0.25">
      <c r="A18" t="s">
        <v>4</v>
      </c>
      <c r="B18" t="s">
        <v>582</v>
      </c>
      <c r="C18" t="s">
        <v>447</v>
      </c>
      <c r="D18">
        <v>-1</v>
      </c>
    </row>
    <row r="19" spans="1:4" x14ac:dyDescent="0.25">
      <c r="A19" t="s">
        <v>4</v>
      </c>
      <c r="B19" t="s">
        <v>582</v>
      </c>
      <c r="C19" t="s">
        <v>2156</v>
      </c>
      <c r="D19">
        <v>-2</v>
      </c>
    </row>
    <row r="20" spans="1:4" x14ac:dyDescent="0.25">
      <c r="A20" t="s">
        <v>4</v>
      </c>
      <c r="B20" t="s">
        <v>298</v>
      </c>
      <c r="C20" t="s">
        <v>2721</v>
      </c>
      <c r="D20">
        <v>0</v>
      </c>
    </row>
    <row r="21" spans="1:4" x14ac:dyDescent="0.25">
      <c r="A21" t="s">
        <v>40</v>
      </c>
      <c r="B21" t="s">
        <v>41</v>
      </c>
      <c r="C21" t="s">
        <v>791</v>
      </c>
      <c r="D21">
        <v>2</v>
      </c>
    </row>
    <row r="22" spans="1:4" x14ac:dyDescent="0.25">
      <c r="A22" t="s">
        <v>40</v>
      </c>
      <c r="B22" t="s">
        <v>932</v>
      </c>
      <c r="C22" t="s">
        <v>1120</v>
      </c>
      <c r="D22">
        <v>4</v>
      </c>
    </row>
    <row r="23" spans="1:4" x14ac:dyDescent="0.25">
      <c r="A23" t="s">
        <v>40</v>
      </c>
      <c r="B23" t="s">
        <v>2151</v>
      </c>
      <c r="C23" t="s">
        <v>1121</v>
      </c>
      <c r="D23">
        <v>2</v>
      </c>
    </row>
    <row r="24" spans="1:4" x14ac:dyDescent="0.25">
      <c r="A24" t="s">
        <v>40</v>
      </c>
      <c r="B24" t="s">
        <v>49</v>
      </c>
      <c r="C24" t="s">
        <v>4474</v>
      </c>
      <c r="D24">
        <v>0</v>
      </c>
    </row>
    <row r="25" spans="1:4" x14ac:dyDescent="0.25">
      <c r="A25" t="s">
        <v>40</v>
      </c>
      <c r="B25" t="s">
        <v>721</v>
      </c>
      <c r="C25" t="s">
        <v>455</v>
      </c>
      <c r="D25">
        <v>1</v>
      </c>
    </row>
    <row r="26" spans="1:4" x14ac:dyDescent="0.25">
      <c r="A26" t="s">
        <v>40</v>
      </c>
      <c r="B26" t="s">
        <v>723</v>
      </c>
      <c r="C26" t="s">
        <v>926</v>
      </c>
      <c r="D26">
        <v>3</v>
      </c>
    </row>
    <row r="27" spans="1:4" x14ac:dyDescent="0.25">
      <c r="A27" t="s">
        <v>40</v>
      </c>
      <c r="B27" t="s">
        <v>1754</v>
      </c>
      <c r="C27" t="s">
        <v>2124</v>
      </c>
      <c r="D27">
        <v>6</v>
      </c>
    </row>
    <row r="28" spans="1:4" x14ac:dyDescent="0.25">
      <c r="A28" t="s">
        <v>40</v>
      </c>
      <c r="B28" t="s">
        <v>256</v>
      </c>
      <c r="C28" t="s">
        <v>2561</v>
      </c>
      <c r="D28">
        <v>8</v>
      </c>
    </row>
    <row r="29" spans="1:4" x14ac:dyDescent="0.25">
      <c r="A29" t="s">
        <v>40</v>
      </c>
      <c r="B29" t="s">
        <v>726</v>
      </c>
      <c r="C29" t="s">
        <v>2931</v>
      </c>
      <c r="D29">
        <v>10</v>
      </c>
    </row>
    <row r="30" spans="1:4" x14ac:dyDescent="0.25">
      <c r="A30" t="s">
        <v>40</v>
      </c>
      <c r="B30" t="s">
        <v>1151</v>
      </c>
      <c r="C30" t="s">
        <v>1585</v>
      </c>
      <c r="D30">
        <v>7</v>
      </c>
    </row>
    <row r="31" spans="1:4" x14ac:dyDescent="0.25">
      <c r="A31" t="s">
        <v>40</v>
      </c>
      <c r="B31" t="s">
        <v>64</v>
      </c>
      <c r="C31" t="s">
        <v>222</v>
      </c>
      <c r="D31">
        <v>4</v>
      </c>
    </row>
    <row r="32" spans="1:4" x14ac:dyDescent="0.25">
      <c r="A32" t="s">
        <v>40</v>
      </c>
      <c r="B32" t="s">
        <v>702</v>
      </c>
      <c r="C32" t="s">
        <v>1443</v>
      </c>
      <c r="D32">
        <v>7</v>
      </c>
    </row>
    <row r="33" spans="1:4" x14ac:dyDescent="0.25">
      <c r="A33" t="s">
        <v>40</v>
      </c>
      <c r="B33" t="s">
        <v>1217</v>
      </c>
      <c r="C33" t="s">
        <v>1444</v>
      </c>
      <c r="D33">
        <v>5</v>
      </c>
    </row>
    <row r="34" spans="1:4" x14ac:dyDescent="0.25">
      <c r="A34" t="s">
        <v>40</v>
      </c>
      <c r="B34" t="s">
        <v>148</v>
      </c>
      <c r="C34" t="s">
        <v>2267</v>
      </c>
      <c r="D34">
        <v>3</v>
      </c>
    </row>
    <row r="35" spans="1:4" x14ac:dyDescent="0.25">
      <c r="A35" t="s">
        <v>40</v>
      </c>
      <c r="B35" t="s">
        <v>148</v>
      </c>
      <c r="C35" t="s">
        <v>728</v>
      </c>
      <c r="D35">
        <v>2</v>
      </c>
    </row>
    <row r="36" spans="1:4" x14ac:dyDescent="0.25">
      <c r="A36" t="s">
        <v>40</v>
      </c>
      <c r="B36" t="s">
        <v>898</v>
      </c>
      <c r="C36" t="s">
        <v>1216</v>
      </c>
      <c r="D36">
        <v>4</v>
      </c>
    </row>
    <row r="37" spans="1:4" x14ac:dyDescent="0.25">
      <c r="A37" t="s">
        <v>40</v>
      </c>
      <c r="B37" t="s">
        <v>483</v>
      </c>
      <c r="C37" t="s">
        <v>1590</v>
      </c>
      <c r="D37">
        <v>7</v>
      </c>
    </row>
    <row r="38" spans="1:4" x14ac:dyDescent="0.25">
      <c r="A38" t="s">
        <v>80</v>
      </c>
      <c r="B38" t="s">
        <v>329</v>
      </c>
      <c r="C38" t="s">
        <v>947</v>
      </c>
      <c r="D38">
        <v>10</v>
      </c>
    </row>
    <row r="39" spans="1:4" x14ac:dyDescent="0.25">
      <c r="A39" t="s">
        <v>80</v>
      </c>
      <c r="B39" t="s">
        <v>827</v>
      </c>
      <c r="C39" t="s">
        <v>4230</v>
      </c>
      <c r="D39">
        <v>12</v>
      </c>
    </row>
    <row r="40" spans="1:4" x14ac:dyDescent="0.25">
      <c r="A40" t="s">
        <v>80</v>
      </c>
      <c r="B40" t="s">
        <v>1280</v>
      </c>
      <c r="C40" t="s">
        <v>3437</v>
      </c>
      <c r="D40">
        <v>14</v>
      </c>
    </row>
    <row r="41" spans="1:4" x14ac:dyDescent="0.25">
      <c r="A41" t="s">
        <v>80</v>
      </c>
      <c r="B41" t="s">
        <v>1771</v>
      </c>
      <c r="C41" t="s">
        <v>4027</v>
      </c>
      <c r="D41">
        <v>15</v>
      </c>
    </row>
    <row r="42" spans="1:4" x14ac:dyDescent="0.25">
      <c r="A42" t="s">
        <v>80</v>
      </c>
      <c r="B42" t="s">
        <v>1771</v>
      </c>
      <c r="C42" t="s">
        <v>4475</v>
      </c>
      <c r="D42">
        <v>16</v>
      </c>
    </row>
    <row r="43" spans="1:4" x14ac:dyDescent="0.25">
      <c r="A43" t="s">
        <v>80</v>
      </c>
      <c r="B43" t="s">
        <v>1826</v>
      </c>
      <c r="C43" t="s">
        <v>2817</v>
      </c>
      <c r="D43">
        <v>15</v>
      </c>
    </row>
    <row r="44" spans="1:4" x14ac:dyDescent="0.25">
      <c r="A44" t="s">
        <v>80</v>
      </c>
      <c r="B44" t="s">
        <v>1826</v>
      </c>
      <c r="C44" t="s">
        <v>951</v>
      </c>
      <c r="D44">
        <v>14</v>
      </c>
    </row>
    <row r="45" spans="1:4" x14ac:dyDescent="0.25">
      <c r="A45" t="s">
        <v>80</v>
      </c>
      <c r="B45" t="s">
        <v>1723</v>
      </c>
      <c r="C45" t="s">
        <v>3684</v>
      </c>
      <c r="D45">
        <v>13</v>
      </c>
    </row>
    <row r="46" spans="1:4" x14ac:dyDescent="0.25">
      <c r="A46" t="s">
        <v>80</v>
      </c>
      <c r="B46" t="s">
        <v>1723</v>
      </c>
      <c r="C46" t="s">
        <v>2785</v>
      </c>
      <c r="D46">
        <v>12</v>
      </c>
    </row>
    <row r="47" spans="1:4" x14ac:dyDescent="0.25">
      <c r="A47" t="s">
        <v>80</v>
      </c>
      <c r="B47" t="s">
        <v>215</v>
      </c>
      <c r="C47" t="s">
        <v>1596</v>
      </c>
      <c r="D47">
        <v>10</v>
      </c>
    </row>
    <row r="48" spans="1:4" x14ac:dyDescent="0.25">
      <c r="A48" t="s">
        <v>80</v>
      </c>
      <c r="B48" t="s">
        <v>217</v>
      </c>
      <c r="C48" t="s">
        <v>2786</v>
      </c>
      <c r="D48">
        <v>11</v>
      </c>
    </row>
    <row r="49" spans="1:4" x14ac:dyDescent="0.25">
      <c r="A49" t="s">
        <v>80</v>
      </c>
      <c r="B49" t="s">
        <v>2311</v>
      </c>
      <c r="C49" t="s">
        <v>1457</v>
      </c>
      <c r="D49">
        <v>14</v>
      </c>
    </row>
    <row r="50" spans="1:4" x14ac:dyDescent="0.25">
      <c r="A50" t="s">
        <v>80</v>
      </c>
      <c r="B50" t="s">
        <v>1442</v>
      </c>
      <c r="C50" t="s">
        <v>3129</v>
      </c>
      <c r="D50">
        <v>16</v>
      </c>
    </row>
    <row r="51" spans="1:4" x14ac:dyDescent="0.25">
      <c r="A51" t="s">
        <v>80</v>
      </c>
      <c r="B51" t="s">
        <v>1442</v>
      </c>
      <c r="C51" t="s">
        <v>4392</v>
      </c>
      <c r="D51">
        <v>17</v>
      </c>
    </row>
    <row r="52" spans="1:4" x14ac:dyDescent="0.25">
      <c r="A52" t="s">
        <v>80</v>
      </c>
      <c r="B52" t="s">
        <v>2120</v>
      </c>
      <c r="C52" t="s">
        <v>4476</v>
      </c>
      <c r="D52">
        <v>19</v>
      </c>
    </row>
    <row r="53" spans="1:4" x14ac:dyDescent="0.25">
      <c r="A53" t="s">
        <v>80</v>
      </c>
      <c r="B53" t="s">
        <v>546</v>
      </c>
      <c r="C53" t="s">
        <v>4477</v>
      </c>
      <c r="D53">
        <v>22</v>
      </c>
    </row>
    <row r="54" spans="1:4" x14ac:dyDescent="0.25">
      <c r="A54" t="s">
        <v>80</v>
      </c>
      <c r="B54" t="s">
        <v>444</v>
      </c>
      <c r="C54" t="s">
        <v>3132</v>
      </c>
      <c r="D54">
        <v>19</v>
      </c>
    </row>
    <row r="55" spans="1:4" x14ac:dyDescent="0.25">
      <c r="A55" t="s">
        <v>80</v>
      </c>
      <c r="B55" t="s">
        <v>1398</v>
      </c>
      <c r="C55" t="s">
        <v>4478</v>
      </c>
      <c r="D55">
        <v>21</v>
      </c>
    </row>
    <row r="56" spans="1:4" x14ac:dyDescent="0.25">
      <c r="A56" t="s">
        <v>80</v>
      </c>
      <c r="B56" t="s">
        <v>2317</v>
      </c>
      <c r="C56" t="s">
        <v>2368</v>
      </c>
      <c r="D56">
        <v>19</v>
      </c>
    </row>
    <row r="57" spans="1:4" x14ac:dyDescent="0.25">
      <c r="A57" t="s">
        <v>80</v>
      </c>
      <c r="B57" t="s">
        <v>1237</v>
      </c>
      <c r="C57" t="s">
        <v>2825</v>
      </c>
      <c r="D57">
        <v>21</v>
      </c>
    </row>
    <row r="58" spans="1:4" x14ac:dyDescent="0.25">
      <c r="A58" t="s">
        <v>80</v>
      </c>
      <c r="B58" t="s">
        <v>36</v>
      </c>
      <c r="C58" t="s">
        <v>2370</v>
      </c>
      <c r="D58">
        <v>19</v>
      </c>
    </row>
    <row r="59" spans="1:4" x14ac:dyDescent="0.25">
      <c r="A59" t="s">
        <v>80</v>
      </c>
      <c r="B59" t="s">
        <v>559</v>
      </c>
      <c r="C59" t="s">
        <v>4479</v>
      </c>
      <c r="D59">
        <v>22</v>
      </c>
    </row>
    <row r="60" spans="1:4" x14ac:dyDescent="0.25">
      <c r="A60" t="s">
        <v>123</v>
      </c>
      <c r="B60" t="s">
        <v>453</v>
      </c>
      <c r="C60" t="s">
        <v>3135</v>
      </c>
      <c r="D60">
        <v>21</v>
      </c>
    </row>
    <row r="61" spans="1:4" x14ac:dyDescent="0.25">
      <c r="A61" t="s">
        <v>123</v>
      </c>
      <c r="B61" t="s">
        <v>453</v>
      </c>
      <c r="C61" t="s">
        <v>3136</v>
      </c>
      <c r="D61">
        <v>20</v>
      </c>
    </row>
    <row r="62" spans="1:4" x14ac:dyDescent="0.25">
      <c r="A62" t="s">
        <v>123</v>
      </c>
      <c r="B62" t="s">
        <v>271</v>
      </c>
      <c r="C62" t="s">
        <v>971</v>
      </c>
      <c r="D62">
        <v>19</v>
      </c>
    </row>
    <row r="63" spans="1:4" x14ac:dyDescent="0.25">
      <c r="A63" t="s">
        <v>123</v>
      </c>
      <c r="B63" t="s">
        <v>45</v>
      </c>
      <c r="C63" t="s">
        <v>4017</v>
      </c>
      <c r="D63">
        <v>18</v>
      </c>
    </row>
    <row r="64" spans="1:4" x14ac:dyDescent="0.25">
      <c r="A64" t="s">
        <v>123</v>
      </c>
      <c r="B64" t="s">
        <v>45</v>
      </c>
      <c r="C64" t="s">
        <v>2940</v>
      </c>
      <c r="D64">
        <v>17</v>
      </c>
    </row>
    <row r="65" spans="1:4" x14ac:dyDescent="0.25">
      <c r="A65" t="s">
        <v>123</v>
      </c>
      <c r="B65" t="s">
        <v>1789</v>
      </c>
      <c r="C65" t="s">
        <v>3183</v>
      </c>
      <c r="D65">
        <v>20</v>
      </c>
    </row>
    <row r="66" spans="1:4" x14ac:dyDescent="0.25">
      <c r="A66" t="s">
        <v>123</v>
      </c>
      <c r="B66" t="s">
        <v>1768</v>
      </c>
      <c r="C66" t="s">
        <v>4019</v>
      </c>
      <c r="D66">
        <v>19</v>
      </c>
    </row>
    <row r="67" spans="1:4" x14ac:dyDescent="0.25">
      <c r="A67" t="s">
        <v>123</v>
      </c>
      <c r="B67" t="s">
        <v>11</v>
      </c>
      <c r="C67" t="s">
        <v>3184</v>
      </c>
      <c r="D67">
        <v>17</v>
      </c>
    </row>
    <row r="68" spans="1:4" x14ac:dyDescent="0.25">
      <c r="A68" t="s">
        <v>123</v>
      </c>
      <c r="B68" t="s">
        <v>332</v>
      </c>
      <c r="C68" t="s">
        <v>2376</v>
      </c>
      <c r="D68">
        <v>18</v>
      </c>
    </row>
    <row r="69" spans="1:4" x14ac:dyDescent="0.25">
      <c r="A69" t="s">
        <v>123</v>
      </c>
      <c r="B69" t="s">
        <v>332</v>
      </c>
      <c r="C69" t="s">
        <v>4073</v>
      </c>
      <c r="D69">
        <v>19</v>
      </c>
    </row>
    <row r="70" spans="1:4" x14ac:dyDescent="0.25">
      <c r="A70" t="s">
        <v>123</v>
      </c>
      <c r="B70" t="s">
        <v>643</v>
      </c>
      <c r="C70" t="s">
        <v>2945</v>
      </c>
      <c r="D70">
        <v>18</v>
      </c>
    </row>
    <row r="71" spans="1:4" x14ac:dyDescent="0.25">
      <c r="A71" t="s">
        <v>123</v>
      </c>
      <c r="B71" t="s">
        <v>643</v>
      </c>
      <c r="C71" t="s">
        <v>3666</v>
      </c>
      <c r="D71">
        <v>17</v>
      </c>
    </row>
    <row r="72" spans="1:4" x14ac:dyDescent="0.25">
      <c r="A72" t="s">
        <v>123</v>
      </c>
      <c r="B72" t="s">
        <v>1011</v>
      </c>
      <c r="C72" t="s">
        <v>2886</v>
      </c>
      <c r="D72">
        <v>16</v>
      </c>
    </row>
    <row r="73" spans="1:4" x14ac:dyDescent="0.25">
      <c r="A73" t="s">
        <v>123</v>
      </c>
      <c r="B73" t="s">
        <v>937</v>
      </c>
      <c r="C73" t="s">
        <v>2887</v>
      </c>
      <c r="D73">
        <v>14</v>
      </c>
    </row>
    <row r="74" spans="1:4" x14ac:dyDescent="0.25">
      <c r="A74" t="s">
        <v>123</v>
      </c>
      <c r="B74" t="s">
        <v>916</v>
      </c>
      <c r="C74" t="s">
        <v>4007</v>
      </c>
      <c r="D74">
        <v>17</v>
      </c>
    </row>
    <row r="75" spans="1:4" x14ac:dyDescent="0.25">
      <c r="A75" t="s">
        <v>123</v>
      </c>
      <c r="B75" t="s">
        <v>1775</v>
      </c>
      <c r="C75" t="s">
        <v>4480</v>
      </c>
      <c r="D75">
        <v>19</v>
      </c>
    </row>
    <row r="76" spans="1:4" x14ac:dyDescent="0.25">
      <c r="A76" t="s">
        <v>123</v>
      </c>
      <c r="B76" t="s">
        <v>539</v>
      </c>
      <c r="C76" t="s">
        <v>3354</v>
      </c>
      <c r="D76">
        <v>21</v>
      </c>
    </row>
    <row r="77" spans="1:4" x14ac:dyDescent="0.25">
      <c r="A77" t="s">
        <v>123</v>
      </c>
      <c r="B77" t="s">
        <v>749</v>
      </c>
      <c r="C77" t="s">
        <v>4063</v>
      </c>
      <c r="D77">
        <v>22</v>
      </c>
    </row>
    <row r="78" spans="1:4" x14ac:dyDescent="0.25">
      <c r="A78" t="s">
        <v>123</v>
      </c>
      <c r="B78" t="s">
        <v>1739</v>
      </c>
      <c r="C78" t="s">
        <v>3387</v>
      </c>
      <c r="D78">
        <v>20</v>
      </c>
    </row>
    <row r="79" spans="1:4" x14ac:dyDescent="0.25">
      <c r="A79" t="s">
        <v>123</v>
      </c>
      <c r="B79" t="s">
        <v>815</v>
      </c>
      <c r="C79" t="s">
        <v>4231</v>
      </c>
      <c r="D79">
        <v>22</v>
      </c>
    </row>
    <row r="80" spans="1:4" x14ac:dyDescent="0.25">
      <c r="A80" t="s">
        <v>123</v>
      </c>
      <c r="B80" t="s">
        <v>1050</v>
      </c>
      <c r="C80" t="s">
        <v>3150</v>
      </c>
      <c r="D80">
        <v>24</v>
      </c>
    </row>
    <row r="81" spans="1:4" x14ac:dyDescent="0.25">
      <c r="A81" t="s">
        <v>123</v>
      </c>
      <c r="B81" t="s">
        <v>900</v>
      </c>
      <c r="C81" t="s">
        <v>2031</v>
      </c>
      <c r="D81">
        <v>23</v>
      </c>
    </row>
    <row r="83" spans="1:4" x14ac:dyDescent="0.25">
      <c r="A83" s="2" t="s">
        <v>157</v>
      </c>
    </row>
    <row r="84" spans="1:4" x14ac:dyDescent="0.25">
      <c r="A84" t="s">
        <v>158</v>
      </c>
      <c r="D84">
        <f>AVERAGE(D2:D81)</f>
        <v>10.4125</v>
      </c>
    </row>
    <row r="85" spans="1:4" x14ac:dyDescent="0.25">
      <c r="A85" t="s">
        <v>159</v>
      </c>
      <c r="D85">
        <f>MAX(D2:D81)</f>
        <v>24</v>
      </c>
    </row>
    <row r="86" spans="1:4" x14ac:dyDescent="0.25">
      <c r="A86" t="s">
        <v>160</v>
      </c>
      <c r="D86">
        <f>MIN(D2:D81)</f>
        <v>-5</v>
      </c>
    </row>
    <row r="87" spans="1:4" x14ac:dyDescent="0.25">
      <c r="A87" t="s">
        <v>161</v>
      </c>
      <c r="D87">
        <f>COUNTIF(D2:D81,"&gt;0")</f>
        <v>64</v>
      </c>
    </row>
    <row r="88" spans="1:4" x14ac:dyDescent="0.25">
      <c r="A88" t="s">
        <v>162</v>
      </c>
      <c r="D88">
        <f>COUNTIF(D2:D81,"=0")</f>
        <v>7</v>
      </c>
    </row>
    <row r="89" spans="1:4" x14ac:dyDescent="0.25">
      <c r="A89" t="s">
        <v>1740</v>
      </c>
      <c r="D89">
        <f>COUNTIF(D2:D81,"&lt;0")</f>
        <v>9</v>
      </c>
    </row>
    <row r="91" spans="1:4" x14ac:dyDescent="0.25">
      <c r="A91" s="2" t="s">
        <v>164</v>
      </c>
    </row>
    <row r="92" spans="1:4" x14ac:dyDescent="0.25">
      <c r="A92" t="s">
        <v>165</v>
      </c>
      <c r="D92">
        <f>AVERAGE(D2,D3,D4,D5,D6,D7,D8,D9,D10,D11,D12,D13,D14,D15,D16,D17,D18,D19,D20)</f>
        <v>-0.73684210526315785</v>
      </c>
    </row>
    <row r="93" spans="1:4" x14ac:dyDescent="0.25">
      <c r="A93" t="s">
        <v>166</v>
      </c>
      <c r="D93">
        <f>AVERAGE(D21,D22,D23,D24,D25,D26,D27,D28,D29,D30,D31,D32,D33,D34,D35,D36,D37)</f>
        <v>4.4117647058823533</v>
      </c>
    </row>
    <row r="94" spans="1:4" x14ac:dyDescent="0.25">
      <c r="A94" t="s">
        <v>167</v>
      </c>
      <c r="D94">
        <f>AVERAGE(D38,D39,D40,D41,D42,D43,D44,D45,D46,D47,D48,D49,D50,D51,D52,D53,D54,D55,D56,D57,D58,D59)</f>
        <v>15.954545454545455</v>
      </c>
    </row>
    <row r="95" spans="1:4" x14ac:dyDescent="0.25">
      <c r="A95" t="s">
        <v>168</v>
      </c>
      <c r="D95">
        <f>AVERAGE(D60,D61,D62,D63,D64,D65,D66,D67,D68,D69,D70,D71,D72,D73,D74,D75,D76,D77,D78,D79,D80,D81)</f>
        <v>19.136363636363637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11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1634</v>
      </c>
    </row>
    <row r="2" spans="1:4" x14ac:dyDescent="0.25">
      <c r="A2" t="s">
        <v>4</v>
      </c>
      <c r="B2" t="s">
        <v>453</v>
      </c>
      <c r="C2" t="s">
        <v>6</v>
      </c>
      <c r="D2">
        <v>2</v>
      </c>
    </row>
    <row r="3" spans="1:4" x14ac:dyDescent="0.25">
      <c r="A3" t="s">
        <v>4</v>
      </c>
      <c r="B3" t="s">
        <v>239</v>
      </c>
      <c r="C3" t="s">
        <v>8</v>
      </c>
      <c r="D3">
        <v>0</v>
      </c>
    </row>
    <row r="4" spans="1:4" x14ac:dyDescent="0.25">
      <c r="A4" t="s">
        <v>4</v>
      </c>
      <c r="B4" t="s">
        <v>1117</v>
      </c>
      <c r="C4" t="s">
        <v>174</v>
      </c>
      <c r="D4">
        <v>1</v>
      </c>
    </row>
    <row r="5" spans="1:4" x14ac:dyDescent="0.25">
      <c r="A5" t="s">
        <v>4</v>
      </c>
      <c r="B5" t="s">
        <v>1877</v>
      </c>
      <c r="C5" t="s">
        <v>910</v>
      </c>
      <c r="D5">
        <v>-2</v>
      </c>
    </row>
    <row r="6" spans="1:4" x14ac:dyDescent="0.25">
      <c r="A6" t="s">
        <v>4</v>
      </c>
      <c r="B6" t="s">
        <v>398</v>
      </c>
      <c r="C6" t="s">
        <v>1494</v>
      </c>
      <c r="D6">
        <v>-3</v>
      </c>
    </row>
    <row r="7" spans="1:4" x14ac:dyDescent="0.25">
      <c r="A7" t="s">
        <v>4</v>
      </c>
      <c r="B7" t="s">
        <v>1280</v>
      </c>
      <c r="C7" t="s">
        <v>2201</v>
      </c>
      <c r="D7">
        <v>-6</v>
      </c>
    </row>
    <row r="8" spans="1:4" x14ac:dyDescent="0.25">
      <c r="A8" t="s">
        <v>4</v>
      </c>
      <c r="B8" t="s">
        <v>250</v>
      </c>
      <c r="C8" t="s">
        <v>4066</v>
      </c>
      <c r="D8">
        <v>-8</v>
      </c>
    </row>
    <row r="9" spans="1:4" x14ac:dyDescent="0.25">
      <c r="A9" t="s">
        <v>4</v>
      </c>
      <c r="B9" t="s">
        <v>13</v>
      </c>
      <c r="C9" t="s">
        <v>4481</v>
      </c>
      <c r="D9">
        <v>-11</v>
      </c>
    </row>
    <row r="10" spans="1:4" x14ac:dyDescent="0.25">
      <c r="A10" t="s">
        <v>4</v>
      </c>
      <c r="B10" t="s">
        <v>2080</v>
      </c>
      <c r="C10" t="s">
        <v>4162</v>
      </c>
      <c r="D10">
        <v>-8</v>
      </c>
    </row>
    <row r="11" spans="1:4" x14ac:dyDescent="0.25">
      <c r="A11" t="s">
        <v>4</v>
      </c>
      <c r="B11" t="s">
        <v>594</v>
      </c>
      <c r="C11" t="s">
        <v>4001</v>
      </c>
      <c r="D11">
        <v>-7</v>
      </c>
    </row>
    <row r="12" spans="1:4" x14ac:dyDescent="0.25">
      <c r="A12" t="s">
        <v>4</v>
      </c>
      <c r="B12" t="s">
        <v>594</v>
      </c>
      <c r="C12" t="s">
        <v>3757</v>
      </c>
      <c r="D12">
        <v>-6</v>
      </c>
    </row>
    <row r="13" spans="1:4" x14ac:dyDescent="0.25">
      <c r="A13" t="s">
        <v>4</v>
      </c>
      <c r="B13" t="s">
        <v>1090</v>
      </c>
      <c r="C13" t="s">
        <v>4418</v>
      </c>
      <c r="D13">
        <v>-8</v>
      </c>
    </row>
    <row r="14" spans="1:4" x14ac:dyDescent="0.25">
      <c r="A14" t="s">
        <v>4</v>
      </c>
      <c r="B14" t="s">
        <v>1829</v>
      </c>
      <c r="C14" t="s">
        <v>2813</v>
      </c>
      <c r="D14">
        <v>-5</v>
      </c>
    </row>
    <row r="15" spans="1:4" x14ac:dyDescent="0.25">
      <c r="A15" t="s">
        <v>4</v>
      </c>
      <c r="B15" t="s">
        <v>223</v>
      </c>
      <c r="C15" t="s">
        <v>3553</v>
      </c>
      <c r="D15">
        <v>-7</v>
      </c>
    </row>
    <row r="16" spans="1:4" x14ac:dyDescent="0.25">
      <c r="A16" t="s">
        <v>4</v>
      </c>
      <c r="B16" t="s">
        <v>108</v>
      </c>
      <c r="C16" t="s">
        <v>578</v>
      </c>
      <c r="D16">
        <v>-5</v>
      </c>
    </row>
    <row r="17" spans="1:4" x14ac:dyDescent="0.25">
      <c r="A17" t="s">
        <v>4</v>
      </c>
      <c r="B17" t="s">
        <v>667</v>
      </c>
      <c r="C17" t="s">
        <v>3613</v>
      </c>
      <c r="D17">
        <v>-7</v>
      </c>
    </row>
    <row r="18" spans="1:4" x14ac:dyDescent="0.25">
      <c r="A18" t="s">
        <v>4</v>
      </c>
      <c r="B18" t="s">
        <v>876</v>
      </c>
      <c r="C18" t="s">
        <v>3585</v>
      </c>
      <c r="D18">
        <v>-9</v>
      </c>
    </row>
    <row r="19" spans="1:4" x14ac:dyDescent="0.25">
      <c r="A19" t="s">
        <v>4</v>
      </c>
      <c r="B19" t="s">
        <v>1202</v>
      </c>
      <c r="C19" t="s">
        <v>2432</v>
      </c>
      <c r="D19">
        <v>-7</v>
      </c>
    </row>
    <row r="20" spans="1:4" x14ac:dyDescent="0.25">
      <c r="A20" t="s">
        <v>4</v>
      </c>
      <c r="B20" t="s">
        <v>1177</v>
      </c>
      <c r="C20" t="s">
        <v>2327</v>
      </c>
      <c r="D20">
        <v>-4</v>
      </c>
    </row>
    <row r="21" spans="1:4" x14ac:dyDescent="0.25">
      <c r="A21" t="s">
        <v>4</v>
      </c>
      <c r="B21" t="s">
        <v>505</v>
      </c>
      <c r="C21" t="s">
        <v>2206</v>
      </c>
      <c r="D21">
        <v>-3</v>
      </c>
    </row>
    <row r="22" spans="1:4" x14ac:dyDescent="0.25">
      <c r="A22" t="s">
        <v>4</v>
      </c>
      <c r="B22" t="s">
        <v>74</v>
      </c>
      <c r="C22" t="s">
        <v>1710</v>
      </c>
      <c r="D22">
        <v>-6</v>
      </c>
    </row>
    <row r="23" spans="1:4" x14ac:dyDescent="0.25">
      <c r="A23" t="s">
        <v>4</v>
      </c>
      <c r="B23" t="s">
        <v>301</v>
      </c>
      <c r="C23" t="s">
        <v>3705</v>
      </c>
      <c r="D23">
        <v>-5</v>
      </c>
    </row>
    <row r="24" spans="1:4" x14ac:dyDescent="0.25">
      <c r="A24" t="s">
        <v>4</v>
      </c>
      <c r="B24" t="s">
        <v>301</v>
      </c>
      <c r="C24" t="s">
        <v>2329</v>
      </c>
      <c r="D24">
        <v>-4</v>
      </c>
    </row>
    <row r="25" spans="1:4" x14ac:dyDescent="0.25">
      <c r="A25" t="s">
        <v>4</v>
      </c>
      <c r="B25" t="s">
        <v>38</v>
      </c>
      <c r="C25" t="s">
        <v>3832</v>
      </c>
      <c r="D25">
        <v>-7</v>
      </c>
    </row>
    <row r="26" spans="1:4" x14ac:dyDescent="0.25">
      <c r="A26" t="s">
        <v>40</v>
      </c>
      <c r="B26" t="s">
        <v>5</v>
      </c>
      <c r="C26" t="s">
        <v>3833</v>
      </c>
      <c r="D26">
        <v>-5</v>
      </c>
    </row>
    <row r="27" spans="1:4" x14ac:dyDescent="0.25">
      <c r="A27" t="s">
        <v>40</v>
      </c>
      <c r="B27" t="s">
        <v>2151</v>
      </c>
      <c r="C27" t="s">
        <v>2207</v>
      </c>
      <c r="D27">
        <v>-4</v>
      </c>
    </row>
    <row r="28" spans="1:4" x14ac:dyDescent="0.25">
      <c r="A28" t="s">
        <v>40</v>
      </c>
      <c r="B28" t="s">
        <v>719</v>
      </c>
      <c r="C28" t="s">
        <v>4222</v>
      </c>
      <c r="D28">
        <v>-6</v>
      </c>
    </row>
    <row r="29" spans="1:4" x14ac:dyDescent="0.25">
      <c r="A29" t="s">
        <v>40</v>
      </c>
      <c r="B29" t="s">
        <v>2405</v>
      </c>
      <c r="C29" t="s">
        <v>461</v>
      </c>
      <c r="D29">
        <v>-5</v>
      </c>
    </row>
    <row r="30" spans="1:4" x14ac:dyDescent="0.25">
      <c r="A30" t="s">
        <v>40</v>
      </c>
      <c r="B30" t="s">
        <v>208</v>
      </c>
      <c r="C30" t="s">
        <v>463</v>
      </c>
      <c r="D30">
        <v>-2</v>
      </c>
    </row>
    <row r="31" spans="1:4" x14ac:dyDescent="0.25">
      <c r="A31" t="s">
        <v>40</v>
      </c>
      <c r="B31" t="s">
        <v>1836</v>
      </c>
      <c r="C31" t="s">
        <v>1128</v>
      </c>
      <c r="D31">
        <v>1</v>
      </c>
    </row>
    <row r="32" spans="1:4" x14ac:dyDescent="0.25">
      <c r="A32" t="s">
        <v>40</v>
      </c>
      <c r="B32" t="s">
        <v>645</v>
      </c>
      <c r="C32" t="s">
        <v>2127</v>
      </c>
      <c r="D32">
        <v>-1</v>
      </c>
    </row>
    <row r="33" spans="1:4" x14ac:dyDescent="0.25">
      <c r="A33" t="s">
        <v>40</v>
      </c>
      <c r="B33" t="s">
        <v>572</v>
      </c>
      <c r="C33" t="s">
        <v>468</v>
      </c>
      <c r="D33">
        <v>2</v>
      </c>
    </row>
    <row r="34" spans="1:4" x14ac:dyDescent="0.25">
      <c r="A34" t="s">
        <v>40</v>
      </c>
      <c r="B34" t="s">
        <v>256</v>
      </c>
      <c r="C34" t="s">
        <v>470</v>
      </c>
      <c r="D34">
        <v>0</v>
      </c>
    </row>
    <row r="35" spans="1:4" x14ac:dyDescent="0.25">
      <c r="A35" t="s">
        <v>40</v>
      </c>
      <c r="B35" t="s">
        <v>215</v>
      </c>
      <c r="C35" t="s">
        <v>230</v>
      </c>
      <c r="D35">
        <v>2</v>
      </c>
    </row>
    <row r="36" spans="1:4" x14ac:dyDescent="0.25">
      <c r="A36" t="s">
        <v>40</v>
      </c>
      <c r="B36" t="s">
        <v>1598</v>
      </c>
      <c r="C36" t="s">
        <v>232</v>
      </c>
      <c r="D36">
        <v>0</v>
      </c>
    </row>
    <row r="37" spans="1:4" x14ac:dyDescent="0.25">
      <c r="A37" t="s">
        <v>40</v>
      </c>
      <c r="B37" t="s">
        <v>740</v>
      </c>
      <c r="C37" t="s">
        <v>356</v>
      </c>
      <c r="D37">
        <v>3</v>
      </c>
    </row>
    <row r="38" spans="1:4" x14ac:dyDescent="0.25">
      <c r="A38" t="s">
        <v>40</v>
      </c>
      <c r="B38" t="s">
        <v>874</v>
      </c>
      <c r="C38" t="s">
        <v>1220</v>
      </c>
      <c r="D38">
        <v>2</v>
      </c>
    </row>
    <row r="39" spans="1:4" x14ac:dyDescent="0.25">
      <c r="A39" t="s">
        <v>40</v>
      </c>
      <c r="B39" t="s">
        <v>874</v>
      </c>
      <c r="C39" t="s">
        <v>358</v>
      </c>
      <c r="D39">
        <v>1</v>
      </c>
    </row>
    <row r="40" spans="1:4" x14ac:dyDescent="0.25">
      <c r="A40" t="s">
        <v>40</v>
      </c>
      <c r="B40" t="s">
        <v>1231</v>
      </c>
      <c r="C40" t="s">
        <v>1759</v>
      </c>
      <c r="D40">
        <v>2</v>
      </c>
    </row>
    <row r="41" spans="1:4" x14ac:dyDescent="0.25">
      <c r="A41" t="s">
        <v>40</v>
      </c>
      <c r="B41" t="s">
        <v>1231</v>
      </c>
      <c r="C41" t="s">
        <v>360</v>
      </c>
      <c r="D41">
        <v>3</v>
      </c>
    </row>
    <row r="42" spans="1:4" x14ac:dyDescent="0.25">
      <c r="A42" t="s">
        <v>40</v>
      </c>
      <c r="B42" t="s">
        <v>887</v>
      </c>
      <c r="C42" t="s">
        <v>480</v>
      </c>
      <c r="D42">
        <v>0</v>
      </c>
    </row>
    <row r="43" spans="1:4" x14ac:dyDescent="0.25">
      <c r="A43" t="s">
        <v>40</v>
      </c>
      <c r="B43" t="s">
        <v>378</v>
      </c>
      <c r="C43" t="s">
        <v>2307</v>
      </c>
      <c r="D43">
        <v>2</v>
      </c>
    </row>
    <row r="44" spans="1:4" x14ac:dyDescent="0.25">
      <c r="A44" t="s">
        <v>40</v>
      </c>
      <c r="B44" t="s">
        <v>579</v>
      </c>
      <c r="C44" t="s">
        <v>2597</v>
      </c>
      <c r="D44">
        <v>4</v>
      </c>
    </row>
    <row r="45" spans="1:4" x14ac:dyDescent="0.25">
      <c r="A45" t="s">
        <v>40</v>
      </c>
      <c r="B45" t="s">
        <v>475</v>
      </c>
      <c r="C45" t="s">
        <v>736</v>
      </c>
      <c r="D45">
        <v>1</v>
      </c>
    </row>
    <row r="46" spans="1:4" x14ac:dyDescent="0.25">
      <c r="A46" t="s">
        <v>40</v>
      </c>
      <c r="B46" t="s">
        <v>2317</v>
      </c>
      <c r="C46" t="s">
        <v>2309</v>
      </c>
      <c r="D46">
        <v>2</v>
      </c>
    </row>
    <row r="47" spans="1:4" x14ac:dyDescent="0.25">
      <c r="A47" t="s">
        <v>40</v>
      </c>
      <c r="B47" t="s">
        <v>2317</v>
      </c>
      <c r="C47" t="s">
        <v>369</v>
      </c>
      <c r="D47">
        <v>3</v>
      </c>
    </row>
    <row r="48" spans="1:4" x14ac:dyDescent="0.25">
      <c r="A48" t="s">
        <v>40</v>
      </c>
      <c r="B48" t="s">
        <v>1177</v>
      </c>
      <c r="C48" t="s">
        <v>371</v>
      </c>
      <c r="D48">
        <v>2</v>
      </c>
    </row>
    <row r="49" spans="1:4" x14ac:dyDescent="0.25">
      <c r="A49" t="s">
        <v>40</v>
      </c>
      <c r="B49" t="s">
        <v>1177</v>
      </c>
      <c r="C49" t="s">
        <v>372</v>
      </c>
      <c r="D49">
        <v>1</v>
      </c>
    </row>
    <row r="50" spans="1:4" x14ac:dyDescent="0.25">
      <c r="A50" t="s">
        <v>40</v>
      </c>
      <c r="B50" t="s">
        <v>1484</v>
      </c>
      <c r="C50" t="s">
        <v>3975</v>
      </c>
      <c r="D50">
        <v>0</v>
      </c>
    </row>
    <row r="51" spans="1:4" x14ac:dyDescent="0.25">
      <c r="A51" t="s">
        <v>40</v>
      </c>
      <c r="B51" t="s">
        <v>1484</v>
      </c>
      <c r="C51" t="s">
        <v>258</v>
      </c>
      <c r="D51">
        <v>-1</v>
      </c>
    </row>
    <row r="52" spans="1:4" x14ac:dyDescent="0.25">
      <c r="A52" t="s">
        <v>40</v>
      </c>
      <c r="B52" t="s">
        <v>552</v>
      </c>
      <c r="C52" t="s">
        <v>2490</v>
      </c>
      <c r="D52">
        <v>0</v>
      </c>
    </row>
    <row r="53" spans="1:4" x14ac:dyDescent="0.25">
      <c r="A53" t="s">
        <v>40</v>
      </c>
      <c r="B53" t="s">
        <v>552</v>
      </c>
      <c r="C53" t="s">
        <v>375</v>
      </c>
      <c r="D53">
        <v>1</v>
      </c>
    </row>
    <row r="54" spans="1:4" x14ac:dyDescent="0.25">
      <c r="A54" t="s">
        <v>40</v>
      </c>
      <c r="B54" t="s">
        <v>346</v>
      </c>
      <c r="C54" t="s">
        <v>262</v>
      </c>
      <c r="D54">
        <v>-1</v>
      </c>
    </row>
    <row r="55" spans="1:4" x14ac:dyDescent="0.25">
      <c r="A55" t="s">
        <v>40</v>
      </c>
      <c r="B55" t="s">
        <v>74</v>
      </c>
      <c r="C55" t="s">
        <v>1834</v>
      </c>
      <c r="D55">
        <v>2</v>
      </c>
    </row>
    <row r="56" spans="1:4" x14ac:dyDescent="0.25">
      <c r="A56" t="s">
        <v>40</v>
      </c>
      <c r="B56" t="s">
        <v>1733</v>
      </c>
      <c r="C56" t="s">
        <v>748</v>
      </c>
      <c r="D56">
        <v>0</v>
      </c>
    </row>
    <row r="57" spans="1:4" x14ac:dyDescent="0.25">
      <c r="A57" t="s">
        <v>40</v>
      </c>
      <c r="B57" t="s">
        <v>235</v>
      </c>
      <c r="C57" t="s">
        <v>1731</v>
      </c>
      <c r="D57">
        <v>2</v>
      </c>
    </row>
    <row r="58" spans="1:4" x14ac:dyDescent="0.25">
      <c r="A58" t="s">
        <v>40</v>
      </c>
      <c r="B58" t="s">
        <v>78</v>
      </c>
      <c r="C58" t="s">
        <v>1732</v>
      </c>
      <c r="D58">
        <v>0</v>
      </c>
    </row>
    <row r="59" spans="1:4" x14ac:dyDescent="0.25">
      <c r="A59" t="s">
        <v>40</v>
      </c>
      <c r="B59" t="s">
        <v>817</v>
      </c>
      <c r="C59" t="s">
        <v>751</v>
      </c>
      <c r="D59">
        <v>-1</v>
      </c>
    </row>
    <row r="60" spans="1:4" x14ac:dyDescent="0.25">
      <c r="A60" t="s">
        <v>80</v>
      </c>
      <c r="B60" t="s">
        <v>1022</v>
      </c>
      <c r="C60" t="s">
        <v>387</v>
      </c>
      <c r="D60">
        <v>2</v>
      </c>
    </row>
    <row r="61" spans="1:4" x14ac:dyDescent="0.25">
      <c r="A61" t="s">
        <v>80</v>
      </c>
      <c r="B61" t="s">
        <v>1524</v>
      </c>
      <c r="C61" t="s">
        <v>2340</v>
      </c>
      <c r="D61">
        <v>4</v>
      </c>
    </row>
    <row r="62" spans="1:4" x14ac:dyDescent="0.25">
      <c r="A62" t="s">
        <v>80</v>
      </c>
      <c r="B62" t="s">
        <v>205</v>
      </c>
      <c r="C62" t="s">
        <v>500</v>
      </c>
      <c r="D62">
        <v>5</v>
      </c>
    </row>
    <row r="63" spans="1:4" x14ac:dyDescent="0.25">
      <c r="A63" t="s">
        <v>80</v>
      </c>
      <c r="B63" t="s">
        <v>797</v>
      </c>
      <c r="C63" t="s">
        <v>2181</v>
      </c>
      <c r="D63">
        <v>2</v>
      </c>
    </row>
    <row r="64" spans="1:4" x14ac:dyDescent="0.25">
      <c r="A64" t="s">
        <v>80</v>
      </c>
      <c r="B64" t="s">
        <v>2074</v>
      </c>
      <c r="C64" t="s">
        <v>2182</v>
      </c>
      <c r="D64">
        <v>0</v>
      </c>
    </row>
    <row r="65" spans="1:4" x14ac:dyDescent="0.25">
      <c r="A65" t="s">
        <v>80</v>
      </c>
      <c r="B65" t="s">
        <v>1325</v>
      </c>
      <c r="C65" t="s">
        <v>504</v>
      </c>
      <c r="D65">
        <v>1</v>
      </c>
    </row>
    <row r="66" spans="1:4" x14ac:dyDescent="0.25">
      <c r="A66" t="s">
        <v>80</v>
      </c>
      <c r="B66" t="s">
        <v>1325</v>
      </c>
      <c r="C66" t="s">
        <v>639</v>
      </c>
      <c r="D66">
        <v>2</v>
      </c>
    </row>
    <row r="67" spans="1:4" x14ac:dyDescent="0.25">
      <c r="A67" t="s">
        <v>80</v>
      </c>
      <c r="B67" t="s">
        <v>1011</v>
      </c>
      <c r="C67" t="s">
        <v>3200</v>
      </c>
      <c r="D67">
        <v>-1</v>
      </c>
    </row>
    <row r="68" spans="1:4" x14ac:dyDescent="0.25">
      <c r="A68" t="s">
        <v>80</v>
      </c>
      <c r="B68" t="s">
        <v>433</v>
      </c>
      <c r="C68" t="s">
        <v>3539</v>
      </c>
      <c r="D68">
        <v>-2</v>
      </c>
    </row>
    <row r="69" spans="1:4" x14ac:dyDescent="0.25">
      <c r="A69" t="s">
        <v>80</v>
      </c>
      <c r="B69" t="s">
        <v>433</v>
      </c>
      <c r="C69" t="s">
        <v>2235</v>
      </c>
      <c r="D69">
        <v>-3</v>
      </c>
    </row>
    <row r="70" spans="1:4" x14ac:dyDescent="0.25">
      <c r="A70" t="s">
        <v>80</v>
      </c>
      <c r="B70" t="s">
        <v>1598</v>
      </c>
      <c r="C70" t="s">
        <v>2236</v>
      </c>
      <c r="D70">
        <v>-6</v>
      </c>
    </row>
    <row r="71" spans="1:4" x14ac:dyDescent="0.25">
      <c r="A71" t="s">
        <v>80</v>
      </c>
      <c r="B71" t="s">
        <v>740</v>
      </c>
      <c r="C71" t="s">
        <v>2237</v>
      </c>
      <c r="D71">
        <v>-7</v>
      </c>
    </row>
    <row r="72" spans="1:4" x14ac:dyDescent="0.25">
      <c r="A72" t="s">
        <v>80</v>
      </c>
      <c r="B72" t="s">
        <v>740</v>
      </c>
      <c r="C72" t="s">
        <v>4482</v>
      </c>
      <c r="D72">
        <v>-8</v>
      </c>
    </row>
    <row r="73" spans="1:4" x14ac:dyDescent="0.25">
      <c r="A73" t="s">
        <v>80</v>
      </c>
      <c r="B73" t="s">
        <v>374</v>
      </c>
      <c r="C73" t="s">
        <v>1782</v>
      </c>
      <c r="D73">
        <v>-11</v>
      </c>
    </row>
    <row r="74" spans="1:4" x14ac:dyDescent="0.25">
      <c r="A74" t="s">
        <v>80</v>
      </c>
      <c r="B74" t="s">
        <v>1198</v>
      </c>
      <c r="C74" t="s">
        <v>1542</v>
      </c>
      <c r="D74">
        <v>-9</v>
      </c>
    </row>
    <row r="75" spans="1:4" x14ac:dyDescent="0.25">
      <c r="A75" t="s">
        <v>80</v>
      </c>
      <c r="B75" t="s">
        <v>1038</v>
      </c>
      <c r="C75" t="s">
        <v>287</v>
      </c>
      <c r="D75">
        <v>-11</v>
      </c>
    </row>
    <row r="76" spans="1:4" x14ac:dyDescent="0.25">
      <c r="A76" t="s">
        <v>80</v>
      </c>
      <c r="B76" t="s">
        <v>1129</v>
      </c>
      <c r="C76" t="s">
        <v>289</v>
      </c>
      <c r="D76">
        <v>-8</v>
      </c>
    </row>
    <row r="77" spans="1:4" x14ac:dyDescent="0.25">
      <c r="A77" t="s">
        <v>80</v>
      </c>
      <c r="B77" t="s">
        <v>2317</v>
      </c>
      <c r="C77" t="s">
        <v>143</v>
      </c>
      <c r="D77">
        <v>-7</v>
      </c>
    </row>
    <row r="78" spans="1:4" x14ac:dyDescent="0.25">
      <c r="A78" t="s">
        <v>80</v>
      </c>
      <c r="B78" t="s">
        <v>1339</v>
      </c>
      <c r="C78" t="s">
        <v>145</v>
      </c>
      <c r="D78">
        <v>-10</v>
      </c>
    </row>
    <row r="79" spans="1:4" x14ac:dyDescent="0.25">
      <c r="A79" t="s">
        <v>80</v>
      </c>
      <c r="B79" t="s">
        <v>320</v>
      </c>
      <c r="C79" t="s">
        <v>2428</v>
      </c>
      <c r="D79">
        <v>-9</v>
      </c>
    </row>
    <row r="80" spans="1:4" x14ac:dyDescent="0.25">
      <c r="A80" t="s">
        <v>80</v>
      </c>
      <c r="B80" t="s">
        <v>320</v>
      </c>
      <c r="C80" t="s">
        <v>2621</v>
      </c>
      <c r="D80">
        <v>-8</v>
      </c>
    </row>
    <row r="81" spans="1:4" x14ac:dyDescent="0.25">
      <c r="A81" t="s">
        <v>80</v>
      </c>
      <c r="B81" t="s">
        <v>675</v>
      </c>
      <c r="C81" t="s">
        <v>297</v>
      </c>
      <c r="D81">
        <v>-6</v>
      </c>
    </row>
    <row r="82" spans="1:4" x14ac:dyDescent="0.25">
      <c r="A82" t="s">
        <v>80</v>
      </c>
      <c r="B82" t="s">
        <v>33</v>
      </c>
      <c r="C82" t="s">
        <v>302</v>
      </c>
      <c r="D82">
        <v>-9</v>
      </c>
    </row>
    <row r="83" spans="1:4" x14ac:dyDescent="0.25">
      <c r="A83" t="s">
        <v>80</v>
      </c>
      <c r="B83" t="s">
        <v>793</v>
      </c>
      <c r="C83" t="s">
        <v>1553</v>
      </c>
      <c r="D83">
        <v>-11</v>
      </c>
    </row>
    <row r="84" spans="1:4" x14ac:dyDescent="0.25">
      <c r="A84" t="s">
        <v>80</v>
      </c>
      <c r="B84" t="s">
        <v>1162</v>
      </c>
      <c r="C84" t="s">
        <v>153</v>
      </c>
      <c r="D84">
        <v>-10</v>
      </c>
    </row>
    <row r="85" spans="1:4" x14ac:dyDescent="0.25">
      <c r="A85" t="s">
        <v>80</v>
      </c>
      <c r="B85" t="s">
        <v>1162</v>
      </c>
      <c r="C85" t="s">
        <v>2249</v>
      </c>
      <c r="D85">
        <v>-9</v>
      </c>
    </row>
    <row r="86" spans="1:4" x14ac:dyDescent="0.25">
      <c r="A86" t="s">
        <v>123</v>
      </c>
      <c r="B86" t="s">
        <v>1929</v>
      </c>
      <c r="C86" t="s">
        <v>4483</v>
      </c>
      <c r="D86">
        <v>-7</v>
      </c>
    </row>
    <row r="87" spans="1:4" x14ac:dyDescent="0.25">
      <c r="A87" t="s">
        <v>123</v>
      </c>
      <c r="B87" t="s">
        <v>719</v>
      </c>
      <c r="C87" t="s">
        <v>3544</v>
      </c>
      <c r="D87">
        <v>-9</v>
      </c>
    </row>
    <row r="88" spans="1:4" x14ac:dyDescent="0.25">
      <c r="A88" t="s">
        <v>123</v>
      </c>
      <c r="B88" t="s">
        <v>2355</v>
      </c>
      <c r="C88" t="s">
        <v>2252</v>
      </c>
      <c r="D88">
        <v>-8</v>
      </c>
    </row>
    <row r="89" spans="1:4" x14ac:dyDescent="0.25">
      <c r="A89" t="s">
        <v>123</v>
      </c>
      <c r="B89" t="s">
        <v>2355</v>
      </c>
      <c r="C89" t="s">
        <v>3462</v>
      </c>
      <c r="D89">
        <v>-7</v>
      </c>
    </row>
    <row r="90" spans="1:4" x14ac:dyDescent="0.25">
      <c r="A90" t="s">
        <v>123</v>
      </c>
      <c r="B90" t="s">
        <v>778</v>
      </c>
      <c r="C90" t="s">
        <v>4484</v>
      </c>
      <c r="D90">
        <v>-10</v>
      </c>
    </row>
    <row r="91" spans="1:4" x14ac:dyDescent="0.25">
      <c r="A91" t="s">
        <v>123</v>
      </c>
      <c r="B91" t="s">
        <v>175</v>
      </c>
      <c r="C91" t="s">
        <v>4485</v>
      </c>
      <c r="D91">
        <v>-12</v>
      </c>
    </row>
    <row r="92" spans="1:4" x14ac:dyDescent="0.25">
      <c r="A92" t="s">
        <v>123</v>
      </c>
      <c r="B92" t="s">
        <v>759</v>
      </c>
      <c r="C92" t="s">
        <v>4486</v>
      </c>
      <c r="D92">
        <v>-10</v>
      </c>
    </row>
    <row r="93" spans="1:4" x14ac:dyDescent="0.25">
      <c r="A93" t="s">
        <v>123</v>
      </c>
      <c r="B93" t="s">
        <v>832</v>
      </c>
      <c r="C93" t="s">
        <v>2352</v>
      </c>
      <c r="D93">
        <v>-8</v>
      </c>
    </row>
    <row r="94" spans="1:4" x14ac:dyDescent="0.25">
      <c r="A94" t="s">
        <v>123</v>
      </c>
      <c r="B94" t="s">
        <v>280</v>
      </c>
      <c r="C94" t="s">
        <v>4487</v>
      </c>
      <c r="D94">
        <v>-6</v>
      </c>
    </row>
    <row r="95" spans="1:4" x14ac:dyDescent="0.25">
      <c r="A95" t="s">
        <v>123</v>
      </c>
      <c r="B95" t="s">
        <v>1069</v>
      </c>
      <c r="C95" t="s">
        <v>4488</v>
      </c>
      <c r="D95">
        <v>-9</v>
      </c>
    </row>
    <row r="96" spans="1:4" x14ac:dyDescent="0.25">
      <c r="A96" t="s">
        <v>123</v>
      </c>
      <c r="B96" t="s">
        <v>97</v>
      </c>
      <c r="C96" t="s">
        <v>3549</v>
      </c>
      <c r="D96">
        <v>-7</v>
      </c>
    </row>
    <row r="97" spans="1:4" x14ac:dyDescent="0.25">
      <c r="A97" t="s">
        <v>123</v>
      </c>
      <c r="B97" t="s">
        <v>1349</v>
      </c>
      <c r="C97" t="s">
        <v>4489</v>
      </c>
      <c r="D97">
        <v>-9</v>
      </c>
    </row>
    <row r="98" spans="1:4" x14ac:dyDescent="0.25">
      <c r="A98" t="s">
        <v>123</v>
      </c>
      <c r="B98" t="s">
        <v>2250</v>
      </c>
      <c r="C98" t="s">
        <v>4490</v>
      </c>
      <c r="D98">
        <v>-12</v>
      </c>
    </row>
    <row r="99" spans="1:4" x14ac:dyDescent="0.25">
      <c r="A99" t="s">
        <v>123</v>
      </c>
      <c r="B99" t="s">
        <v>764</v>
      </c>
      <c r="C99" t="s">
        <v>4491</v>
      </c>
      <c r="D99">
        <v>-14</v>
      </c>
    </row>
    <row r="100" spans="1:4" x14ac:dyDescent="0.25">
      <c r="A100" t="s">
        <v>123</v>
      </c>
      <c r="B100" t="s">
        <v>1016</v>
      </c>
      <c r="C100" t="s">
        <v>4492</v>
      </c>
      <c r="D100">
        <v>-13</v>
      </c>
    </row>
    <row r="101" spans="1:4" x14ac:dyDescent="0.25">
      <c r="A101" t="s">
        <v>123</v>
      </c>
      <c r="B101" t="s">
        <v>341</v>
      </c>
      <c r="C101" t="s">
        <v>1812</v>
      </c>
      <c r="D101">
        <v>-16</v>
      </c>
    </row>
    <row r="102" spans="1:4" x14ac:dyDescent="0.25">
      <c r="A102" t="s">
        <v>123</v>
      </c>
      <c r="B102" t="s">
        <v>267</v>
      </c>
      <c r="C102" t="s">
        <v>4493</v>
      </c>
      <c r="D102">
        <v>-15</v>
      </c>
    </row>
    <row r="103" spans="1:4" x14ac:dyDescent="0.25">
      <c r="A103" t="s">
        <v>123</v>
      </c>
      <c r="B103" t="s">
        <v>709</v>
      </c>
      <c r="C103" t="s">
        <v>4494</v>
      </c>
      <c r="D103">
        <v>-17</v>
      </c>
    </row>
    <row r="104" spans="1:4" x14ac:dyDescent="0.25">
      <c r="A104" t="s">
        <v>123</v>
      </c>
      <c r="B104" t="s">
        <v>1222</v>
      </c>
      <c r="C104" t="s">
        <v>4495</v>
      </c>
      <c r="D104">
        <v>-16</v>
      </c>
    </row>
    <row r="105" spans="1:4" x14ac:dyDescent="0.25">
      <c r="A105" t="s">
        <v>123</v>
      </c>
      <c r="B105" t="s">
        <v>1222</v>
      </c>
      <c r="C105" t="s">
        <v>1815</v>
      </c>
      <c r="D105">
        <v>-15</v>
      </c>
    </row>
    <row r="107" spans="1:4" x14ac:dyDescent="0.25">
      <c r="A107" s="2" t="s">
        <v>157</v>
      </c>
    </row>
    <row r="108" spans="1:4" x14ac:dyDescent="0.25">
      <c r="A108" t="s">
        <v>158</v>
      </c>
      <c r="D108">
        <f>AVERAGE(D2:D105)</f>
        <v>-4.4615384615384617</v>
      </c>
    </row>
    <row r="109" spans="1:4" x14ac:dyDescent="0.25">
      <c r="A109" t="s">
        <v>159</v>
      </c>
      <c r="D109">
        <f>MAX(D2:D105)</f>
        <v>5</v>
      </c>
    </row>
    <row r="110" spans="1:4" x14ac:dyDescent="0.25">
      <c r="A110" t="s">
        <v>160</v>
      </c>
      <c r="D110">
        <f>MIN(D2:D105)</f>
        <v>-17</v>
      </c>
    </row>
    <row r="111" spans="1:4" x14ac:dyDescent="0.25">
      <c r="A111" t="s">
        <v>161</v>
      </c>
      <c r="D111">
        <f>COUNTIF(D2:D105,"&gt;0")</f>
        <v>26</v>
      </c>
    </row>
    <row r="112" spans="1:4" x14ac:dyDescent="0.25">
      <c r="A112" t="s">
        <v>162</v>
      </c>
      <c r="D112">
        <f>COUNTIF(D2:D105,"=0")</f>
        <v>9</v>
      </c>
    </row>
    <row r="113" spans="1:4" x14ac:dyDescent="0.25">
      <c r="A113" t="s">
        <v>1689</v>
      </c>
      <c r="D113">
        <f>COUNTIF(D2:D105,"&lt;0")</f>
        <v>69</v>
      </c>
    </row>
    <row r="115" spans="1:4" x14ac:dyDescent="0.25">
      <c r="A115" s="2" t="s">
        <v>164</v>
      </c>
    </row>
    <row r="116" spans="1:4" x14ac:dyDescent="0.25">
      <c r="A116" t="s">
        <v>165</v>
      </c>
      <c r="D116">
        <f>AVERAGE(D2,D3,D4,D5,D6,D7,D8,D9,D10,D11,D12,D13,D14,D15,D16,D17,D18,D19,D20,D21,D22,D23,D24,D25)</f>
        <v>-5.208333333333333</v>
      </c>
    </row>
    <row r="117" spans="1:4" x14ac:dyDescent="0.25">
      <c r="A117" t="s">
        <v>166</v>
      </c>
      <c r="D117">
        <f>AVERAGE(D26,D27,D28,D29,D30,D31,D32,D33,D34,D35,D36,D37,D38,D39,D40,D41,D42,D43,D44,D45,D46,D47,D48,D49,D50,D51,D52,D53,D54,D55,D56,D57,D58,D59)</f>
        <v>0.29411764705882354</v>
      </c>
    </row>
    <row r="118" spans="1:4" x14ac:dyDescent="0.25">
      <c r="A118" t="s">
        <v>167</v>
      </c>
      <c r="D118">
        <f>AVERAGE(D60,D61,D62,D63,D64,D65,D66,D67,D68,D69,D70,D71,D72,D73,D74,D75,D76,D77,D78,D79,D80,D81,D82,D83,D84,D85)</f>
        <v>-4.9615384615384617</v>
      </c>
    </row>
    <row r="119" spans="1:4" x14ac:dyDescent="0.25">
      <c r="A119" t="s">
        <v>168</v>
      </c>
      <c r="D119">
        <f>AVERAGE(D86,D87,D88,D89,D90,D91,D92,D93,D94,D95,D96,D97,D98,D99,D100,D101,D102,D103,D104,D105)</f>
        <v>-11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D11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426</v>
      </c>
    </row>
    <row r="2" spans="1:4" x14ac:dyDescent="0.25">
      <c r="A2" t="s">
        <v>4</v>
      </c>
      <c r="B2" t="s">
        <v>1009</v>
      </c>
      <c r="C2" t="s">
        <v>1008</v>
      </c>
      <c r="D2">
        <v>-3</v>
      </c>
    </row>
    <row r="3" spans="1:4" x14ac:dyDescent="0.25">
      <c r="A3" t="s">
        <v>4</v>
      </c>
      <c r="B3" t="s">
        <v>1849</v>
      </c>
      <c r="C3" t="s">
        <v>306</v>
      </c>
      <c r="D3">
        <v>-1</v>
      </c>
    </row>
    <row r="4" spans="1:4" x14ac:dyDescent="0.25">
      <c r="A4" t="s">
        <v>4</v>
      </c>
      <c r="B4" t="s">
        <v>691</v>
      </c>
      <c r="C4" t="s">
        <v>1869</v>
      </c>
      <c r="D4">
        <v>-3</v>
      </c>
    </row>
    <row r="5" spans="1:4" x14ac:dyDescent="0.25">
      <c r="A5" t="s">
        <v>4</v>
      </c>
      <c r="B5" t="s">
        <v>723</v>
      </c>
      <c r="C5" t="s">
        <v>309</v>
      </c>
      <c r="D5">
        <v>-1</v>
      </c>
    </row>
    <row r="6" spans="1:4" x14ac:dyDescent="0.25">
      <c r="A6" t="s">
        <v>4</v>
      </c>
      <c r="B6" t="s">
        <v>274</v>
      </c>
      <c r="C6" t="s">
        <v>310</v>
      </c>
      <c r="D6">
        <v>-2</v>
      </c>
    </row>
    <row r="7" spans="1:4" x14ac:dyDescent="0.25">
      <c r="A7" t="s">
        <v>4</v>
      </c>
      <c r="B7" t="s">
        <v>274</v>
      </c>
      <c r="C7" t="s">
        <v>14</v>
      </c>
      <c r="D7">
        <v>-3</v>
      </c>
    </row>
    <row r="8" spans="1:4" x14ac:dyDescent="0.25">
      <c r="A8" t="s">
        <v>4</v>
      </c>
      <c r="B8" t="s">
        <v>1086</v>
      </c>
      <c r="C8" t="s">
        <v>567</v>
      </c>
      <c r="D8">
        <v>0</v>
      </c>
    </row>
    <row r="9" spans="1:4" x14ac:dyDescent="0.25">
      <c r="A9" t="s">
        <v>4</v>
      </c>
      <c r="B9" t="s">
        <v>1417</v>
      </c>
      <c r="C9" t="s">
        <v>1497</v>
      </c>
      <c r="D9">
        <v>-2</v>
      </c>
    </row>
    <row r="10" spans="1:4" x14ac:dyDescent="0.25">
      <c r="A10" t="s">
        <v>4</v>
      </c>
      <c r="B10" t="s">
        <v>15</v>
      </c>
      <c r="C10" t="s">
        <v>3611</v>
      </c>
      <c r="D10">
        <v>-4</v>
      </c>
    </row>
    <row r="11" spans="1:4" x14ac:dyDescent="0.25">
      <c r="A11" t="s">
        <v>4</v>
      </c>
      <c r="B11" t="s">
        <v>2431</v>
      </c>
      <c r="C11" t="s">
        <v>1637</v>
      </c>
      <c r="D11">
        <v>-6</v>
      </c>
    </row>
    <row r="12" spans="1:4" x14ac:dyDescent="0.25">
      <c r="A12" t="s">
        <v>4</v>
      </c>
      <c r="B12" t="s">
        <v>60</v>
      </c>
      <c r="C12" t="s">
        <v>1745</v>
      </c>
      <c r="D12">
        <v>-4</v>
      </c>
    </row>
    <row r="13" spans="1:4" x14ac:dyDescent="0.25">
      <c r="A13" t="s">
        <v>4</v>
      </c>
      <c r="B13" t="s">
        <v>1090</v>
      </c>
      <c r="C13" t="s">
        <v>2395</v>
      </c>
      <c r="D13">
        <v>-6</v>
      </c>
    </row>
    <row r="14" spans="1:4" x14ac:dyDescent="0.25">
      <c r="A14" t="s">
        <v>4</v>
      </c>
      <c r="B14" t="s">
        <v>467</v>
      </c>
      <c r="C14" t="s">
        <v>2396</v>
      </c>
      <c r="D14">
        <v>-8</v>
      </c>
    </row>
    <row r="15" spans="1:4" x14ac:dyDescent="0.25">
      <c r="A15" t="s">
        <v>4</v>
      </c>
      <c r="B15" t="s">
        <v>629</v>
      </c>
      <c r="C15" t="s">
        <v>2397</v>
      </c>
      <c r="D15">
        <v>-6</v>
      </c>
    </row>
    <row r="16" spans="1:4" x14ac:dyDescent="0.25">
      <c r="A16" t="s">
        <v>4</v>
      </c>
      <c r="B16" t="s">
        <v>146</v>
      </c>
      <c r="C16" t="s">
        <v>2203</v>
      </c>
      <c r="D16">
        <v>-5</v>
      </c>
    </row>
    <row r="17" spans="1:4" x14ac:dyDescent="0.25">
      <c r="A17" t="s">
        <v>4</v>
      </c>
      <c r="B17" t="s">
        <v>146</v>
      </c>
      <c r="C17" t="s">
        <v>1504</v>
      </c>
      <c r="D17">
        <v>-4</v>
      </c>
    </row>
    <row r="18" spans="1:4" x14ac:dyDescent="0.25">
      <c r="A18" t="s">
        <v>4</v>
      </c>
      <c r="B18" t="s">
        <v>228</v>
      </c>
      <c r="C18" t="s">
        <v>447</v>
      </c>
      <c r="D18">
        <v>-1</v>
      </c>
    </row>
    <row r="19" spans="1:4" x14ac:dyDescent="0.25">
      <c r="A19" t="s">
        <v>4</v>
      </c>
      <c r="B19" t="s">
        <v>611</v>
      </c>
      <c r="C19" t="s">
        <v>2156</v>
      </c>
      <c r="D19">
        <v>-2</v>
      </c>
    </row>
    <row r="20" spans="1:4" x14ac:dyDescent="0.25">
      <c r="A20" t="s">
        <v>4</v>
      </c>
      <c r="B20" t="s">
        <v>1402</v>
      </c>
      <c r="C20" t="s">
        <v>583</v>
      </c>
      <c r="D20">
        <v>1</v>
      </c>
    </row>
    <row r="21" spans="1:4" x14ac:dyDescent="0.25">
      <c r="A21" t="s">
        <v>4</v>
      </c>
      <c r="B21" t="s">
        <v>1019</v>
      </c>
      <c r="C21" t="s">
        <v>585</v>
      </c>
      <c r="D21">
        <v>0</v>
      </c>
    </row>
    <row r="22" spans="1:4" x14ac:dyDescent="0.25">
      <c r="A22" t="s">
        <v>4</v>
      </c>
      <c r="B22" t="s">
        <v>1019</v>
      </c>
      <c r="C22" t="s">
        <v>1508</v>
      </c>
      <c r="D22">
        <v>-1</v>
      </c>
    </row>
    <row r="23" spans="1:4" x14ac:dyDescent="0.25">
      <c r="A23" t="s">
        <v>4</v>
      </c>
      <c r="B23" t="s">
        <v>1113</v>
      </c>
      <c r="C23" t="s">
        <v>711</v>
      </c>
      <c r="D23">
        <v>1</v>
      </c>
    </row>
    <row r="24" spans="1:4" x14ac:dyDescent="0.25">
      <c r="A24" t="s">
        <v>4</v>
      </c>
      <c r="B24" t="s">
        <v>322</v>
      </c>
      <c r="C24" t="s">
        <v>1121</v>
      </c>
      <c r="D24">
        <v>2</v>
      </c>
    </row>
    <row r="25" spans="1:4" x14ac:dyDescent="0.25">
      <c r="A25" t="s">
        <v>4</v>
      </c>
      <c r="B25" t="s">
        <v>154</v>
      </c>
      <c r="C25" t="s">
        <v>1122</v>
      </c>
      <c r="D25">
        <v>4</v>
      </c>
    </row>
    <row r="26" spans="1:4" x14ac:dyDescent="0.25">
      <c r="A26" t="s">
        <v>40</v>
      </c>
      <c r="B26" t="s">
        <v>1208</v>
      </c>
      <c r="C26" t="s">
        <v>715</v>
      </c>
      <c r="D26">
        <v>7</v>
      </c>
    </row>
    <row r="27" spans="1:4" x14ac:dyDescent="0.25">
      <c r="A27" t="s">
        <v>40</v>
      </c>
      <c r="B27" t="s">
        <v>2052</v>
      </c>
      <c r="C27" t="s">
        <v>928</v>
      </c>
      <c r="D27">
        <v>5</v>
      </c>
    </row>
    <row r="28" spans="1:4" x14ac:dyDescent="0.25">
      <c r="A28" t="s">
        <v>40</v>
      </c>
      <c r="B28" t="s">
        <v>1545</v>
      </c>
      <c r="C28" t="s">
        <v>1124</v>
      </c>
      <c r="D28">
        <v>2</v>
      </c>
    </row>
    <row r="29" spans="1:4" x14ac:dyDescent="0.25">
      <c r="A29" t="s">
        <v>40</v>
      </c>
      <c r="B29" t="s">
        <v>1267</v>
      </c>
      <c r="C29" t="s">
        <v>2358</v>
      </c>
      <c r="D29">
        <v>4</v>
      </c>
    </row>
    <row r="30" spans="1:4" x14ac:dyDescent="0.25">
      <c r="A30" t="s">
        <v>40</v>
      </c>
      <c r="B30" t="s">
        <v>1027</v>
      </c>
      <c r="C30" t="s">
        <v>2484</v>
      </c>
      <c r="D30">
        <v>1</v>
      </c>
    </row>
    <row r="31" spans="1:4" x14ac:dyDescent="0.25">
      <c r="A31" t="s">
        <v>40</v>
      </c>
      <c r="B31" t="s">
        <v>1190</v>
      </c>
      <c r="C31" t="s">
        <v>1126</v>
      </c>
      <c r="D31">
        <v>3</v>
      </c>
    </row>
    <row r="32" spans="1:4" x14ac:dyDescent="0.25">
      <c r="A32" t="s">
        <v>40</v>
      </c>
      <c r="B32" t="s">
        <v>1190</v>
      </c>
      <c r="C32" t="s">
        <v>222</v>
      </c>
      <c r="D32">
        <v>4</v>
      </c>
    </row>
    <row r="33" spans="1:4" x14ac:dyDescent="0.25">
      <c r="A33" t="s">
        <v>40</v>
      </c>
      <c r="B33" t="s">
        <v>1493</v>
      </c>
      <c r="C33" t="s">
        <v>1130</v>
      </c>
      <c r="D33">
        <v>2</v>
      </c>
    </row>
    <row r="34" spans="1:4" x14ac:dyDescent="0.25">
      <c r="A34" t="s">
        <v>40</v>
      </c>
      <c r="B34" t="s">
        <v>332</v>
      </c>
      <c r="C34" t="s">
        <v>2361</v>
      </c>
      <c r="D34">
        <v>4</v>
      </c>
    </row>
    <row r="35" spans="1:4" x14ac:dyDescent="0.25">
      <c r="A35" t="s">
        <v>40</v>
      </c>
      <c r="B35" t="s">
        <v>132</v>
      </c>
      <c r="C35" t="s">
        <v>468</v>
      </c>
      <c r="D35">
        <v>2</v>
      </c>
    </row>
    <row r="36" spans="1:4" x14ac:dyDescent="0.25">
      <c r="A36" t="s">
        <v>40</v>
      </c>
      <c r="B36" t="s">
        <v>460</v>
      </c>
      <c r="C36" t="s">
        <v>2268</v>
      </c>
      <c r="D36">
        <v>5</v>
      </c>
    </row>
    <row r="37" spans="1:4" x14ac:dyDescent="0.25">
      <c r="A37" t="s">
        <v>40</v>
      </c>
      <c r="B37" t="s">
        <v>2842</v>
      </c>
      <c r="C37" t="s">
        <v>1667</v>
      </c>
      <c r="D37">
        <v>3</v>
      </c>
    </row>
    <row r="38" spans="1:4" x14ac:dyDescent="0.25">
      <c r="A38" t="s">
        <v>40</v>
      </c>
      <c r="B38" t="s">
        <v>366</v>
      </c>
      <c r="C38" t="s">
        <v>2486</v>
      </c>
      <c r="D38">
        <v>1</v>
      </c>
    </row>
    <row r="39" spans="1:4" x14ac:dyDescent="0.25">
      <c r="A39" t="s">
        <v>40</v>
      </c>
      <c r="B39" t="s">
        <v>1724</v>
      </c>
      <c r="C39" t="s">
        <v>2269</v>
      </c>
      <c r="D39">
        <v>4</v>
      </c>
    </row>
    <row r="40" spans="1:4" x14ac:dyDescent="0.25">
      <c r="A40" t="s">
        <v>40</v>
      </c>
      <c r="B40" t="s">
        <v>1725</v>
      </c>
      <c r="C40" t="s">
        <v>1760</v>
      </c>
      <c r="D40">
        <v>1</v>
      </c>
    </row>
    <row r="41" spans="1:4" x14ac:dyDescent="0.25">
      <c r="A41" t="s">
        <v>40</v>
      </c>
      <c r="B41" t="s">
        <v>541</v>
      </c>
      <c r="C41" t="s">
        <v>1761</v>
      </c>
      <c r="D41">
        <v>-1</v>
      </c>
    </row>
    <row r="42" spans="1:4" x14ac:dyDescent="0.25">
      <c r="A42" t="s">
        <v>40</v>
      </c>
      <c r="B42" t="s">
        <v>541</v>
      </c>
      <c r="C42" t="s">
        <v>2134</v>
      </c>
      <c r="D42">
        <v>-2</v>
      </c>
    </row>
    <row r="43" spans="1:4" x14ac:dyDescent="0.25">
      <c r="A43" t="s">
        <v>40</v>
      </c>
      <c r="B43" t="s">
        <v>339</v>
      </c>
      <c r="C43" t="s">
        <v>243</v>
      </c>
      <c r="D43">
        <v>-1</v>
      </c>
    </row>
    <row r="44" spans="1:4" x14ac:dyDescent="0.25">
      <c r="A44" t="s">
        <v>40</v>
      </c>
      <c r="B44" t="s">
        <v>339</v>
      </c>
      <c r="C44" t="s">
        <v>245</v>
      </c>
      <c r="D44">
        <v>0</v>
      </c>
    </row>
    <row r="45" spans="1:4" x14ac:dyDescent="0.25">
      <c r="A45" t="s">
        <v>40</v>
      </c>
      <c r="B45" t="s">
        <v>110</v>
      </c>
      <c r="C45" t="s">
        <v>248</v>
      </c>
      <c r="D45">
        <v>-2</v>
      </c>
    </row>
    <row r="46" spans="1:4" x14ac:dyDescent="0.25">
      <c r="A46" t="s">
        <v>40</v>
      </c>
      <c r="B46" t="s">
        <v>704</v>
      </c>
      <c r="C46" t="s">
        <v>249</v>
      </c>
      <c r="D46">
        <v>-3</v>
      </c>
    </row>
    <row r="47" spans="1:4" x14ac:dyDescent="0.25">
      <c r="A47" t="s">
        <v>40</v>
      </c>
      <c r="B47" t="s">
        <v>704</v>
      </c>
      <c r="C47" t="s">
        <v>94</v>
      </c>
      <c r="D47">
        <v>-4</v>
      </c>
    </row>
    <row r="48" spans="1:4" x14ac:dyDescent="0.25">
      <c r="A48" t="s">
        <v>40</v>
      </c>
      <c r="B48" t="s">
        <v>442</v>
      </c>
      <c r="C48" t="s">
        <v>622</v>
      </c>
      <c r="D48">
        <v>-6</v>
      </c>
    </row>
    <row r="49" spans="1:4" x14ac:dyDescent="0.25">
      <c r="A49" t="s">
        <v>40</v>
      </c>
      <c r="B49" t="s">
        <v>148</v>
      </c>
      <c r="C49" t="s">
        <v>2135</v>
      </c>
      <c r="D49">
        <v>-7</v>
      </c>
    </row>
    <row r="50" spans="1:4" x14ac:dyDescent="0.25">
      <c r="A50" t="s">
        <v>40</v>
      </c>
      <c r="B50" t="s">
        <v>1132</v>
      </c>
      <c r="C50" t="s">
        <v>626</v>
      </c>
      <c r="D50">
        <v>-5</v>
      </c>
    </row>
    <row r="51" spans="1:4" x14ac:dyDescent="0.25">
      <c r="A51" t="s">
        <v>40</v>
      </c>
      <c r="B51" t="s">
        <v>1750</v>
      </c>
      <c r="C51" t="s">
        <v>102</v>
      </c>
      <c r="D51">
        <v>-7</v>
      </c>
    </row>
    <row r="52" spans="1:4" x14ac:dyDescent="0.25">
      <c r="A52" t="s">
        <v>40</v>
      </c>
      <c r="B52" t="s">
        <v>1356</v>
      </c>
      <c r="C52" t="s">
        <v>2764</v>
      </c>
      <c r="D52">
        <v>-6</v>
      </c>
    </row>
    <row r="53" spans="1:4" x14ac:dyDescent="0.25">
      <c r="A53" t="s">
        <v>40</v>
      </c>
      <c r="B53" t="s">
        <v>880</v>
      </c>
      <c r="C53" t="s">
        <v>2224</v>
      </c>
      <c r="D53">
        <v>-8</v>
      </c>
    </row>
    <row r="54" spans="1:4" x14ac:dyDescent="0.25">
      <c r="A54" t="s">
        <v>40</v>
      </c>
      <c r="B54" t="s">
        <v>681</v>
      </c>
      <c r="C54" t="s">
        <v>2225</v>
      </c>
      <c r="D54">
        <v>-5</v>
      </c>
    </row>
    <row r="55" spans="1:4" x14ac:dyDescent="0.25">
      <c r="A55" t="s">
        <v>40</v>
      </c>
      <c r="B55" t="s">
        <v>78</v>
      </c>
      <c r="C55" t="s">
        <v>1769</v>
      </c>
      <c r="D55">
        <v>-6</v>
      </c>
    </row>
    <row r="56" spans="1:4" x14ac:dyDescent="0.25">
      <c r="A56" t="s">
        <v>40</v>
      </c>
      <c r="B56" t="s">
        <v>78</v>
      </c>
      <c r="C56" t="s">
        <v>2226</v>
      </c>
      <c r="D56">
        <v>-7</v>
      </c>
    </row>
    <row r="57" spans="1:4" x14ac:dyDescent="0.25">
      <c r="A57" t="s">
        <v>80</v>
      </c>
      <c r="B57" t="s">
        <v>81</v>
      </c>
      <c r="C57" t="s">
        <v>833</v>
      </c>
      <c r="D57">
        <v>-10</v>
      </c>
    </row>
    <row r="58" spans="1:4" x14ac:dyDescent="0.25">
      <c r="A58" t="s">
        <v>80</v>
      </c>
      <c r="B58" t="s">
        <v>2443</v>
      </c>
      <c r="C58" t="s">
        <v>835</v>
      </c>
      <c r="D58">
        <v>-8</v>
      </c>
    </row>
    <row r="59" spans="1:4" x14ac:dyDescent="0.25">
      <c r="A59" t="s">
        <v>80</v>
      </c>
      <c r="B59" t="s">
        <v>2443</v>
      </c>
      <c r="C59" t="s">
        <v>2965</v>
      </c>
      <c r="D59">
        <v>-7</v>
      </c>
    </row>
    <row r="60" spans="1:4" x14ac:dyDescent="0.25">
      <c r="A60" t="s">
        <v>80</v>
      </c>
      <c r="B60" t="s">
        <v>398</v>
      </c>
      <c r="C60" t="s">
        <v>2229</v>
      </c>
      <c r="D60">
        <v>-5</v>
      </c>
    </row>
    <row r="61" spans="1:4" x14ac:dyDescent="0.25">
      <c r="A61" t="s">
        <v>80</v>
      </c>
      <c r="B61" t="s">
        <v>912</v>
      </c>
      <c r="C61" t="s">
        <v>754</v>
      </c>
      <c r="D61">
        <v>-2</v>
      </c>
    </row>
    <row r="62" spans="1:4" x14ac:dyDescent="0.25">
      <c r="A62" t="s">
        <v>80</v>
      </c>
      <c r="B62" t="s">
        <v>1453</v>
      </c>
      <c r="C62" t="s">
        <v>119</v>
      </c>
      <c r="D62">
        <v>-3</v>
      </c>
    </row>
    <row r="63" spans="1:4" x14ac:dyDescent="0.25">
      <c r="A63" t="s">
        <v>80</v>
      </c>
      <c r="B63" t="s">
        <v>1453</v>
      </c>
      <c r="C63" t="s">
        <v>121</v>
      </c>
      <c r="D63">
        <v>-4</v>
      </c>
    </row>
    <row r="64" spans="1:4" x14ac:dyDescent="0.25">
      <c r="A64" t="s">
        <v>80</v>
      </c>
      <c r="B64" t="s">
        <v>643</v>
      </c>
      <c r="C64" t="s">
        <v>122</v>
      </c>
      <c r="D64">
        <v>-6</v>
      </c>
    </row>
    <row r="65" spans="1:4" x14ac:dyDescent="0.25">
      <c r="A65" t="s">
        <v>80</v>
      </c>
      <c r="B65" t="s">
        <v>2118</v>
      </c>
      <c r="C65" t="s">
        <v>2767</v>
      </c>
      <c r="D65">
        <v>-8</v>
      </c>
    </row>
    <row r="66" spans="1:4" x14ac:dyDescent="0.25">
      <c r="A66" t="s">
        <v>80</v>
      </c>
      <c r="B66" t="s">
        <v>1742</v>
      </c>
      <c r="C66" t="s">
        <v>2141</v>
      </c>
      <c r="D66">
        <v>-7</v>
      </c>
    </row>
    <row r="67" spans="1:4" x14ac:dyDescent="0.25">
      <c r="A67" t="s">
        <v>80</v>
      </c>
      <c r="B67" t="s">
        <v>1742</v>
      </c>
      <c r="C67" t="s">
        <v>2142</v>
      </c>
      <c r="D67">
        <v>-6</v>
      </c>
    </row>
    <row r="68" spans="1:4" x14ac:dyDescent="0.25">
      <c r="A68" t="s">
        <v>80</v>
      </c>
      <c r="B68" t="s">
        <v>804</v>
      </c>
      <c r="C68" t="s">
        <v>129</v>
      </c>
      <c r="D68">
        <v>-9</v>
      </c>
    </row>
    <row r="69" spans="1:4" x14ac:dyDescent="0.25">
      <c r="A69" t="s">
        <v>80</v>
      </c>
      <c r="B69" t="s">
        <v>807</v>
      </c>
      <c r="C69" t="s">
        <v>3976</v>
      </c>
      <c r="D69">
        <v>-7</v>
      </c>
    </row>
    <row r="70" spans="1:4" x14ac:dyDescent="0.25">
      <c r="A70" t="s">
        <v>80</v>
      </c>
      <c r="B70" t="s">
        <v>605</v>
      </c>
      <c r="C70" t="s">
        <v>1241</v>
      </c>
      <c r="D70">
        <v>-9</v>
      </c>
    </row>
    <row r="71" spans="1:4" x14ac:dyDescent="0.25">
      <c r="A71" t="s">
        <v>80</v>
      </c>
      <c r="B71" t="s">
        <v>319</v>
      </c>
      <c r="C71" t="s">
        <v>2237</v>
      </c>
      <c r="D71">
        <v>-7</v>
      </c>
    </row>
    <row r="72" spans="1:4" x14ac:dyDescent="0.25">
      <c r="A72" t="s">
        <v>80</v>
      </c>
      <c r="B72" t="s">
        <v>319</v>
      </c>
      <c r="C72" t="s">
        <v>4215</v>
      </c>
      <c r="D72">
        <v>-6</v>
      </c>
    </row>
    <row r="73" spans="1:4" x14ac:dyDescent="0.25">
      <c r="A73" t="s">
        <v>80</v>
      </c>
      <c r="B73" t="s">
        <v>1129</v>
      </c>
      <c r="C73" t="s">
        <v>3096</v>
      </c>
      <c r="D73">
        <v>-8</v>
      </c>
    </row>
    <row r="74" spans="1:4" x14ac:dyDescent="0.25">
      <c r="A74" t="s">
        <v>80</v>
      </c>
      <c r="B74" t="s">
        <v>417</v>
      </c>
      <c r="C74" t="s">
        <v>1783</v>
      </c>
      <c r="D74">
        <v>-10</v>
      </c>
    </row>
    <row r="75" spans="1:4" x14ac:dyDescent="0.25">
      <c r="A75" t="s">
        <v>80</v>
      </c>
      <c r="B75" t="s">
        <v>202</v>
      </c>
      <c r="C75" t="s">
        <v>1542</v>
      </c>
      <c r="D75">
        <v>-9</v>
      </c>
    </row>
    <row r="76" spans="1:4" x14ac:dyDescent="0.25">
      <c r="A76" t="s">
        <v>80</v>
      </c>
      <c r="B76" t="s">
        <v>202</v>
      </c>
      <c r="C76" t="s">
        <v>2769</v>
      </c>
      <c r="D76">
        <v>-8</v>
      </c>
    </row>
    <row r="77" spans="1:4" x14ac:dyDescent="0.25">
      <c r="A77" t="s">
        <v>80</v>
      </c>
      <c r="B77" t="s">
        <v>301</v>
      </c>
      <c r="C77" t="s">
        <v>3993</v>
      </c>
      <c r="D77">
        <v>-9</v>
      </c>
    </row>
    <row r="78" spans="1:4" x14ac:dyDescent="0.25">
      <c r="A78" t="s">
        <v>80</v>
      </c>
      <c r="B78" t="s">
        <v>301</v>
      </c>
      <c r="C78" t="s">
        <v>2770</v>
      </c>
      <c r="D78">
        <v>-10</v>
      </c>
    </row>
    <row r="79" spans="1:4" x14ac:dyDescent="0.25">
      <c r="A79" t="s">
        <v>80</v>
      </c>
      <c r="B79" t="s">
        <v>772</v>
      </c>
      <c r="C79" t="s">
        <v>4496</v>
      </c>
      <c r="D79">
        <v>-9</v>
      </c>
    </row>
    <row r="80" spans="1:4" x14ac:dyDescent="0.25">
      <c r="A80" t="s">
        <v>80</v>
      </c>
      <c r="B80" t="s">
        <v>772</v>
      </c>
      <c r="C80" t="s">
        <v>289</v>
      </c>
      <c r="D80">
        <v>-8</v>
      </c>
    </row>
    <row r="81" spans="1:4" x14ac:dyDescent="0.25">
      <c r="A81" t="s">
        <v>80</v>
      </c>
      <c r="B81" t="s">
        <v>451</v>
      </c>
      <c r="C81" t="s">
        <v>2426</v>
      </c>
      <c r="D81">
        <v>-9</v>
      </c>
    </row>
    <row r="82" spans="1:4" x14ac:dyDescent="0.25">
      <c r="A82" t="s">
        <v>80</v>
      </c>
      <c r="B82" t="s">
        <v>451</v>
      </c>
      <c r="C82" t="s">
        <v>291</v>
      </c>
      <c r="D82">
        <v>-10</v>
      </c>
    </row>
    <row r="83" spans="1:4" x14ac:dyDescent="0.25">
      <c r="A83" t="s">
        <v>80</v>
      </c>
      <c r="B83" t="s">
        <v>451</v>
      </c>
      <c r="C83" t="s">
        <v>2620</v>
      </c>
      <c r="D83">
        <v>-11</v>
      </c>
    </row>
    <row r="84" spans="1:4" x14ac:dyDescent="0.25">
      <c r="A84" t="s">
        <v>80</v>
      </c>
      <c r="B84" t="s">
        <v>38</v>
      </c>
      <c r="C84" t="s">
        <v>145</v>
      </c>
      <c r="D84">
        <v>-10</v>
      </c>
    </row>
    <row r="85" spans="1:4" x14ac:dyDescent="0.25">
      <c r="A85" t="s">
        <v>123</v>
      </c>
      <c r="B85" t="s">
        <v>932</v>
      </c>
      <c r="C85" t="s">
        <v>4497</v>
      </c>
      <c r="D85">
        <v>-12</v>
      </c>
    </row>
    <row r="86" spans="1:4" x14ac:dyDescent="0.25">
      <c r="A86" t="s">
        <v>123</v>
      </c>
      <c r="B86" t="s">
        <v>1768</v>
      </c>
      <c r="C86" t="s">
        <v>1790</v>
      </c>
      <c r="D86">
        <v>-13</v>
      </c>
    </row>
    <row r="87" spans="1:4" x14ac:dyDescent="0.25">
      <c r="A87" t="s">
        <v>123</v>
      </c>
      <c r="B87" t="s">
        <v>1768</v>
      </c>
      <c r="C87" t="s">
        <v>1791</v>
      </c>
      <c r="D87">
        <v>-14</v>
      </c>
    </row>
    <row r="88" spans="1:4" x14ac:dyDescent="0.25">
      <c r="A88" t="s">
        <v>123</v>
      </c>
      <c r="B88" t="s">
        <v>800</v>
      </c>
      <c r="C88" t="s">
        <v>4318</v>
      </c>
      <c r="D88">
        <v>-16</v>
      </c>
    </row>
    <row r="89" spans="1:4" x14ac:dyDescent="0.25">
      <c r="A89" t="s">
        <v>123</v>
      </c>
      <c r="B89" t="s">
        <v>648</v>
      </c>
      <c r="C89" t="s">
        <v>4498</v>
      </c>
      <c r="D89">
        <v>-19</v>
      </c>
    </row>
    <row r="90" spans="1:4" x14ac:dyDescent="0.25">
      <c r="A90" t="s">
        <v>123</v>
      </c>
      <c r="B90" t="s">
        <v>1227</v>
      </c>
      <c r="C90" t="s">
        <v>4499</v>
      </c>
      <c r="D90">
        <v>-17</v>
      </c>
    </row>
    <row r="91" spans="1:4" x14ac:dyDescent="0.25">
      <c r="A91" t="s">
        <v>123</v>
      </c>
      <c r="B91" t="s">
        <v>1227</v>
      </c>
      <c r="C91" t="s">
        <v>4500</v>
      </c>
      <c r="D91">
        <v>-16</v>
      </c>
    </row>
    <row r="92" spans="1:4" x14ac:dyDescent="0.25">
      <c r="A92" t="s">
        <v>123</v>
      </c>
      <c r="B92" t="s">
        <v>217</v>
      </c>
      <c r="C92" t="s">
        <v>4501</v>
      </c>
      <c r="D92">
        <v>-15</v>
      </c>
    </row>
    <row r="93" spans="1:4" x14ac:dyDescent="0.25">
      <c r="A93" t="s">
        <v>123</v>
      </c>
      <c r="B93" t="s">
        <v>217</v>
      </c>
      <c r="C93" t="s">
        <v>4502</v>
      </c>
      <c r="D93">
        <v>-14</v>
      </c>
    </row>
    <row r="94" spans="1:4" x14ac:dyDescent="0.25">
      <c r="A94" t="s">
        <v>123</v>
      </c>
      <c r="B94" t="s">
        <v>2154</v>
      </c>
      <c r="C94" t="s">
        <v>2776</v>
      </c>
      <c r="D94">
        <v>-12</v>
      </c>
    </row>
    <row r="95" spans="1:4" x14ac:dyDescent="0.25">
      <c r="A95" t="s">
        <v>123</v>
      </c>
      <c r="B95" t="s">
        <v>519</v>
      </c>
      <c r="C95" t="s">
        <v>2778</v>
      </c>
      <c r="D95">
        <v>-10</v>
      </c>
    </row>
    <row r="96" spans="1:4" x14ac:dyDescent="0.25">
      <c r="A96" t="s">
        <v>123</v>
      </c>
      <c r="B96" t="s">
        <v>1040</v>
      </c>
      <c r="C96" t="s">
        <v>4503</v>
      </c>
      <c r="D96">
        <v>-13</v>
      </c>
    </row>
    <row r="97" spans="1:4" x14ac:dyDescent="0.25">
      <c r="A97" t="s">
        <v>123</v>
      </c>
      <c r="B97" t="s">
        <v>1073</v>
      </c>
      <c r="C97" t="s">
        <v>4485</v>
      </c>
      <c r="D97">
        <v>-12</v>
      </c>
    </row>
    <row r="98" spans="1:4" x14ac:dyDescent="0.25">
      <c r="A98" t="s">
        <v>123</v>
      </c>
      <c r="B98" t="s">
        <v>1073</v>
      </c>
      <c r="C98" t="s">
        <v>1800</v>
      </c>
      <c r="D98">
        <v>-11</v>
      </c>
    </row>
    <row r="99" spans="1:4" x14ac:dyDescent="0.25">
      <c r="A99" t="s">
        <v>123</v>
      </c>
      <c r="B99" t="s">
        <v>70</v>
      </c>
      <c r="C99" t="s">
        <v>1802</v>
      </c>
      <c r="D99">
        <v>-14</v>
      </c>
    </row>
    <row r="100" spans="1:4" x14ac:dyDescent="0.25">
      <c r="A100" t="s">
        <v>123</v>
      </c>
      <c r="B100" t="s">
        <v>146</v>
      </c>
      <c r="C100" t="s">
        <v>1563</v>
      </c>
      <c r="D100">
        <v>-12</v>
      </c>
    </row>
    <row r="101" spans="1:4" x14ac:dyDescent="0.25">
      <c r="A101" t="s">
        <v>123</v>
      </c>
      <c r="B101" t="s">
        <v>671</v>
      </c>
      <c r="C101" t="s">
        <v>1803</v>
      </c>
      <c r="D101">
        <v>-14</v>
      </c>
    </row>
    <row r="102" spans="1:4" x14ac:dyDescent="0.25">
      <c r="A102" t="s">
        <v>123</v>
      </c>
      <c r="B102" t="s">
        <v>29</v>
      </c>
      <c r="C102" t="s">
        <v>1804</v>
      </c>
      <c r="D102">
        <v>-16</v>
      </c>
    </row>
    <row r="103" spans="1:4" x14ac:dyDescent="0.25">
      <c r="A103" t="s">
        <v>123</v>
      </c>
      <c r="B103" t="s">
        <v>1646</v>
      </c>
      <c r="C103" t="s">
        <v>3109</v>
      </c>
      <c r="D103">
        <v>-15</v>
      </c>
    </row>
    <row r="104" spans="1:4" x14ac:dyDescent="0.25">
      <c r="A104" t="s">
        <v>123</v>
      </c>
      <c r="B104" t="s">
        <v>348</v>
      </c>
      <c r="C104" t="s">
        <v>4504</v>
      </c>
      <c r="D104">
        <v>-17</v>
      </c>
    </row>
    <row r="105" spans="1:4" x14ac:dyDescent="0.25">
      <c r="A105" t="s">
        <v>123</v>
      </c>
      <c r="B105" t="s">
        <v>78</v>
      </c>
      <c r="C105" t="s">
        <v>4505</v>
      </c>
      <c r="D105">
        <v>-18</v>
      </c>
    </row>
    <row r="107" spans="1:4" x14ac:dyDescent="0.25">
      <c r="A107" s="2" t="s">
        <v>157</v>
      </c>
    </row>
    <row r="108" spans="1:4" x14ac:dyDescent="0.25">
      <c r="A108" t="s">
        <v>158</v>
      </c>
      <c r="D108">
        <f>AVERAGE(D2:D105)</f>
        <v>-5.6826923076923075</v>
      </c>
    </row>
    <row r="109" spans="1:4" x14ac:dyDescent="0.25">
      <c r="A109" t="s">
        <v>159</v>
      </c>
      <c r="D109">
        <f>MAX(D2:D105)</f>
        <v>7</v>
      </c>
    </row>
    <row r="110" spans="1:4" x14ac:dyDescent="0.25">
      <c r="A110" t="s">
        <v>160</v>
      </c>
      <c r="D110">
        <f>MIN(D2:D105)</f>
        <v>-19</v>
      </c>
    </row>
    <row r="111" spans="1:4" x14ac:dyDescent="0.25">
      <c r="A111" t="s">
        <v>161</v>
      </c>
      <c r="D111">
        <f>COUNTIF(D2:D105,"&gt;0")</f>
        <v>19</v>
      </c>
    </row>
    <row r="112" spans="1:4" x14ac:dyDescent="0.25">
      <c r="A112" t="s">
        <v>162</v>
      </c>
      <c r="D112">
        <f>COUNTIF(D2:D105,"=0")</f>
        <v>3</v>
      </c>
    </row>
    <row r="113" spans="1:4" x14ac:dyDescent="0.25">
      <c r="A113" t="s">
        <v>561</v>
      </c>
      <c r="D113">
        <f>COUNTIF(D2:D105,"&lt;0")</f>
        <v>82</v>
      </c>
    </row>
    <row r="115" spans="1:4" x14ac:dyDescent="0.25">
      <c r="A115" s="2" t="s">
        <v>164</v>
      </c>
    </row>
    <row r="116" spans="1:4" x14ac:dyDescent="0.25">
      <c r="A116" t="s">
        <v>165</v>
      </c>
      <c r="D116">
        <f>AVERAGE(D2,D3,D4,D5,D6,D7,D8,D9,D10,D11,D12,D13,D14,D15,D16,D17,D18,D19,D20,D21,D22,D23,D24,D25)</f>
        <v>-2.25</v>
      </c>
    </row>
    <row r="117" spans="1:4" x14ac:dyDescent="0.25">
      <c r="A117" t="s">
        <v>166</v>
      </c>
      <c r="D117">
        <f>AVERAGE(D26,D27,D28,D29,D30,D31,D32,D33,D34,D35,D36,D37,D38,D39,D40,D41,D42,D43,D44,D45,D46,D47,D48,D49,D50,D51,D52,D53,D54,D55,D56)</f>
        <v>-0.70967741935483875</v>
      </c>
    </row>
    <row r="118" spans="1:4" x14ac:dyDescent="0.25">
      <c r="A118" t="s">
        <v>167</v>
      </c>
      <c r="D118">
        <f>AVERAGE(D57,D58,D59,D60,D61,D62,D63,D64,D65,D66,D67,D68,D69,D70,D71,D72,D73,D74,D75,D76,D77,D78,D79,D80,D81,D82,D83,D84)</f>
        <v>-7.6785714285714288</v>
      </c>
    </row>
    <row r="119" spans="1:4" x14ac:dyDescent="0.25">
      <c r="A119" t="s">
        <v>168</v>
      </c>
      <c r="D119">
        <f>AVERAGE(D85,D86,D87,D88,D89,D90,D91,D92,D93,D94,D95,D96,D97,D98,D99,D100,D101,D102,D103,D104,D105)</f>
        <v>-14.285714285714286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3980</v>
      </c>
    </row>
    <row r="2" spans="1:4" x14ac:dyDescent="0.25">
      <c r="A2" t="s">
        <v>4</v>
      </c>
      <c r="B2" t="s">
        <v>239</v>
      </c>
      <c r="C2" t="s">
        <v>6</v>
      </c>
      <c r="D2">
        <v>2</v>
      </c>
    </row>
    <row r="3" spans="1:4" x14ac:dyDescent="0.25">
      <c r="A3" t="s">
        <v>4</v>
      </c>
      <c r="B3" t="s">
        <v>689</v>
      </c>
      <c r="C3" t="s">
        <v>8</v>
      </c>
      <c r="D3">
        <v>0</v>
      </c>
    </row>
    <row r="4" spans="1:4" x14ac:dyDescent="0.25">
      <c r="A4" t="s">
        <v>4</v>
      </c>
      <c r="B4" t="s">
        <v>1431</v>
      </c>
      <c r="C4" t="s">
        <v>10</v>
      </c>
      <c r="D4">
        <v>-2</v>
      </c>
    </row>
    <row r="5" spans="1:4" x14ac:dyDescent="0.25">
      <c r="A5" t="s">
        <v>4</v>
      </c>
      <c r="B5" t="s">
        <v>47</v>
      </c>
      <c r="C5" t="s">
        <v>12</v>
      </c>
      <c r="D5">
        <v>0</v>
      </c>
    </row>
    <row r="6" spans="1:4" x14ac:dyDescent="0.25">
      <c r="A6" t="s">
        <v>4</v>
      </c>
      <c r="B6" t="s">
        <v>89</v>
      </c>
      <c r="C6" t="s">
        <v>310</v>
      </c>
      <c r="D6">
        <v>-2</v>
      </c>
    </row>
    <row r="7" spans="1:4" x14ac:dyDescent="0.25">
      <c r="A7" t="s">
        <v>4</v>
      </c>
      <c r="B7" t="s">
        <v>250</v>
      </c>
      <c r="C7" t="s">
        <v>311</v>
      </c>
      <c r="D7">
        <v>1</v>
      </c>
    </row>
    <row r="8" spans="1:4" x14ac:dyDescent="0.25">
      <c r="A8" t="s">
        <v>4</v>
      </c>
      <c r="B8" t="s">
        <v>177</v>
      </c>
      <c r="C8" t="s">
        <v>185</v>
      </c>
      <c r="D8">
        <v>4</v>
      </c>
    </row>
    <row r="9" spans="1:4" x14ac:dyDescent="0.25">
      <c r="A9" t="s">
        <v>4</v>
      </c>
      <c r="B9" t="s">
        <v>364</v>
      </c>
      <c r="C9" t="s">
        <v>22</v>
      </c>
      <c r="D9">
        <v>2</v>
      </c>
    </row>
    <row r="10" spans="1:4" x14ac:dyDescent="0.25">
      <c r="A10" t="s">
        <v>4</v>
      </c>
      <c r="B10" t="s">
        <v>58</v>
      </c>
      <c r="C10" t="s">
        <v>785</v>
      </c>
      <c r="D10">
        <v>5</v>
      </c>
    </row>
    <row r="11" spans="1:4" x14ac:dyDescent="0.25">
      <c r="A11" t="s">
        <v>4</v>
      </c>
      <c r="B11" t="s">
        <v>58</v>
      </c>
      <c r="C11" t="s">
        <v>318</v>
      </c>
      <c r="D11">
        <v>6</v>
      </c>
    </row>
    <row r="12" spans="1:4" x14ac:dyDescent="0.25">
      <c r="A12" t="s">
        <v>4</v>
      </c>
      <c r="B12" t="s">
        <v>2266</v>
      </c>
      <c r="C12" t="s">
        <v>1575</v>
      </c>
      <c r="D12">
        <v>4</v>
      </c>
    </row>
    <row r="13" spans="1:4" x14ac:dyDescent="0.25">
      <c r="A13" t="s">
        <v>4</v>
      </c>
      <c r="B13" t="s">
        <v>2158</v>
      </c>
      <c r="C13" t="s">
        <v>1576</v>
      </c>
      <c r="D13">
        <v>7</v>
      </c>
    </row>
    <row r="14" spans="1:4" x14ac:dyDescent="0.25">
      <c r="A14" t="s">
        <v>4</v>
      </c>
      <c r="B14" t="s">
        <v>337</v>
      </c>
      <c r="C14" t="s">
        <v>323</v>
      </c>
      <c r="D14">
        <v>9</v>
      </c>
    </row>
    <row r="15" spans="1:4" x14ac:dyDescent="0.25">
      <c r="A15" t="s">
        <v>4</v>
      </c>
      <c r="B15" t="s">
        <v>2562</v>
      </c>
      <c r="C15" t="s">
        <v>1579</v>
      </c>
      <c r="D15">
        <v>6</v>
      </c>
    </row>
    <row r="16" spans="1:4" x14ac:dyDescent="0.25">
      <c r="A16" t="s">
        <v>4</v>
      </c>
      <c r="B16" t="s">
        <v>1040</v>
      </c>
      <c r="C16" t="s">
        <v>708</v>
      </c>
      <c r="D16">
        <v>3</v>
      </c>
    </row>
    <row r="17" spans="1:4" x14ac:dyDescent="0.25">
      <c r="A17" t="s">
        <v>4</v>
      </c>
      <c r="B17" t="s">
        <v>1217</v>
      </c>
      <c r="C17" t="s">
        <v>330</v>
      </c>
      <c r="D17">
        <v>5</v>
      </c>
    </row>
    <row r="18" spans="1:4" x14ac:dyDescent="0.25">
      <c r="A18" t="s">
        <v>4</v>
      </c>
      <c r="B18" t="s">
        <v>706</v>
      </c>
      <c r="C18" t="s">
        <v>1748</v>
      </c>
      <c r="D18">
        <v>6</v>
      </c>
    </row>
    <row r="19" spans="1:4" x14ac:dyDescent="0.25">
      <c r="A19" t="s">
        <v>4</v>
      </c>
      <c r="B19" t="s">
        <v>706</v>
      </c>
      <c r="C19" t="s">
        <v>923</v>
      </c>
      <c r="D19">
        <v>7</v>
      </c>
    </row>
    <row r="20" spans="1:4" x14ac:dyDescent="0.25">
      <c r="A20" t="s">
        <v>4</v>
      </c>
      <c r="B20" t="s">
        <v>414</v>
      </c>
      <c r="C20" t="s">
        <v>1207</v>
      </c>
      <c r="D20">
        <v>5</v>
      </c>
    </row>
    <row r="21" spans="1:4" x14ac:dyDescent="0.25">
      <c r="A21" t="s">
        <v>4</v>
      </c>
      <c r="B21" t="s">
        <v>2363</v>
      </c>
      <c r="C21" t="s">
        <v>1025</v>
      </c>
      <c r="D21">
        <v>8</v>
      </c>
    </row>
    <row r="22" spans="1:4" x14ac:dyDescent="0.25">
      <c r="A22" t="s">
        <v>4</v>
      </c>
      <c r="B22" t="s">
        <v>202</v>
      </c>
      <c r="C22" t="s">
        <v>1123</v>
      </c>
      <c r="D22">
        <v>6</v>
      </c>
    </row>
    <row r="23" spans="1:4" x14ac:dyDescent="0.25">
      <c r="A23" t="s">
        <v>4</v>
      </c>
      <c r="B23" t="s">
        <v>1874</v>
      </c>
      <c r="C23" t="s">
        <v>2541</v>
      </c>
      <c r="D23">
        <v>9</v>
      </c>
    </row>
    <row r="24" spans="1:4" x14ac:dyDescent="0.25">
      <c r="A24" t="s">
        <v>4</v>
      </c>
      <c r="B24" t="s">
        <v>451</v>
      </c>
      <c r="C24" t="s">
        <v>2524</v>
      </c>
      <c r="D24">
        <v>11</v>
      </c>
    </row>
    <row r="25" spans="1:4" x14ac:dyDescent="0.25">
      <c r="A25" t="s">
        <v>40</v>
      </c>
      <c r="B25" t="s">
        <v>1608</v>
      </c>
      <c r="C25" t="s">
        <v>1031</v>
      </c>
      <c r="D25">
        <v>13</v>
      </c>
    </row>
    <row r="26" spans="1:4" x14ac:dyDescent="0.25">
      <c r="A26" t="s">
        <v>40</v>
      </c>
      <c r="B26" t="s">
        <v>1136</v>
      </c>
      <c r="C26" t="s">
        <v>3122</v>
      </c>
      <c r="D26">
        <v>10</v>
      </c>
    </row>
    <row r="27" spans="1:4" x14ac:dyDescent="0.25">
      <c r="A27" t="s">
        <v>40</v>
      </c>
      <c r="B27" t="s">
        <v>1924</v>
      </c>
      <c r="C27" t="s">
        <v>3007</v>
      </c>
      <c r="D27">
        <v>12</v>
      </c>
    </row>
    <row r="28" spans="1:4" x14ac:dyDescent="0.25">
      <c r="A28" t="s">
        <v>40</v>
      </c>
      <c r="B28" t="s">
        <v>2355</v>
      </c>
      <c r="C28" t="s">
        <v>3393</v>
      </c>
      <c r="D28">
        <v>14</v>
      </c>
    </row>
    <row r="29" spans="1:4" x14ac:dyDescent="0.25">
      <c r="A29" t="s">
        <v>40</v>
      </c>
      <c r="B29" t="s">
        <v>1836</v>
      </c>
      <c r="C29" t="s">
        <v>2905</v>
      </c>
      <c r="D29">
        <v>16</v>
      </c>
    </row>
    <row r="30" spans="1:4" x14ac:dyDescent="0.25">
      <c r="A30" t="s">
        <v>40</v>
      </c>
      <c r="B30" t="s">
        <v>1836</v>
      </c>
      <c r="C30" t="s">
        <v>2058</v>
      </c>
      <c r="D30">
        <v>17</v>
      </c>
    </row>
    <row r="31" spans="1:4" x14ac:dyDescent="0.25">
      <c r="A31" t="s">
        <v>40</v>
      </c>
      <c r="B31" t="s">
        <v>431</v>
      </c>
      <c r="C31" t="s">
        <v>4506</v>
      </c>
      <c r="D31">
        <v>20</v>
      </c>
    </row>
    <row r="32" spans="1:4" x14ac:dyDescent="0.25">
      <c r="A32" t="s">
        <v>40</v>
      </c>
      <c r="B32" t="s">
        <v>779</v>
      </c>
      <c r="C32" t="s">
        <v>2060</v>
      </c>
      <c r="D32">
        <v>18</v>
      </c>
    </row>
    <row r="33" spans="1:4" x14ac:dyDescent="0.25">
      <c r="A33" t="s">
        <v>40</v>
      </c>
      <c r="B33" t="s">
        <v>405</v>
      </c>
      <c r="C33" t="s">
        <v>4507</v>
      </c>
      <c r="D33">
        <v>20</v>
      </c>
    </row>
    <row r="34" spans="1:4" x14ac:dyDescent="0.25">
      <c r="A34" t="s">
        <v>40</v>
      </c>
      <c r="B34" t="s">
        <v>138</v>
      </c>
      <c r="C34" t="s">
        <v>4508</v>
      </c>
      <c r="D34">
        <v>18</v>
      </c>
    </row>
    <row r="35" spans="1:4" x14ac:dyDescent="0.25">
      <c r="A35" t="s">
        <v>40</v>
      </c>
      <c r="B35" t="s">
        <v>2032</v>
      </c>
      <c r="C35" t="s">
        <v>4351</v>
      </c>
      <c r="D35">
        <v>21</v>
      </c>
    </row>
    <row r="36" spans="1:4" x14ac:dyDescent="0.25">
      <c r="A36" t="s">
        <v>40</v>
      </c>
      <c r="B36" t="s">
        <v>1725</v>
      </c>
      <c r="C36" t="s">
        <v>3164</v>
      </c>
      <c r="D36">
        <v>20</v>
      </c>
    </row>
    <row r="37" spans="1:4" x14ac:dyDescent="0.25">
      <c r="A37" t="s">
        <v>40</v>
      </c>
      <c r="B37" t="s">
        <v>1725</v>
      </c>
      <c r="C37" t="s">
        <v>3396</v>
      </c>
      <c r="D37">
        <v>19</v>
      </c>
    </row>
    <row r="38" spans="1:4" x14ac:dyDescent="0.25">
      <c r="A38" t="s">
        <v>40</v>
      </c>
      <c r="B38" t="s">
        <v>221</v>
      </c>
      <c r="C38" t="s">
        <v>3397</v>
      </c>
      <c r="D38">
        <v>22</v>
      </c>
    </row>
    <row r="39" spans="1:4" x14ac:dyDescent="0.25">
      <c r="A39" t="s">
        <v>40</v>
      </c>
      <c r="B39" t="s">
        <v>261</v>
      </c>
      <c r="C39" t="s">
        <v>3375</v>
      </c>
      <c r="D39">
        <v>19</v>
      </c>
    </row>
    <row r="40" spans="1:4" x14ac:dyDescent="0.25">
      <c r="A40" t="s">
        <v>40</v>
      </c>
      <c r="B40" t="s">
        <v>743</v>
      </c>
      <c r="C40" t="s">
        <v>4147</v>
      </c>
      <c r="D40">
        <v>18</v>
      </c>
    </row>
    <row r="41" spans="1:4" x14ac:dyDescent="0.25">
      <c r="A41" t="s">
        <v>40</v>
      </c>
      <c r="B41" t="s">
        <v>104</v>
      </c>
      <c r="C41" t="s">
        <v>4148</v>
      </c>
      <c r="D41">
        <v>20</v>
      </c>
    </row>
    <row r="42" spans="1:4" x14ac:dyDescent="0.25">
      <c r="A42" t="s">
        <v>40</v>
      </c>
      <c r="B42" t="s">
        <v>1442</v>
      </c>
      <c r="C42" t="s">
        <v>3126</v>
      </c>
      <c r="D42">
        <v>17</v>
      </c>
    </row>
    <row r="43" spans="1:4" x14ac:dyDescent="0.25">
      <c r="A43" t="s">
        <v>40</v>
      </c>
      <c r="B43" t="s">
        <v>67</v>
      </c>
      <c r="C43" t="s">
        <v>3127</v>
      </c>
      <c r="D43">
        <v>19</v>
      </c>
    </row>
    <row r="44" spans="1:4" x14ac:dyDescent="0.25">
      <c r="A44" t="s">
        <v>40</v>
      </c>
      <c r="B44" t="s">
        <v>544</v>
      </c>
      <c r="C44" t="s">
        <v>3128</v>
      </c>
      <c r="D44">
        <v>18</v>
      </c>
    </row>
    <row r="45" spans="1:4" x14ac:dyDescent="0.25">
      <c r="A45" t="s">
        <v>40</v>
      </c>
      <c r="B45" t="s">
        <v>544</v>
      </c>
      <c r="C45" t="s">
        <v>2664</v>
      </c>
      <c r="D45">
        <v>17</v>
      </c>
    </row>
    <row r="46" spans="1:4" x14ac:dyDescent="0.25">
      <c r="A46" t="s">
        <v>40</v>
      </c>
      <c r="B46" t="s">
        <v>1422</v>
      </c>
      <c r="C46" t="s">
        <v>1681</v>
      </c>
      <c r="D46">
        <v>14</v>
      </c>
    </row>
    <row r="47" spans="1:4" x14ac:dyDescent="0.25">
      <c r="A47" t="s">
        <v>40</v>
      </c>
      <c r="B47" t="s">
        <v>2317</v>
      </c>
      <c r="C47" t="s">
        <v>2787</v>
      </c>
      <c r="D47">
        <v>16</v>
      </c>
    </row>
    <row r="48" spans="1:4" x14ac:dyDescent="0.25">
      <c r="A48" t="s">
        <v>40</v>
      </c>
      <c r="B48" t="s">
        <v>118</v>
      </c>
      <c r="C48" t="s">
        <v>2366</v>
      </c>
      <c r="D48">
        <v>13</v>
      </c>
    </row>
    <row r="49" spans="1:4" x14ac:dyDescent="0.25">
      <c r="A49" t="s">
        <v>40</v>
      </c>
      <c r="B49" t="s">
        <v>552</v>
      </c>
      <c r="C49" t="s">
        <v>1461</v>
      </c>
      <c r="D49">
        <v>12</v>
      </c>
    </row>
    <row r="50" spans="1:4" x14ac:dyDescent="0.25">
      <c r="A50" t="s">
        <v>40</v>
      </c>
      <c r="B50" t="s">
        <v>552</v>
      </c>
      <c r="C50" t="s">
        <v>1462</v>
      </c>
      <c r="D50">
        <v>11</v>
      </c>
    </row>
    <row r="51" spans="1:4" x14ac:dyDescent="0.25">
      <c r="A51" t="s">
        <v>40</v>
      </c>
      <c r="B51" t="s">
        <v>972</v>
      </c>
      <c r="C51" t="s">
        <v>1463</v>
      </c>
      <c r="D51">
        <v>10</v>
      </c>
    </row>
    <row r="52" spans="1:4" x14ac:dyDescent="0.25">
      <c r="A52" t="s">
        <v>40</v>
      </c>
      <c r="B52" t="s">
        <v>972</v>
      </c>
      <c r="C52" t="s">
        <v>4225</v>
      </c>
      <c r="D52">
        <v>9</v>
      </c>
    </row>
    <row r="53" spans="1:4" x14ac:dyDescent="0.25">
      <c r="A53" t="s">
        <v>80</v>
      </c>
      <c r="B53" t="s">
        <v>124</v>
      </c>
      <c r="C53" t="s">
        <v>1954</v>
      </c>
      <c r="D53">
        <v>11</v>
      </c>
    </row>
    <row r="54" spans="1:4" x14ac:dyDescent="0.25">
      <c r="A54" t="s">
        <v>80</v>
      </c>
      <c r="B54" t="s">
        <v>124</v>
      </c>
      <c r="C54" t="s">
        <v>3722</v>
      </c>
      <c r="D54">
        <v>12</v>
      </c>
    </row>
    <row r="55" spans="1:4" x14ac:dyDescent="0.25">
      <c r="A55" t="s">
        <v>80</v>
      </c>
      <c r="B55" t="s">
        <v>126</v>
      </c>
      <c r="C55" t="s">
        <v>1161</v>
      </c>
      <c r="D55">
        <v>10</v>
      </c>
    </row>
    <row r="56" spans="1:4" x14ac:dyDescent="0.25">
      <c r="A56" t="s">
        <v>80</v>
      </c>
      <c r="B56" t="s">
        <v>2570</v>
      </c>
      <c r="C56" t="s">
        <v>2865</v>
      </c>
      <c r="D56">
        <v>12</v>
      </c>
    </row>
    <row r="57" spans="1:4" x14ac:dyDescent="0.25">
      <c r="A57" t="s">
        <v>80</v>
      </c>
      <c r="B57" t="s">
        <v>511</v>
      </c>
      <c r="C57" t="s">
        <v>2669</v>
      </c>
      <c r="D57">
        <v>13</v>
      </c>
    </row>
    <row r="58" spans="1:4" x14ac:dyDescent="0.25">
      <c r="A58" t="s">
        <v>80</v>
      </c>
      <c r="B58" t="s">
        <v>511</v>
      </c>
      <c r="C58" t="s">
        <v>2793</v>
      </c>
      <c r="D58">
        <v>14</v>
      </c>
    </row>
    <row r="59" spans="1:4" x14ac:dyDescent="0.25">
      <c r="A59" t="s">
        <v>80</v>
      </c>
      <c r="B59" t="s">
        <v>2074</v>
      </c>
      <c r="C59" t="s">
        <v>2671</v>
      </c>
      <c r="D59">
        <v>16</v>
      </c>
    </row>
    <row r="60" spans="1:4" x14ac:dyDescent="0.25">
      <c r="A60" t="s">
        <v>80</v>
      </c>
      <c r="B60" t="s">
        <v>937</v>
      </c>
      <c r="C60" t="s">
        <v>2866</v>
      </c>
      <c r="D60">
        <v>14</v>
      </c>
    </row>
    <row r="61" spans="1:4" x14ac:dyDescent="0.25">
      <c r="A61" t="s">
        <v>80</v>
      </c>
      <c r="B61" t="s">
        <v>462</v>
      </c>
      <c r="C61" t="s">
        <v>4018</v>
      </c>
      <c r="D61">
        <v>16</v>
      </c>
    </row>
    <row r="62" spans="1:4" x14ac:dyDescent="0.25">
      <c r="A62" t="s">
        <v>80</v>
      </c>
      <c r="B62" t="s">
        <v>1065</v>
      </c>
      <c r="C62" t="s">
        <v>4355</v>
      </c>
      <c r="D62">
        <v>18</v>
      </c>
    </row>
    <row r="63" spans="1:4" x14ac:dyDescent="0.25">
      <c r="A63" t="s">
        <v>80</v>
      </c>
      <c r="B63" t="s">
        <v>1065</v>
      </c>
      <c r="C63" t="s">
        <v>4019</v>
      </c>
      <c r="D63">
        <v>19</v>
      </c>
    </row>
    <row r="64" spans="1:4" x14ac:dyDescent="0.25">
      <c r="A64" t="s">
        <v>80</v>
      </c>
      <c r="B64" t="s">
        <v>1775</v>
      </c>
      <c r="C64" t="s">
        <v>3850</v>
      </c>
      <c r="D64">
        <v>21</v>
      </c>
    </row>
    <row r="65" spans="1:4" x14ac:dyDescent="0.25">
      <c r="A65" t="s">
        <v>80</v>
      </c>
      <c r="B65" t="s">
        <v>1228</v>
      </c>
      <c r="C65" t="s">
        <v>2837</v>
      </c>
      <c r="D65">
        <v>23</v>
      </c>
    </row>
    <row r="66" spans="1:4" x14ac:dyDescent="0.25">
      <c r="A66" t="s">
        <v>80</v>
      </c>
      <c r="B66" t="s">
        <v>1795</v>
      </c>
      <c r="C66" t="s">
        <v>3142</v>
      </c>
      <c r="D66">
        <v>26</v>
      </c>
    </row>
    <row r="67" spans="1:4" x14ac:dyDescent="0.25">
      <c r="A67" t="s">
        <v>80</v>
      </c>
      <c r="B67" t="s">
        <v>104</v>
      </c>
      <c r="C67" t="s">
        <v>4155</v>
      </c>
      <c r="D67">
        <v>24</v>
      </c>
    </row>
    <row r="68" spans="1:4" x14ac:dyDescent="0.25">
      <c r="A68" t="s">
        <v>80</v>
      </c>
      <c r="B68" t="s">
        <v>605</v>
      </c>
      <c r="C68" t="s">
        <v>3384</v>
      </c>
      <c r="D68">
        <v>22</v>
      </c>
    </row>
    <row r="69" spans="1:4" x14ac:dyDescent="0.25">
      <c r="A69" t="s">
        <v>80</v>
      </c>
      <c r="B69" t="s">
        <v>894</v>
      </c>
      <c r="C69" t="s">
        <v>4156</v>
      </c>
      <c r="D69">
        <v>24</v>
      </c>
    </row>
    <row r="70" spans="1:4" x14ac:dyDescent="0.25">
      <c r="A70" t="s">
        <v>80</v>
      </c>
      <c r="B70" t="s">
        <v>671</v>
      </c>
      <c r="C70" t="s">
        <v>2381</v>
      </c>
      <c r="D70">
        <v>22</v>
      </c>
    </row>
    <row r="71" spans="1:4" x14ac:dyDescent="0.25">
      <c r="A71" t="s">
        <v>80</v>
      </c>
      <c r="B71" t="s">
        <v>815</v>
      </c>
      <c r="C71" t="s">
        <v>3355</v>
      </c>
      <c r="D71">
        <v>19</v>
      </c>
    </row>
    <row r="72" spans="1:4" x14ac:dyDescent="0.25">
      <c r="A72" t="s">
        <v>80</v>
      </c>
      <c r="B72" t="s">
        <v>537</v>
      </c>
      <c r="C72" t="s">
        <v>3356</v>
      </c>
      <c r="D72">
        <v>16</v>
      </c>
    </row>
    <row r="73" spans="1:4" x14ac:dyDescent="0.25">
      <c r="A73" t="s">
        <v>80</v>
      </c>
      <c r="B73" t="s">
        <v>78</v>
      </c>
      <c r="C73" t="s">
        <v>4069</v>
      </c>
      <c r="D73">
        <v>19</v>
      </c>
    </row>
    <row r="74" spans="1:4" x14ac:dyDescent="0.25">
      <c r="A74" t="s">
        <v>123</v>
      </c>
      <c r="B74" t="s">
        <v>1007</v>
      </c>
      <c r="C74" t="s">
        <v>3854</v>
      </c>
      <c r="D74">
        <v>17</v>
      </c>
    </row>
    <row r="75" spans="1:4" x14ac:dyDescent="0.25">
      <c r="A75" t="s">
        <v>123</v>
      </c>
      <c r="B75" t="s">
        <v>1007</v>
      </c>
      <c r="C75" t="s">
        <v>3022</v>
      </c>
      <c r="D75">
        <v>16</v>
      </c>
    </row>
    <row r="76" spans="1:4" x14ac:dyDescent="0.25">
      <c r="A76" t="s">
        <v>123</v>
      </c>
      <c r="B76" t="s">
        <v>7</v>
      </c>
      <c r="C76" t="s">
        <v>4509</v>
      </c>
      <c r="D76">
        <v>17</v>
      </c>
    </row>
    <row r="77" spans="1:4" x14ac:dyDescent="0.25">
      <c r="A77" t="s">
        <v>123</v>
      </c>
      <c r="B77" t="s">
        <v>757</v>
      </c>
      <c r="C77" t="s">
        <v>1485</v>
      </c>
      <c r="D77">
        <v>15</v>
      </c>
    </row>
    <row r="78" spans="1:4" x14ac:dyDescent="0.25">
      <c r="A78" t="s">
        <v>123</v>
      </c>
      <c r="B78" t="s">
        <v>935</v>
      </c>
      <c r="C78" t="s">
        <v>3855</v>
      </c>
      <c r="D78">
        <v>17</v>
      </c>
    </row>
    <row r="79" spans="1:4" x14ac:dyDescent="0.25">
      <c r="A79" t="s">
        <v>123</v>
      </c>
      <c r="B79" t="s">
        <v>357</v>
      </c>
      <c r="C79" t="s">
        <v>1487</v>
      </c>
      <c r="D79">
        <v>14</v>
      </c>
    </row>
    <row r="80" spans="1:4" x14ac:dyDescent="0.25">
      <c r="A80" t="s">
        <v>123</v>
      </c>
      <c r="B80" t="s">
        <v>1836</v>
      </c>
      <c r="C80" t="s">
        <v>3709</v>
      </c>
      <c r="D80">
        <v>16</v>
      </c>
    </row>
    <row r="81" spans="1:4" x14ac:dyDescent="0.25">
      <c r="A81" t="s">
        <v>123</v>
      </c>
      <c r="B81" t="s">
        <v>1771</v>
      </c>
      <c r="C81" t="s">
        <v>1490</v>
      </c>
      <c r="D81">
        <v>14</v>
      </c>
    </row>
    <row r="82" spans="1:4" x14ac:dyDescent="0.25">
      <c r="A82" t="s">
        <v>123</v>
      </c>
      <c r="B82" t="s">
        <v>177</v>
      </c>
      <c r="C82" t="s">
        <v>2681</v>
      </c>
      <c r="D82">
        <v>15</v>
      </c>
    </row>
    <row r="83" spans="1:4" x14ac:dyDescent="0.25">
      <c r="A83" t="s">
        <v>123</v>
      </c>
      <c r="B83" t="s">
        <v>1816</v>
      </c>
      <c r="C83" t="s">
        <v>4510</v>
      </c>
      <c r="D83">
        <v>13</v>
      </c>
    </row>
    <row r="84" spans="1:4" x14ac:dyDescent="0.25">
      <c r="A84" t="s">
        <v>123</v>
      </c>
      <c r="B84" t="s">
        <v>97</v>
      </c>
      <c r="C84" t="s">
        <v>4403</v>
      </c>
      <c r="D84">
        <v>11</v>
      </c>
    </row>
    <row r="85" spans="1:4" x14ac:dyDescent="0.25">
      <c r="A85" t="s">
        <v>123</v>
      </c>
      <c r="B85" t="s">
        <v>628</v>
      </c>
      <c r="C85" t="s">
        <v>4404</v>
      </c>
      <c r="D85">
        <v>9</v>
      </c>
    </row>
    <row r="86" spans="1:4" x14ac:dyDescent="0.25">
      <c r="A86" t="s">
        <v>123</v>
      </c>
      <c r="B86" t="s">
        <v>284</v>
      </c>
      <c r="C86" t="s">
        <v>4473</v>
      </c>
      <c r="D86">
        <v>11</v>
      </c>
    </row>
    <row r="87" spans="1:4" x14ac:dyDescent="0.25">
      <c r="A87" t="s">
        <v>123</v>
      </c>
      <c r="B87" t="s">
        <v>104</v>
      </c>
      <c r="C87" t="s">
        <v>4395</v>
      </c>
      <c r="D87">
        <v>9</v>
      </c>
    </row>
    <row r="88" spans="1:4" x14ac:dyDescent="0.25">
      <c r="A88" t="s">
        <v>123</v>
      </c>
      <c r="B88" t="s">
        <v>317</v>
      </c>
      <c r="C88" t="s">
        <v>2471</v>
      </c>
      <c r="D88">
        <v>6</v>
      </c>
    </row>
    <row r="89" spans="1:4" x14ac:dyDescent="0.25">
      <c r="A89" t="s">
        <v>123</v>
      </c>
      <c r="B89" t="s">
        <v>1396</v>
      </c>
      <c r="C89" t="s">
        <v>3076</v>
      </c>
      <c r="D89">
        <v>5</v>
      </c>
    </row>
    <row r="90" spans="1:4" x14ac:dyDescent="0.25">
      <c r="A90" t="s">
        <v>123</v>
      </c>
      <c r="B90" t="s">
        <v>31</v>
      </c>
      <c r="C90" t="s">
        <v>4221</v>
      </c>
      <c r="D90">
        <v>6</v>
      </c>
    </row>
    <row r="91" spans="1:4" x14ac:dyDescent="0.25">
      <c r="A91" t="s">
        <v>123</v>
      </c>
      <c r="B91" t="s">
        <v>1113</v>
      </c>
      <c r="C91" t="s">
        <v>4464</v>
      </c>
      <c r="D91">
        <v>3</v>
      </c>
    </row>
    <row r="92" spans="1:4" x14ac:dyDescent="0.25">
      <c r="A92" t="s">
        <v>123</v>
      </c>
      <c r="B92" t="s">
        <v>1733</v>
      </c>
      <c r="C92" t="s">
        <v>878</v>
      </c>
      <c r="D92">
        <v>1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12.538461538461538</v>
      </c>
    </row>
    <row r="96" spans="1:4" x14ac:dyDescent="0.25">
      <c r="A96" t="s">
        <v>159</v>
      </c>
      <c r="D96">
        <f>MAX(D2:D92)</f>
        <v>26</v>
      </c>
    </row>
    <row r="97" spans="1:4" x14ac:dyDescent="0.25">
      <c r="A97" t="s">
        <v>160</v>
      </c>
      <c r="D97">
        <f>MIN(D2:D92)</f>
        <v>-2</v>
      </c>
    </row>
    <row r="98" spans="1:4" x14ac:dyDescent="0.25">
      <c r="A98" t="s">
        <v>161</v>
      </c>
      <c r="D98">
        <f>COUNTIF(D2:D92,"&gt;0")</f>
        <v>87</v>
      </c>
    </row>
    <row r="99" spans="1:4" x14ac:dyDescent="0.25">
      <c r="A99" t="s">
        <v>162</v>
      </c>
      <c r="D99">
        <f>COUNTIF(D2:D92,"=0")</f>
        <v>2</v>
      </c>
    </row>
    <row r="100" spans="1:4" x14ac:dyDescent="0.25">
      <c r="A100" t="s">
        <v>3983</v>
      </c>
      <c r="D100">
        <f>COUNTIF(D2:D92,"&lt;0")</f>
        <v>2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AVERAGE(D2,D3,D4,D5,D6,D7,D8,D9,D10,D11,D12,D13,D14,D15,D16,D17,D18,D19,D20,D21,D22,D23,D24)</f>
        <v>4.4347826086956523</v>
      </c>
    </row>
    <row r="104" spans="1:4" x14ac:dyDescent="0.25">
      <c r="A104" t="s">
        <v>166</v>
      </c>
      <c r="D104">
        <f>AVERAGE(D25,D26,D27,D28,D29,D30,D31,D32,D33,D34,D35,D36,D37,D38,D39,D40,D41,D42,D43,D44,D45,D46,D47,D48,D49,D50,D51,D52)</f>
        <v>16.178571428571427</v>
      </c>
    </row>
    <row r="105" spans="1:4" x14ac:dyDescent="0.25">
      <c r="A105" t="s">
        <v>167</v>
      </c>
      <c r="D105">
        <f>AVERAGE(D53,D54,D55,D56,D57,D58,D59,D60,D61,D62,D63,D64,D65,D66,D67,D68,D69,D70,D71,D72,D73)</f>
        <v>17.666666666666668</v>
      </c>
    </row>
    <row r="106" spans="1:4" x14ac:dyDescent="0.25">
      <c r="A106" t="s">
        <v>168</v>
      </c>
      <c r="D106">
        <f>AVERAGE(D74,D75,D76,D77,D78,D79,D80,D81,D82,D83,D84,D85,D86,D87,D88,D89,D90,D91,D92)</f>
        <v>11.315789473684211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D123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1265</v>
      </c>
    </row>
    <row r="2" spans="1:4" x14ac:dyDescent="0.25">
      <c r="A2" t="s">
        <v>4</v>
      </c>
      <c r="B2" t="s">
        <v>795</v>
      </c>
      <c r="C2" t="s">
        <v>6</v>
      </c>
      <c r="D2">
        <v>2</v>
      </c>
    </row>
    <row r="3" spans="1:4" x14ac:dyDescent="0.25">
      <c r="A3" t="s">
        <v>4</v>
      </c>
      <c r="B3" t="s">
        <v>689</v>
      </c>
      <c r="C3" t="s">
        <v>2353</v>
      </c>
      <c r="D3">
        <v>4</v>
      </c>
    </row>
    <row r="4" spans="1:4" x14ac:dyDescent="0.25">
      <c r="A4" t="s">
        <v>4</v>
      </c>
      <c r="B4" t="s">
        <v>271</v>
      </c>
      <c r="C4" t="s">
        <v>564</v>
      </c>
      <c r="D4">
        <v>2</v>
      </c>
    </row>
    <row r="5" spans="1:4" x14ac:dyDescent="0.25">
      <c r="A5" t="s">
        <v>4</v>
      </c>
      <c r="B5" t="s">
        <v>691</v>
      </c>
      <c r="C5" t="s">
        <v>309</v>
      </c>
      <c r="D5">
        <v>-1</v>
      </c>
    </row>
    <row r="6" spans="1:4" x14ac:dyDescent="0.25">
      <c r="A6" t="s">
        <v>4</v>
      </c>
      <c r="B6" t="s">
        <v>1493</v>
      </c>
      <c r="C6" t="s">
        <v>1193</v>
      </c>
      <c r="D6">
        <v>1</v>
      </c>
    </row>
    <row r="7" spans="1:4" x14ac:dyDescent="0.25">
      <c r="A7" t="s">
        <v>4</v>
      </c>
      <c r="B7" t="s">
        <v>1824</v>
      </c>
      <c r="C7" t="s">
        <v>16</v>
      </c>
      <c r="D7">
        <v>-1</v>
      </c>
    </row>
    <row r="8" spans="1:4" x14ac:dyDescent="0.25">
      <c r="A8" t="s">
        <v>4</v>
      </c>
      <c r="B8" t="s">
        <v>759</v>
      </c>
      <c r="C8" t="s">
        <v>569</v>
      </c>
      <c r="D8">
        <v>2</v>
      </c>
    </row>
    <row r="9" spans="1:4" x14ac:dyDescent="0.25">
      <c r="A9" t="s">
        <v>4</v>
      </c>
      <c r="B9" t="s">
        <v>914</v>
      </c>
      <c r="C9" t="s">
        <v>3087</v>
      </c>
      <c r="D9">
        <v>1</v>
      </c>
    </row>
    <row r="10" spans="1:4" x14ac:dyDescent="0.25">
      <c r="A10" t="s">
        <v>4</v>
      </c>
      <c r="B10" t="s">
        <v>914</v>
      </c>
      <c r="C10" t="s">
        <v>571</v>
      </c>
      <c r="D10">
        <v>0</v>
      </c>
    </row>
    <row r="11" spans="1:4" x14ac:dyDescent="0.25">
      <c r="A11" t="s">
        <v>4</v>
      </c>
      <c r="B11" t="s">
        <v>497</v>
      </c>
      <c r="C11" t="s">
        <v>573</v>
      </c>
      <c r="D11">
        <v>2</v>
      </c>
    </row>
    <row r="12" spans="1:4" x14ac:dyDescent="0.25">
      <c r="A12" t="s">
        <v>4</v>
      </c>
      <c r="B12" t="s">
        <v>802</v>
      </c>
      <c r="C12" t="s">
        <v>439</v>
      </c>
      <c r="D12">
        <v>1</v>
      </c>
    </row>
    <row r="13" spans="1:4" x14ac:dyDescent="0.25">
      <c r="A13" t="s">
        <v>4</v>
      </c>
      <c r="B13" t="s">
        <v>802</v>
      </c>
      <c r="C13" t="s">
        <v>574</v>
      </c>
      <c r="D13">
        <v>0</v>
      </c>
    </row>
    <row r="14" spans="1:4" x14ac:dyDescent="0.25">
      <c r="A14" t="s">
        <v>4</v>
      </c>
      <c r="B14" t="s">
        <v>802</v>
      </c>
      <c r="C14" t="s">
        <v>575</v>
      </c>
      <c r="D14">
        <v>-1</v>
      </c>
    </row>
    <row r="15" spans="1:4" x14ac:dyDescent="0.25">
      <c r="A15" t="s">
        <v>4</v>
      </c>
      <c r="B15" t="s">
        <v>2170</v>
      </c>
      <c r="C15" t="s">
        <v>919</v>
      </c>
      <c r="D15">
        <v>1</v>
      </c>
    </row>
    <row r="16" spans="1:4" x14ac:dyDescent="0.25">
      <c r="A16" t="s">
        <v>4</v>
      </c>
      <c r="B16" t="s">
        <v>1598</v>
      </c>
      <c r="C16" t="s">
        <v>1435</v>
      </c>
      <c r="D16">
        <v>-1</v>
      </c>
    </row>
    <row r="17" spans="1:4" x14ac:dyDescent="0.25">
      <c r="A17" t="s">
        <v>4</v>
      </c>
      <c r="B17" t="s">
        <v>2032</v>
      </c>
      <c r="C17" t="s">
        <v>921</v>
      </c>
      <c r="D17">
        <v>1</v>
      </c>
    </row>
    <row r="18" spans="1:4" x14ac:dyDescent="0.25">
      <c r="A18" t="s">
        <v>4</v>
      </c>
      <c r="B18" t="s">
        <v>598</v>
      </c>
      <c r="C18" t="s">
        <v>2538</v>
      </c>
      <c r="D18">
        <v>3</v>
      </c>
    </row>
    <row r="19" spans="1:4" x14ac:dyDescent="0.25">
      <c r="A19" t="s">
        <v>4</v>
      </c>
      <c r="B19" t="s">
        <v>701</v>
      </c>
      <c r="C19" t="s">
        <v>707</v>
      </c>
      <c r="D19">
        <v>1</v>
      </c>
    </row>
    <row r="20" spans="1:4" x14ac:dyDescent="0.25">
      <c r="A20" t="s">
        <v>4</v>
      </c>
      <c r="B20" t="s">
        <v>747</v>
      </c>
      <c r="C20" t="s">
        <v>708</v>
      </c>
      <c r="D20">
        <v>3</v>
      </c>
    </row>
    <row r="21" spans="1:4" x14ac:dyDescent="0.25">
      <c r="A21" t="s">
        <v>4</v>
      </c>
      <c r="B21" t="s">
        <v>1640</v>
      </c>
      <c r="C21" t="s">
        <v>790</v>
      </c>
      <c r="D21">
        <v>4</v>
      </c>
    </row>
    <row r="22" spans="1:4" x14ac:dyDescent="0.25">
      <c r="A22" t="s">
        <v>4</v>
      </c>
      <c r="B22" t="s">
        <v>1132</v>
      </c>
      <c r="C22" t="s">
        <v>1748</v>
      </c>
      <c r="D22">
        <v>6</v>
      </c>
    </row>
    <row r="23" spans="1:4" x14ac:dyDescent="0.25">
      <c r="A23" t="s">
        <v>4</v>
      </c>
      <c r="B23" t="s">
        <v>732</v>
      </c>
      <c r="C23" t="s">
        <v>1120</v>
      </c>
      <c r="D23">
        <v>4</v>
      </c>
    </row>
    <row r="24" spans="1:4" x14ac:dyDescent="0.25">
      <c r="A24" t="s">
        <v>4</v>
      </c>
      <c r="B24" t="s">
        <v>554</v>
      </c>
      <c r="C24" t="s">
        <v>586</v>
      </c>
      <c r="D24">
        <v>3</v>
      </c>
    </row>
    <row r="25" spans="1:4" x14ac:dyDescent="0.25">
      <c r="A25" t="s">
        <v>4</v>
      </c>
      <c r="B25" t="s">
        <v>554</v>
      </c>
      <c r="C25" t="s">
        <v>1121</v>
      </c>
      <c r="D25">
        <v>2</v>
      </c>
    </row>
    <row r="26" spans="1:4" x14ac:dyDescent="0.25">
      <c r="A26" t="s">
        <v>4</v>
      </c>
      <c r="B26" t="s">
        <v>582</v>
      </c>
      <c r="C26" t="s">
        <v>1122</v>
      </c>
      <c r="D26">
        <v>4</v>
      </c>
    </row>
    <row r="27" spans="1:4" x14ac:dyDescent="0.25">
      <c r="A27" t="s">
        <v>4</v>
      </c>
      <c r="B27" t="s">
        <v>537</v>
      </c>
      <c r="C27" t="s">
        <v>1751</v>
      </c>
      <c r="D27">
        <v>2</v>
      </c>
    </row>
    <row r="28" spans="1:4" x14ac:dyDescent="0.25">
      <c r="A28" t="s">
        <v>4</v>
      </c>
      <c r="B28" t="s">
        <v>78</v>
      </c>
      <c r="C28" t="s">
        <v>1752</v>
      </c>
      <c r="D28">
        <v>4</v>
      </c>
    </row>
    <row r="29" spans="1:4" x14ac:dyDescent="0.25">
      <c r="A29" t="s">
        <v>40</v>
      </c>
      <c r="B29" t="s">
        <v>1024</v>
      </c>
      <c r="C29" t="s">
        <v>2124</v>
      </c>
      <c r="D29">
        <v>6</v>
      </c>
    </row>
    <row r="30" spans="1:4" x14ac:dyDescent="0.25">
      <c r="A30" t="s">
        <v>40</v>
      </c>
      <c r="B30" t="s">
        <v>565</v>
      </c>
      <c r="C30" t="s">
        <v>340</v>
      </c>
      <c r="D30">
        <v>3</v>
      </c>
    </row>
    <row r="31" spans="1:4" x14ac:dyDescent="0.25">
      <c r="A31" t="s">
        <v>40</v>
      </c>
      <c r="B31" t="s">
        <v>588</v>
      </c>
      <c r="C31" t="s">
        <v>1584</v>
      </c>
      <c r="D31">
        <v>5</v>
      </c>
    </row>
    <row r="32" spans="1:4" x14ac:dyDescent="0.25">
      <c r="A32" t="s">
        <v>40</v>
      </c>
      <c r="B32" t="s">
        <v>832</v>
      </c>
      <c r="C32" t="s">
        <v>1125</v>
      </c>
      <c r="D32">
        <v>6</v>
      </c>
    </row>
    <row r="33" spans="1:4" x14ac:dyDescent="0.25">
      <c r="A33" t="s">
        <v>40</v>
      </c>
      <c r="B33" t="s">
        <v>363</v>
      </c>
      <c r="C33" t="s">
        <v>934</v>
      </c>
      <c r="D33">
        <v>5</v>
      </c>
    </row>
    <row r="34" spans="1:4" x14ac:dyDescent="0.25">
      <c r="A34" t="s">
        <v>40</v>
      </c>
      <c r="B34" t="s">
        <v>363</v>
      </c>
      <c r="C34" t="s">
        <v>2360</v>
      </c>
      <c r="D34">
        <v>4</v>
      </c>
    </row>
    <row r="35" spans="1:4" x14ac:dyDescent="0.25">
      <c r="A35" t="s">
        <v>40</v>
      </c>
      <c r="B35" t="s">
        <v>2170</v>
      </c>
      <c r="C35" t="s">
        <v>936</v>
      </c>
      <c r="D35">
        <v>2</v>
      </c>
    </row>
    <row r="36" spans="1:4" x14ac:dyDescent="0.25">
      <c r="A36" t="s">
        <v>40</v>
      </c>
      <c r="B36" t="s">
        <v>726</v>
      </c>
      <c r="C36" t="s">
        <v>1214</v>
      </c>
      <c r="D36">
        <v>5</v>
      </c>
    </row>
    <row r="37" spans="1:4" x14ac:dyDescent="0.25">
      <c r="A37" t="s">
        <v>40</v>
      </c>
      <c r="B37" t="s">
        <v>1349</v>
      </c>
      <c r="C37" t="s">
        <v>1215</v>
      </c>
      <c r="D37">
        <v>8</v>
      </c>
    </row>
    <row r="38" spans="1:4" x14ac:dyDescent="0.25">
      <c r="A38" t="s">
        <v>40</v>
      </c>
      <c r="B38" t="s">
        <v>729</v>
      </c>
      <c r="C38" t="s">
        <v>940</v>
      </c>
      <c r="D38">
        <v>6</v>
      </c>
    </row>
    <row r="39" spans="1:4" x14ac:dyDescent="0.25">
      <c r="A39" t="s">
        <v>40</v>
      </c>
      <c r="B39" t="s">
        <v>1016</v>
      </c>
      <c r="C39" t="s">
        <v>942</v>
      </c>
      <c r="D39">
        <v>8</v>
      </c>
    </row>
    <row r="40" spans="1:4" x14ac:dyDescent="0.25">
      <c r="A40" t="s">
        <v>40</v>
      </c>
      <c r="B40" t="s">
        <v>890</v>
      </c>
      <c r="C40" t="s">
        <v>2565</v>
      </c>
      <c r="D40">
        <v>7</v>
      </c>
    </row>
    <row r="41" spans="1:4" x14ac:dyDescent="0.25">
      <c r="A41" t="s">
        <v>40</v>
      </c>
      <c r="B41" t="s">
        <v>890</v>
      </c>
      <c r="C41" t="s">
        <v>944</v>
      </c>
      <c r="D41">
        <v>6</v>
      </c>
    </row>
    <row r="42" spans="1:4" x14ac:dyDescent="0.25">
      <c r="A42" t="s">
        <v>40</v>
      </c>
      <c r="B42" t="s">
        <v>469</v>
      </c>
      <c r="C42" t="s">
        <v>946</v>
      </c>
      <c r="D42">
        <v>9</v>
      </c>
    </row>
    <row r="43" spans="1:4" x14ac:dyDescent="0.25">
      <c r="A43" t="s">
        <v>40</v>
      </c>
      <c r="B43" t="s">
        <v>1882</v>
      </c>
      <c r="C43" t="s">
        <v>1592</v>
      </c>
      <c r="D43">
        <v>7</v>
      </c>
    </row>
    <row r="44" spans="1:4" x14ac:dyDescent="0.25">
      <c r="A44" t="s">
        <v>40</v>
      </c>
      <c r="B44" t="s">
        <v>611</v>
      </c>
      <c r="C44" t="s">
        <v>2165</v>
      </c>
      <c r="D44">
        <v>8</v>
      </c>
    </row>
    <row r="45" spans="1:4" x14ac:dyDescent="0.25">
      <c r="A45" t="s">
        <v>40</v>
      </c>
      <c r="B45" t="s">
        <v>298</v>
      </c>
      <c r="C45" t="s">
        <v>2305</v>
      </c>
      <c r="D45">
        <v>5</v>
      </c>
    </row>
    <row r="46" spans="1:4" x14ac:dyDescent="0.25">
      <c r="A46" t="s">
        <v>40</v>
      </c>
      <c r="B46" t="s">
        <v>78</v>
      </c>
      <c r="C46" t="s">
        <v>735</v>
      </c>
      <c r="D46">
        <v>3</v>
      </c>
    </row>
    <row r="47" spans="1:4" x14ac:dyDescent="0.25">
      <c r="A47" t="s">
        <v>80</v>
      </c>
      <c r="B47" t="s">
        <v>1680</v>
      </c>
      <c r="C47" t="s">
        <v>2547</v>
      </c>
      <c r="D47">
        <v>4</v>
      </c>
    </row>
    <row r="48" spans="1:4" x14ac:dyDescent="0.25">
      <c r="A48" t="s">
        <v>80</v>
      </c>
      <c r="B48" t="s">
        <v>1431</v>
      </c>
      <c r="C48" t="s">
        <v>1147</v>
      </c>
      <c r="D48">
        <v>7</v>
      </c>
    </row>
    <row r="49" spans="1:4" x14ac:dyDescent="0.25">
      <c r="A49" t="s">
        <v>80</v>
      </c>
      <c r="B49" t="s">
        <v>797</v>
      </c>
      <c r="C49" t="s">
        <v>3699</v>
      </c>
      <c r="D49">
        <v>5</v>
      </c>
    </row>
    <row r="50" spans="1:4" x14ac:dyDescent="0.25">
      <c r="A50" t="s">
        <v>80</v>
      </c>
      <c r="B50" t="s">
        <v>1190</v>
      </c>
      <c r="C50" t="s">
        <v>3700</v>
      </c>
      <c r="D50">
        <v>7</v>
      </c>
    </row>
    <row r="51" spans="1:4" x14ac:dyDescent="0.25">
      <c r="A51" t="s">
        <v>80</v>
      </c>
      <c r="B51" t="s">
        <v>1143</v>
      </c>
      <c r="C51" t="s">
        <v>3093</v>
      </c>
      <c r="D51">
        <v>4</v>
      </c>
    </row>
    <row r="52" spans="1:4" x14ac:dyDescent="0.25">
      <c r="A52" t="s">
        <v>80</v>
      </c>
      <c r="B52" t="s">
        <v>1119</v>
      </c>
      <c r="C52" t="s">
        <v>2706</v>
      </c>
      <c r="D52">
        <v>6</v>
      </c>
    </row>
    <row r="53" spans="1:4" x14ac:dyDescent="0.25">
      <c r="A53" t="s">
        <v>80</v>
      </c>
      <c r="B53" t="s">
        <v>2510</v>
      </c>
      <c r="C53" t="s">
        <v>1525</v>
      </c>
      <c r="D53">
        <v>3</v>
      </c>
    </row>
    <row r="54" spans="1:4" x14ac:dyDescent="0.25">
      <c r="A54" t="s">
        <v>80</v>
      </c>
      <c r="B54" t="s">
        <v>433</v>
      </c>
      <c r="C54" t="s">
        <v>2173</v>
      </c>
      <c r="D54">
        <v>2</v>
      </c>
    </row>
    <row r="55" spans="1:4" x14ac:dyDescent="0.25">
      <c r="A55" t="s">
        <v>80</v>
      </c>
      <c r="B55" t="s">
        <v>433</v>
      </c>
      <c r="C55" t="s">
        <v>3029</v>
      </c>
      <c r="D55">
        <v>1</v>
      </c>
    </row>
    <row r="56" spans="1:4" x14ac:dyDescent="0.25">
      <c r="A56" t="s">
        <v>80</v>
      </c>
      <c r="B56" t="s">
        <v>2431</v>
      </c>
      <c r="C56" t="s">
        <v>1834</v>
      </c>
      <c r="D56">
        <v>2</v>
      </c>
    </row>
    <row r="57" spans="1:4" x14ac:dyDescent="0.25">
      <c r="A57" t="s">
        <v>80</v>
      </c>
      <c r="B57" t="s">
        <v>2431</v>
      </c>
      <c r="C57" t="s">
        <v>1528</v>
      </c>
      <c r="D57">
        <v>3</v>
      </c>
    </row>
    <row r="58" spans="1:4" x14ac:dyDescent="0.25">
      <c r="A58" t="s">
        <v>80</v>
      </c>
      <c r="B58" t="s">
        <v>661</v>
      </c>
      <c r="C58" t="s">
        <v>1530</v>
      </c>
      <c r="D58">
        <v>1</v>
      </c>
    </row>
    <row r="59" spans="1:4" x14ac:dyDescent="0.25">
      <c r="A59" t="s">
        <v>80</v>
      </c>
      <c r="B59" t="s">
        <v>541</v>
      </c>
      <c r="C59" t="s">
        <v>2492</v>
      </c>
      <c r="D59">
        <v>3</v>
      </c>
    </row>
    <row r="60" spans="1:4" x14ac:dyDescent="0.25">
      <c r="A60" t="s">
        <v>80</v>
      </c>
      <c r="B60" t="s">
        <v>25</v>
      </c>
      <c r="C60" t="s">
        <v>2493</v>
      </c>
      <c r="D60">
        <v>1</v>
      </c>
    </row>
    <row r="61" spans="1:4" x14ac:dyDescent="0.25">
      <c r="A61" t="s">
        <v>80</v>
      </c>
      <c r="B61" t="s">
        <v>812</v>
      </c>
      <c r="C61" t="s">
        <v>385</v>
      </c>
      <c r="D61">
        <v>0</v>
      </c>
    </row>
    <row r="62" spans="1:4" x14ac:dyDescent="0.25">
      <c r="A62" t="s">
        <v>80</v>
      </c>
      <c r="B62" t="s">
        <v>896</v>
      </c>
      <c r="C62" t="s">
        <v>838</v>
      </c>
      <c r="D62">
        <v>-3</v>
      </c>
    </row>
    <row r="63" spans="1:4" x14ac:dyDescent="0.25">
      <c r="A63" t="s">
        <v>80</v>
      </c>
      <c r="B63" t="s">
        <v>898</v>
      </c>
      <c r="C63" t="s">
        <v>754</v>
      </c>
      <c r="D63">
        <v>-2</v>
      </c>
    </row>
    <row r="64" spans="1:4" x14ac:dyDescent="0.25">
      <c r="A64" t="s">
        <v>80</v>
      </c>
      <c r="B64" t="s">
        <v>1356</v>
      </c>
      <c r="C64" t="s">
        <v>121</v>
      </c>
      <c r="D64">
        <v>-4</v>
      </c>
    </row>
    <row r="65" spans="1:4" x14ac:dyDescent="0.25">
      <c r="A65" t="s">
        <v>80</v>
      </c>
      <c r="B65" t="s">
        <v>1206</v>
      </c>
      <c r="C65" t="s">
        <v>122</v>
      </c>
      <c r="D65">
        <v>-6</v>
      </c>
    </row>
    <row r="66" spans="1:4" x14ac:dyDescent="0.25">
      <c r="A66" t="s">
        <v>80</v>
      </c>
      <c r="B66" t="s">
        <v>2042</v>
      </c>
      <c r="C66" t="s">
        <v>3538</v>
      </c>
      <c r="D66">
        <v>-4</v>
      </c>
    </row>
    <row r="67" spans="1:4" x14ac:dyDescent="0.25">
      <c r="A67" t="s">
        <v>80</v>
      </c>
      <c r="B67" t="s">
        <v>301</v>
      </c>
      <c r="C67" t="s">
        <v>127</v>
      </c>
      <c r="D67">
        <v>-7</v>
      </c>
    </row>
    <row r="68" spans="1:4" x14ac:dyDescent="0.25">
      <c r="A68" t="s">
        <v>123</v>
      </c>
      <c r="B68" t="s">
        <v>1055</v>
      </c>
      <c r="C68" t="s">
        <v>2234</v>
      </c>
      <c r="D68">
        <v>-5</v>
      </c>
    </row>
    <row r="69" spans="1:4" x14ac:dyDescent="0.25">
      <c r="A69" t="s">
        <v>123</v>
      </c>
      <c r="B69" t="s">
        <v>2570</v>
      </c>
      <c r="C69" t="s">
        <v>1537</v>
      </c>
      <c r="D69">
        <v>-4</v>
      </c>
    </row>
    <row r="70" spans="1:4" x14ac:dyDescent="0.25">
      <c r="A70" t="s">
        <v>123</v>
      </c>
      <c r="B70" t="s">
        <v>1849</v>
      </c>
      <c r="C70" t="s">
        <v>2341</v>
      </c>
      <c r="D70">
        <v>-2</v>
      </c>
    </row>
    <row r="71" spans="1:4" x14ac:dyDescent="0.25">
      <c r="A71" t="s">
        <v>123</v>
      </c>
      <c r="B71" t="s">
        <v>398</v>
      </c>
      <c r="C71" t="s">
        <v>2342</v>
      </c>
      <c r="D71">
        <v>0</v>
      </c>
    </row>
    <row r="72" spans="1:4" x14ac:dyDescent="0.25">
      <c r="A72" t="s">
        <v>123</v>
      </c>
      <c r="B72" t="s">
        <v>208</v>
      </c>
      <c r="C72" t="s">
        <v>512</v>
      </c>
      <c r="D72">
        <v>-3</v>
      </c>
    </row>
    <row r="73" spans="1:4" x14ac:dyDescent="0.25">
      <c r="A73" t="s">
        <v>123</v>
      </c>
      <c r="B73" t="s">
        <v>361</v>
      </c>
      <c r="C73" t="s">
        <v>2238</v>
      </c>
      <c r="D73">
        <v>-4</v>
      </c>
    </row>
    <row r="74" spans="1:4" x14ac:dyDescent="0.25">
      <c r="A74" t="s">
        <v>123</v>
      </c>
      <c r="B74" t="s">
        <v>361</v>
      </c>
      <c r="C74" t="s">
        <v>2239</v>
      </c>
      <c r="D74">
        <v>-5</v>
      </c>
    </row>
    <row r="75" spans="1:4" x14ac:dyDescent="0.25">
      <c r="A75" t="s">
        <v>123</v>
      </c>
      <c r="B75" t="s">
        <v>177</v>
      </c>
      <c r="C75" t="s">
        <v>515</v>
      </c>
      <c r="D75">
        <v>-3</v>
      </c>
    </row>
    <row r="76" spans="1:4" x14ac:dyDescent="0.25">
      <c r="A76" t="s">
        <v>123</v>
      </c>
      <c r="B76" t="s">
        <v>832</v>
      </c>
      <c r="C76" t="s">
        <v>2500</v>
      </c>
      <c r="D76">
        <v>-6</v>
      </c>
    </row>
    <row r="77" spans="1:4" x14ac:dyDescent="0.25">
      <c r="A77" t="s">
        <v>123</v>
      </c>
      <c r="B77" t="s">
        <v>868</v>
      </c>
      <c r="C77" t="s">
        <v>3540</v>
      </c>
      <c r="D77">
        <v>-5</v>
      </c>
    </row>
    <row r="78" spans="1:4" x14ac:dyDescent="0.25">
      <c r="A78" t="s">
        <v>123</v>
      </c>
      <c r="B78" t="s">
        <v>868</v>
      </c>
      <c r="C78" t="s">
        <v>520</v>
      </c>
      <c r="D78">
        <v>-4</v>
      </c>
    </row>
    <row r="79" spans="1:4" x14ac:dyDescent="0.25">
      <c r="A79" t="s">
        <v>123</v>
      </c>
      <c r="B79" t="s">
        <v>1227</v>
      </c>
      <c r="C79" t="s">
        <v>2972</v>
      </c>
      <c r="D79">
        <v>-7</v>
      </c>
    </row>
    <row r="80" spans="1:4" x14ac:dyDescent="0.25">
      <c r="A80" t="s">
        <v>123</v>
      </c>
      <c r="B80" t="s">
        <v>60</v>
      </c>
      <c r="C80" t="s">
        <v>2427</v>
      </c>
      <c r="D80">
        <v>-8</v>
      </c>
    </row>
    <row r="81" spans="1:4" x14ac:dyDescent="0.25">
      <c r="A81" t="s">
        <v>123</v>
      </c>
      <c r="B81" t="s">
        <v>60</v>
      </c>
      <c r="C81" t="s">
        <v>2428</v>
      </c>
      <c r="D81">
        <v>-9</v>
      </c>
    </row>
    <row r="82" spans="1:4" x14ac:dyDescent="0.25">
      <c r="A82" t="s">
        <v>123</v>
      </c>
      <c r="B82" t="s">
        <v>1230</v>
      </c>
      <c r="C82" t="s">
        <v>147</v>
      </c>
      <c r="D82">
        <v>-7</v>
      </c>
    </row>
    <row r="83" spans="1:4" x14ac:dyDescent="0.25">
      <c r="A83" t="s">
        <v>123</v>
      </c>
      <c r="B83" t="s">
        <v>661</v>
      </c>
      <c r="C83" t="s">
        <v>297</v>
      </c>
      <c r="D83">
        <v>-6</v>
      </c>
    </row>
    <row r="84" spans="1:4" x14ac:dyDescent="0.25">
      <c r="A84" t="s">
        <v>123</v>
      </c>
      <c r="B84" t="s">
        <v>661</v>
      </c>
      <c r="C84" t="s">
        <v>2503</v>
      </c>
      <c r="D84">
        <v>-5</v>
      </c>
    </row>
    <row r="85" spans="1:4" x14ac:dyDescent="0.25">
      <c r="A85" t="s">
        <v>123</v>
      </c>
      <c r="B85" t="s">
        <v>766</v>
      </c>
      <c r="C85" t="s">
        <v>4334</v>
      </c>
      <c r="D85">
        <v>-8</v>
      </c>
    </row>
    <row r="86" spans="1:4" x14ac:dyDescent="0.25">
      <c r="A86" t="s">
        <v>123</v>
      </c>
      <c r="B86" t="s">
        <v>319</v>
      </c>
      <c r="C86" t="s">
        <v>3460</v>
      </c>
      <c r="D86">
        <v>-6</v>
      </c>
    </row>
    <row r="87" spans="1:4" x14ac:dyDescent="0.25">
      <c r="A87" t="s">
        <v>123</v>
      </c>
      <c r="B87" t="s">
        <v>114</v>
      </c>
      <c r="C87" t="s">
        <v>2774</v>
      </c>
      <c r="D87">
        <v>-8</v>
      </c>
    </row>
    <row r="88" spans="1:4" x14ac:dyDescent="0.25">
      <c r="A88" t="s">
        <v>123</v>
      </c>
      <c r="B88" t="s">
        <v>70</v>
      </c>
      <c r="C88" t="s">
        <v>2251</v>
      </c>
      <c r="D88">
        <v>-6</v>
      </c>
    </row>
    <row r="89" spans="1:4" x14ac:dyDescent="0.25">
      <c r="A89" t="s">
        <v>123</v>
      </c>
      <c r="B89" t="s">
        <v>389</v>
      </c>
      <c r="C89" t="s">
        <v>4511</v>
      </c>
      <c r="D89">
        <v>-5</v>
      </c>
    </row>
    <row r="90" spans="1:4" x14ac:dyDescent="0.25">
      <c r="A90" t="s">
        <v>123</v>
      </c>
      <c r="B90" t="s">
        <v>389</v>
      </c>
      <c r="C90" t="s">
        <v>4512</v>
      </c>
      <c r="D90">
        <v>-4</v>
      </c>
    </row>
    <row r="91" spans="1:4" x14ac:dyDescent="0.25">
      <c r="A91" t="s">
        <v>123</v>
      </c>
      <c r="B91" t="s">
        <v>1675</v>
      </c>
      <c r="C91" t="s">
        <v>2348</v>
      </c>
      <c r="D91">
        <v>-3</v>
      </c>
    </row>
    <row r="92" spans="1:4" x14ac:dyDescent="0.25">
      <c r="A92" t="s">
        <v>123</v>
      </c>
      <c r="B92" t="s">
        <v>675</v>
      </c>
      <c r="C92" t="s">
        <v>2738</v>
      </c>
      <c r="D92">
        <v>-1</v>
      </c>
    </row>
    <row r="93" spans="1:4" x14ac:dyDescent="0.25">
      <c r="A93" t="s">
        <v>123</v>
      </c>
      <c r="B93" t="s">
        <v>1733</v>
      </c>
      <c r="C93" t="s">
        <v>2254</v>
      </c>
      <c r="D93">
        <v>-3</v>
      </c>
    </row>
    <row r="94" spans="1:4" x14ac:dyDescent="0.25">
      <c r="A94" t="s">
        <v>123</v>
      </c>
      <c r="B94" t="s">
        <v>1135</v>
      </c>
      <c r="C94" t="s">
        <v>2741</v>
      </c>
      <c r="D94">
        <v>0</v>
      </c>
    </row>
    <row r="95" spans="1:4" x14ac:dyDescent="0.25">
      <c r="A95" t="s">
        <v>4</v>
      </c>
      <c r="B95" t="s">
        <v>663</v>
      </c>
      <c r="C95" t="s">
        <v>1629</v>
      </c>
      <c r="D95">
        <v>2</v>
      </c>
    </row>
    <row r="96" spans="1:4" x14ac:dyDescent="0.25">
      <c r="A96" t="s">
        <v>4</v>
      </c>
      <c r="B96" t="s">
        <v>1536</v>
      </c>
      <c r="C96" t="s">
        <v>1630</v>
      </c>
      <c r="D96">
        <v>3</v>
      </c>
    </row>
    <row r="97" spans="1:4" x14ac:dyDescent="0.25">
      <c r="A97" t="s">
        <v>4</v>
      </c>
      <c r="B97" t="s">
        <v>1536</v>
      </c>
      <c r="C97" t="s">
        <v>4271</v>
      </c>
      <c r="D97">
        <v>4</v>
      </c>
    </row>
    <row r="98" spans="1:4" x14ac:dyDescent="0.25">
      <c r="A98" t="s">
        <v>4</v>
      </c>
      <c r="B98" t="s">
        <v>1040</v>
      </c>
      <c r="C98" t="s">
        <v>2471</v>
      </c>
      <c r="D98">
        <v>6</v>
      </c>
    </row>
    <row r="99" spans="1:4" x14ac:dyDescent="0.25">
      <c r="A99" t="s">
        <v>4</v>
      </c>
      <c r="B99" t="s">
        <v>384</v>
      </c>
      <c r="C99" t="s">
        <v>3077</v>
      </c>
      <c r="D99">
        <v>4</v>
      </c>
    </row>
    <row r="100" spans="1:4" x14ac:dyDescent="0.25">
      <c r="A100" t="s">
        <v>4</v>
      </c>
      <c r="B100" t="s">
        <v>384</v>
      </c>
      <c r="C100" t="s">
        <v>3078</v>
      </c>
      <c r="D100">
        <v>3</v>
      </c>
    </row>
    <row r="101" spans="1:4" x14ac:dyDescent="0.25">
      <c r="A101" t="s">
        <v>4</v>
      </c>
      <c r="B101" t="s">
        <v>1076</v>
      </c>
      <c r="C101" t="s">
        <v>4513</v>
      </c>
      <c r="D101">
        <v>1</v>
      </c>
    </row>
    <row r="102" spans="1:4" x14ac:dyDescent="0.25">
      <c r="A102" t="s">
        <v>4</v>
      </c>
      <c r="B102" t="s">
        <v>1076</v>
      </c>
      <c r="C102" t="s">
        <v>2717</v>
      </c>
      <c r="D102">
        <v>0</v>
      </c>
    </row>
    <row r="103" spans="1:4" x14ac:dyDescent="0.25">
      <c r="A103" t="s">
        <v>4</v>
      </c>
      <c r="B103" t="s">
        <v>815</v>
      </c>
      <c r="C103" t="s">
        <v>3971</v>
      </c>
      <c r="D103">
        <v>2</v>
      </c>
    </row>
    <row r="104" spans="1:4" x14ac:dyDescent="0.25">
      <c r="A104" t="s">
        <v>4</v>
      </c>
      <c r="B104" t="s">
        <v>322</v>
      </c>
      <c r="C104" t="s">
        <v>879</v>
      </c>
      <c r="D104">
        <v>3</v>
      </c>
    </row>
    <row r="105" spans="1:4" x14ac:dyDescent="0.25">
      <c r="A105" t="s">
        <v>4</v>
      </c>
      <c r="B105" t="s">
        <v>322</v>
      </c>
      <c r="C105" t="s">
        <v>4468</v>
      </c>
      <c r="D105">
        <v>4</v>
      </c>
    </row>
    <row r="106" spans="1:4" x14ac:dyDescent="0.25">
      <c r="A106" t="s">
        <v>4</v>
      </c>
      <c r="B106" t="s">
        <v>681</v>
      </c>
      <c r="C106" t="s">
        <v>4514</v>
      </c>
      <c r="D106">
        <v>1</v>
      </c>
    </row>
    <row r="107" spans="1:4" x14ac:dyDescent="0.25">
      <c r="A107" t="s">
        <v>4</v>
      </c>
      <c r="B107" t="s">
        <v>1568</v>
      </c>
      <c r="C107" t="s">
        <v>883</v>
      </c>
      <c r="D107">
        <v>3</v>
      </c>
    </row>
    <row r="108" spans="1:4" x14ac:dyDescent="0.25">
      <c r="A108" t="s">
        <v>4</v>
      </c>
      <c r="B108" t="s">
        <v>235</v>
      </c>
      <c r="C108" t="s">
        <v>884</v>
      </c>
      <c r="D108">
        <v>2</v>
      </c>
    </row>
    <row r="109" spans="1:4" x14ac:dyDescent="0.25">
      <c r="A109" t="s">
        <v>4</v>
      </c>
      <c r="B109" t="s">
        <v>559</v>
      </c>
      <c r="C109" t="s">
        <v>4515</v>
      </c>
      <c r="D109">
        <v>3</v>
      </c>
    </row>
    <row r="111" spans="1:4" x14ac:dyDescent="0.25">
      <c r="A111" s="2" t="s">
        <v>157</v>
      </c>
    </row>
    <row r="112" spans="1:4" x14ac:dyDescent="0.25">
      <c r="A112" t="s">
        <v>158</v>
      </c>
      <c r="D112">
        <f>AVERAGE(D2:D109)</f>
        <v>0.82407407407407407</v>
      </c>
    </row>
    <row r="113" spans="1:4" x14ac:dyDescent="0.25">
      <c r="A113" t="s">
        <v>159</v>
      </c>
      <c r="D113">
        <f>MAX(D2:D109)</f>
        <v>9</v>
      </c>
    </row>
    <row r="114" spans="1:4" x14ac:dyDescent="0.25">
      <c r="A114" t="s">
        <v>160</v>
      </c>
      <c r="D114">
        <f>MIN(D2:D109)</f>
        <v>-9</v>
      </c>
    </row>
    <row r="115" spans="1:4" x14ac:dyDescent="0.25">
      <c r="A115" t="s">
        <v>161</v>
      </c>
      <c r="D115">
        <f>COUNTIF(D2:D109,"&gt;0")</f>
        <v>67</v>
      </c>
    </row>
    <row r="116" spans="1:4" x14ac:dyDescent="0.25">
      <c r="A116" t="s">
        <v>162</v>
      </c>
      <c r="D116">
        <f>COUNTIF(D2:D109,"=0")</f>
        <v>6</v>
      </c>
    </row>
    <row r="117" spans="1:4" x14ac:dyDescent="0.25">
      <c r="A117" t="s">
        <v>1344</v>
      </c>
      <c r="D117">
        <f>COUNTIF(D2:D109,"&lt;0")</f>
        <v>35</v>
      </c>
    </row>
    <row r="119" spans="1:4" x14ac:dyDescent="0.25">
      <c r="A119" s="2" t="s">
        <v>164</v>
      </c>
    </row>
    <row r="120" spans="1:4" x14ac:dyDescent="0.25">
      <c r="A120" t="s">
        <v>165</v>
      </c>
      <c r="D120">
        <f>AVERAGE(D2,D3,D4,D5,D6,D7,D8,D9,D10,D11,D12,D13,D14,D15,D16,D17,D18,D19,D20,D21,D22,D23,D24,D25,D26,D27,D28,D95,D96,D97,D98,D99,D100,D101,D102,D103,D104,D105,D106,D107,D108,D109)</f>
        <v>2.1428571428571428</v>
      </c>
    </row>
    <row r="121" spans="1:4" x14ac:dyDescent="0.25">
      <c r="A121" t="s">
        <v>166</v>
      </c>
      <c r="D121">
        <f>AVERAGE(D29,D30,D31,D32,D33,D34,D35,D36,D37,D38,D39,D40,D41,D42,D43,D44,D45,D46)</f>
        <v>5.7222222222222223</v>
      </c>
    </row>
    <row r="122" spans="1:4" x14ac:dyDescent="0.25">
      <c r="A122" t="s">
        <v>167</v>
      </c>
      <c r="D122">
        <f>AVERAGE(D47,D48,D49,D50,D51,D52,D53,D54,D55,D56,D57,D58,D59,D60,D61,D62,D63,D64,D65,D66,D67)</f>
        <v>1.0952380952380953</v>
      </c>
    </row>
    <row r="123" spans="1:4" x14ac:dyDescent="0.25">
      <c r="A123" t="s">
        <v>168</v>
      </c>
      <c r="D123">
        <f>AVERAGE(D68,D69,D70,D71,D72,D73,D74,D75,D76,D77,D78,D79,D80,D81,D82,D83,D84,D85,D86,D87,D88,D89,D90,D91,D92,D93,D94)</f>
        <v>-4.7037037037037033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D114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1187</v>
      </c>
    </row>
    <row r="2" spans="1:4" x14ac:dyDescent="0.25">
      <c r="A2" t="s">
        <v>4</v>
      </c>
      <c r="B2" t="s">
        <v>1007</v>
      </c>
      <c r="C2" t="s">
        <v>908</v>
      </c>
      <c r="D2">
        <v>-2</v>
      </c>
    </row>
    <row r="3" spans="1:4" x14ac:dyDescent="0.25">
      <c r="A3" t="s">
        <v>4</v>
      </c>
      <c r="B3" t="s">
        <v>128</v>
      </c>
      <c r="C3" t="s">
        <v>8</v>
      </c>
      <c r="D3">
        <v>0</v>
      </c>
    </row>
    <row r="4" spans="1:4" x14ac:dyDescent="0.25">
      <c r="A4" t="s">
        <v>4</v>
      </c>
      <c r="B4" t="s">
        <v>823</v>
      </c>
      <c r="C4" t="s">
        <v>10</v>
      </c>
      <c r="D4">
        <v>-2</v>
      </c>
    </row>
    <row r="5" spans="1:4" x14ac:dyDescent="0.25">
      <c r="A5" t="s">
        <v>4</v>
      </c>
      <c r="B5" t="s">
        <v>691</v>
      </c>
      <c r="C5" t="s">
        <v>2045</v>
      </c>
      <c r="D5">
        <v>-1</v>
      </c>
    </row>
    <row r="6" spans="1:4" x14ac:dyDescent="0.25">
      <c r="A6" t="s">
        <v>4</v>
      </c>
      <c r="B6" t="s">
        <v>355</v>
      </c>
      <c r="C6" t="s">
        <v>178</v>
      </c>
      <c r="D6">
        <v>2</v>
      </c>
    </row>
    <row r="7" spans="1:4" x14ac:dyDescent="0.25">
      <c r="A7" t="s">
        <v>4</v>
      </c>
      <c r="B7" t="s">
        <v>1246</v>
      </c>
      <c r="C7" t="s">
        <v>180</v>
      </c>
      <c r="D7">
        <v>4</v>
      </c>
    </row>
    <row r="8" spans="1:4" x14ac:dyDescent="0.25">
      <c r="A8" t="s">
        <v>4</v>
      </c>
      <c r="B8" t="s">
        <v>1836</v>
      </c>
      <c r="C8" t="s">
        <v>182</v>
      </c>
      <c r="D8">
        <v>5</v>
      </c>
    </row>
    <row r="9" spans="1:4" x14ac:dyDescent="0.25">
      <c r="A9" t="s">
        <v>4</v>
      </c>
      <c r="B9" t="s">
        <v>1836</v>
      </c>
      <c r="C9" t="s">
        <v>183</v>
      </c>
      <c r="D9">
        <v>6</v>
      </c>
    </row>
    <row r="10" spans="1:4" x14ac:dyDescent="0.25">
      <c r="A10" t="s">
        <v>4</v>
      </c>
      <c r="B10" t="s">
        <v>1958</v>
      </c>
      <c r="C10" t="s">
        <v>2645</v>
      </c>
      <c r="D10">
        <v>7</v>
      </c>
    </row>
    <row r="11" spans="1:4" x14ac:dyDescent="0.25">
      <c r="A11" t="s">
        <v>4</v>
      </c>
      <c r="B11" t="s">
        <v>1227</v>
      </c>
      <c r="C11" t="s">
        <v>1352</v>
      </c>
      <c r="D11">
        <v>4</v>
      </c>
    </row>
    <row r="12" spans="1:4" x14ac:dyDescent="0.25">
      <c r="A12" t="s">
        <v>4</v>
      </c>
      <c r="B12" t="s">
        <v>2158</v>
      </c>
      <c r="C12" t="s">
        <v>573</v>
      </c>
      <c r="D12">
        <v>2</v>
      </c>
    </row>
    <row r="13" spans="1:4" x14ac:dyDescent="0.25">
      <c r="A13" t="s">
        <v>4</v>
      </c>
      <c r="B13" t="s">
        <v>1230</v>
      </c>
      <c r="C13" t="s">
        <v>575</v>
      </c>
      <c r="D13">
        <v>-1</v>
      </c>
    </row>
    <row r="14" spans="1:4" x14ac:dyDescent="0.25">
      <c r="A14" t="s">
        <v>4</v>
      </c>
      <c r="B14" t="s">
        <v>223</v>
      </c>
      <c r="C14" t="s">
        <v>2326</v>
      </c>
      <c r="D14">
        <v>-3</v>
      </c>
    </row>
    <row r="15" spans="1:4" x14ac:dyDescent="0.25">
      <c r="A15" t="s">
        <v>4</v>
      </c>
      <c r="B15" t="s">
        <v>747</v>
      </c>
      <c r="C15" t="s">
        <v>2813</v>
      </c>
      <c r="D15">
        <v>-5</v>
      </c>
    </row>
    <row r="16" spans="1:4" x14ac:dyDescent="0.25">
      <c r="A16" t="s">
        <v>4</v>
      </c>
      <c r="B16" t="s">
        <v>747</v>
      </c>
      <c r="C16" t="s">
        <v>2397</v>
      </c>
      <c r="D16">
        <v>-6</v>
      </c>
    </row>
    <row r="17" spans="1:4" x14ac:dyDescent="0.25">
      <c r="A17" t="s">
        <v>4</v>
      </c>
      <c r="B17" t="s">
        <v>1200</v>
      </c>
      <c r="C17" t="s">
        <v>2398</v>
      </c>
      <c r="D17">
        <v>-9</v>
      </c>
    </row>
    <row r="18" spans="1:4" x14ac:dyDescent="0.25">
      <c r="A18" t="s">
        <v>4</v>
      </c>
      <c r="B18" t="s">
        <v>1335</v>
      </c>
      <c r="C18" t="s">
        <v>3703</v>
      </c>
      <c r="D18">
        <v>-6</v>
      </c>
    </row>
    <row r="19" spans="1:4" x14ac:dyDescent="0.25">
      <c r="A19" t="s">
        <v>4</v>
      </c>
      <c r="B19" t="s">
        <v>228</v>
      </c>
      <c r="C19" t="s">
        <v>1707</v>
      </c>
      <c r="D19">
        <v>-8</v>
      </c>
    </row>
    <row r="20" spans="1:4" x14ac:dyDescent="0.25">
      <c r="A20" t="s">
        <v>4</v>
      </c>
      <c r="B20" t="s">
        <v>1843</v>
      </c>
      <c r="C20" t="s">
        <v>1708</v>
      </c>
      <c r="D20">
        <v>-6</v>
      </c>
    </row>
    <row r="21" spans="1:4" x14ac:dyDescent="0.25">
      <c r="A21" t="s">
        <v>4</v>
      </c>
      <c r="B21" t="s">
        <v>2147</v>
      </c>
      <c r="C21" t="s">
        <v>1709</v>
      </c>
      <c r="D21">
        <v>-9</v>
      </c>
    </row>
    <row r="22" spans="1:4" x14ac:dyDescent="0.25">
      <c r="A22" t="s">
        <v>4</v>
      </c>
      <c r="B22" t="s">
        <v>900</v>
      </c>
      <c r="C22" t="s">
        <v>4100</v>
      </c>
      <c r="D22">
        <v>-10</v>
      </c>
    </row>
    <row r="23" spans="1:4" x14ac:dyDescent="0.25">
      <c r="A23" t="s">
        <v>4</v>
      </c>
      <c r="B23" t="s">
        <v>900</v>
      </c>
      <c r="C23" t="s">
        <v>2759</v>
      </c>
      <c r="D23">
        <v>-11</v>
      </c>
    </row>
    <row r="24" spans="1:4" x14ac:dyDescent="0.25">
      <c r="A24" t="s">
        <v>4</v>
      </c>
      <c r="B24" t="s">
        <v>481</v>
      </c>
      <c r="C24" t="s">
        <v>2435</v>
      </c>
      <c r="D24">
        <v>-10</v>
      </c>
    </row>
    <row r="25" spans="1:4" x14ac:dyDescent="0.25">
      <c r="A25" t="s">
        <v>4</v>
      </c>
      <c r="B25" t="s">
        <v>1990</v>
      </c>
      <c r="C25" t="s">
        <v>2436</v>
      </c>
      <c r="D25">
        <v>-12</v>
      </c>
    </row>
    <row r="26" spans="1:4" x14ac:dyDescent="0.25">
      <c r="A26" t="s">
        <v>40</v>
      </c>
      <c r="B26" t="s">
        <v>795</v>
      </c>
      <c r="C26" t="s">
        <v>2723</v>
      </c>
      <c r="D26">
        <v>-10</v>
      </c>
    </row>
    <row r="27" spans="1:4" x14ac:dyDescent="0.25">
      <c r="A27" t="s">
        <v>40</v>
      </c>
      <c r="B27" t="s">
        <v>1009</v>
      </c>
      <c r="C27" t="s">
        <v>2724</v>
      </c>
      <c r="D27">
        <v>-8</v>
      </c>
    </row>
    <row r="28" spans="1:4" x14ac:dyDescent="0.25">
      <c r="A28" t="s">
        <v>40</v>
      </c>
      <c r="B28" t="s">
        <v>511</v>
      </c>
      <c r="C28" t="s">
        <v>1659</v>
      </c>
      <c r="D28">
        <v>-11</v>
      </c>
    </row>
    <row r="29" spans="1:4" x14ac:dyDescent="0.25">
      <c r="A29" t="s">
        <v>40</v>
      </c>
      <c r="B29" t="s">
        <v>305</v>
      </c>
      <c r="C29" t="s">
        <v>1660</v>
      </c>
      <c r="D29">
        <v>-10</v>
      </c>
    </row>
    <row r="30" spans="1:4" x14ac:dyDescent="0.25">
      <c r="A30" t="s">
        <v>40</v>
      </c>
      <c r="B30" t="s">
        <v>305</v>
      </c>
      <c r="C30" t="s">
        <v>2409</v>
      </c>
      <c r="D30">
        <v>-9</v>
      </c>
    </row>
    <row r="31" spans="1:4" x14ac:dyDescent="0.25">
      <c r="A31" t="s">
        <v>40</v>
      </c>
      <c r="B31" t="s">
        <v>1613</v>
      </c>
      <c r="C31" t="s">
        <v>2860</v>
      </c>
      <c r="D31">
        <v>-11</v>
      </c>
    </row>
    <row r="32" spans="1:4" x14ac:dyDescent="0.25">
      <c r="A32" t="s">
        <v>40</v>
      </c>
      <c r="B32" t="s">
        <v>1613</v>
      </c>
      <c r="C32" t="s">
        <v>4516</v>
      </c>
      <c r="D32">
        <v>-12</v>
      </c>
    </row>
    <row r="33" spans="1:4" x14ac:dyDescent="0.25">
      <c r="A33" t="s">
        <v>40</v>
      </c>
      <c r="B33" t="s">
        <v>359</v>
      </c>
      <c r="C33" t="s">
        <v>4102</v>
      </c>
      <c r="D33">
        <v>-15</v>
      </c>
    </row>
    <row r="34" spans="1:4" x14ac:dyDescent="0.25">
      <c r="A34" t="s">
        <v>40</v>
      </c>
      <c r="B34" t="s">
        <v>566</v>
      </c>
      <c r="C34" t="s">
        <v>4199</v>
      </c>
      <c r="D34">
        <v>-13</v>
      </c>
    </row>
    <row r="35" spans="1:4" x14ac:dyDescent="0.25">
      <c r="A35" t="s">
        <v>40</v>
      </c>
      <c r="B35" t="s">
        <v>570</v>
      </c>
      <c r="C35" t="s">
        <v>4422</v>
      </c>
      <c r="D35">
        <v>-14</v>
      </c>
    </row>
    <row r="36" spans="1:4" x14ac:dyDescent="0.25">
      <c r="A36" t="s">
        <v>40</v>
      </c>
      <c r="B36" t="s">
        <v>623</v>
      </c>
      <c r="C36" t="s">
        <v>3770</v>
      </c>
      <c r="D36">
        <v>-16</v>
      </c>
    </row>
    <row r="37" spans="1:4" x14ac:dyDescent="0.25">
      <c r="A37" t="s">
        <v>40</v>
      </c>
      <c r="B37" t="s">
        <v>1432</v>
      </c>
      <c r="C37" t="s">
        <v>3771</v>
      </c>
      <c r="D37">
        <v>-17</v>
      </c>
    </row>
    <row r="38" spans="1:4" x14ac:dyDescent="0.25">
      <c r="A38" t="s">
        <v>40</v>
      </c>
      <c r="B38" t="s">
        <v>1432</v>
      </c>
      <c r="C38" t="s">
        <v>4104</v>
      </c>
      <c r="D38">
        <v>-18</v>
      </c>
    </row>
    <row r="39" spans="1:4" x14ac:dyDescent="0.25">
      <c r="A39" t="s">
        <v>40</v>
      </c>
      <c r="B39" t="s">
        <v>259</v>
      </c>
      <c r="C39" t="s">
        <v>4202</v>
      </c>
      <c r="D39">
        <v>-15</v>
      </c>
    </row>
    <row r="40" spans="1:4" x14ac:dyDescent="0.25">
      <c r="A40" t="s">
        <v>40</v>
      </c>
      <c r="B40" t="s">
        <v>312</v>
      </c>
      <c r="C40" t="s">
        <v>4423</v>
      </c>
      <c r="D40">
        <v>-13</v>
      </c>
    </row>
    <row r="41" spans="1:4" x14ac:dyDescent="0.25">
      <c r="A41" t="s">
        <v>40</v>
      </c>
      <c r="B41" t="s">
        <v>1170</v>
      </c>
      <c r="C41" t="s">
        <v>3587</v>
      </c>
      <c r="D41">
        <v>-10</v>
      </c>
    </row>
    <row r="42" spans="1:4" x14ac:dyDescent="0.25">
      <c r="A42" t="s">
        <v>40</v>
      </c>
      <c r="B42" t="s">
        <v>104</v>
      </c>
      <c r="C42" t="s">
        <v>4330</v>
      </c>
      <c r="D42">
        <v>-8</v>
      </c>
    </row>
    <row r="43" spans="1:4" x14ac:dyDescent="0.25">
      <c r="A43" t="s">
        <v>40</v>
      </c>
      <c r="B43" t="s">
        <v>1442</v>
      </c>
      <c r="C43" t="s">
        <v>4205</v>
      </c>
      <c r="D43">
        <v>-10</v>
      </c>
    </row>
    <row r="44" spans="1:4" x14ac:dyDescent="0.25">
      <c r="A44" t="s">
        <v>40</v>
      </c>
      <c r="B44" t="s">
        <v>1038</v>
      </c>
      <c r="C44" t="s">
        <v>4517</v>
      </c>
      <c r="D44">
        <v>-11</v>
      </c>
    </row>
    <row r="45" spans="1:4" x14ac:dyDescent="0.25">
      <c r="A45" t="s">
        <v>40</v>
      </c>
      <c r="B45" t="s">
        <v>1038</v>
      </c>
      <c r="C45" t="s">
        <v>3590</v>
      </c>
      <c r="D45">
        <v>-12</v>
      </c>
    </row>
    <row r="46" spans="1:4" x14ac:dyDescent="0.25">
      <c r="A46" t="s">
        <v>40</v>
      </c>
      <c r="B46" t="s">
        <v>1517</v>
      </c>
      <c r="C46" t="s">
        <v>4297</v>
      </c>
      <c r="D46">
        <v>-11</v>
      </c>
    </row>
    <row r="47" spans="1:4" x14ac:dyDescent="0.25">
      <c r="A47" t="s">
        <v>40</v>
      </c>
      <c r="B47" t="s">
        <v>1517</v>
      </c>
      <c r="C47" t="s">
        <v>3591</v>
      </c>
      <c r="D47">
        <v>-10</v>
      </c>
    </row>
    <row r="48" spans="1:4" x14ac:dyDescent="0.25">
      <c r="A48" t="s">
        <v>40</v>
      </c>
      <c r="B48" t="s">
        <v>629</v>
      </c>
      <c r="C48" t="s">
        <v>4299</v>
      </c>
      <c r="D48">
        <v>-12</v>
      </c>
    </row>
    <row r="49" spans="1:4" x14ac:dyDescent="0.25">
      <c r="A49" t="s">
        <v>40</v>
      </c>
      <c r="B49" t="s">
        <v>1202</v>
      </c>
      <c r="C49" t="s">
        <v>2221</v>
      </c>
      <c r="D49">
        <v>-10</v>
      </c>
    </row>
    <row r="50" spans="1:4" x14ac:dyDescent="0.25">
      <c r="A50" t="s">
        <v>40</v>
      </c>
      <c r="B50" t="s">
        <v>198</v>
      </c>
      <c r="C50" t="s">
        <v>3594</v>
      </c>
      <c r="D50">
        <v>-13</v>
      </c>
    </row>
    <row r="51" spans="1:4" x14ac:dyDescent="0.25">
      <c r="A51" t="s">
        <v>40</v>
      </c>
      <c r="B51" t="s">
        <v>815</v>
      </c>
      <c r="C51" t="s">
        <v>4518</v>
      </c>
      <c r="D51">
        <v>-15</v>
      </c>
    </row>
    <row r="52" spans="1:4" x14ac:dyDescent="0.25">
      <c r="A52" t="s">
        <v>40</v>
      </c>
      <c r="B52" t="s">
        <v>1437</v>
      </c>
      <c r="C52" t="s">
        <v>3597</v>
      </c>
      <c r="D52">
        <v>-13</v>
      </c>
    </row>
    <row r="53" spans="1:4" x14ac:dyDescent="0.25">
      <c r="A53" t="s">
        <v>40</v>
      </c>
      <c r="B53" t="s">
        <v>999</v>
      </c>
      <c r="C53" t="s">
        <v>3785</v>
      </c>
      <c r="D53">
        <v>-14</v>
      </c>
    </row>
    <row r="54" spans="1:4" x14ac:dyDescent="0.25">
      <c r="A54" t="s">
        <v>40</v>
      </c>
      <c r="B54" t="s">
        <v>999</v>
      </c>
      <c r="C54" t="s">
        <v>3598</v>
      </c>
      <c r="D54">
        <v>-15</v>
      </c>
    </row>
    <row r="55" spans="1:4" x14ac:dyDescent="0.25">
      <c r="A55" t="s">
        <v>40</v>
      </c>
      <c r="B55" t="s">
        <v>1206</v>
      </c>
      <c r="C55" t="s">
        <v>1898</v>
      </c>
      <c r="D55">
        <v>-17</v>
      </c>
    </row>
    <row r="56" spans="1:4" x14ac:dyDescent="0.25">
      <c r="A56" t="s">
        <v>40</v>
      </c>
      <c r="B56" t="s">
        <v>301</v>
      </c>
      <c r="C56" t="s">
        <v>3913</v>
      </c>
      <c r="D56">
        <v>-18</v>
      </c>
    </row>
    <row r="57" spans="1:4" x14ac:dyDescent="0.25">
      <c r="A57" t="s">
        <v>80</v>
      </c>
      <c r="B57" t="s">
        <v>907</v>
      </c>
      <c r="C57" t="s">
        <v>4519</v>
      </c>
      <c r="D57">
        <v>-21</v>
      </c>
    </row>
    <row r="58" spans="1:4" x14ac:dyDescent="0.25">
      <c r="A58" t="s">
        <v>80</v>
      </c>
      <c r="B58" t="s">
        <v>1024</v>
      </c>
      <c r="C58" t="s">
        <v>4520</v>
      </c>
      <c r="D58">
        <v>-19</v>
      </c>
    </row>
    <row r="59" spans="1:4" x14ac:dyDescent="0.25">
      <c r="A59" t="s">
        <v>80</v>
      </c>
      <c r="B59" t="s">
        <v>1024</v>
      </c>
      <c r="C59" t="s">
        <v>4521</v>
      </c>
      <c r="D59">
        <v>-18</v>
      </c>
    </row>
    <row r="60" spans="1:4" x14ac:dyDescent="0.25">
      <c r="A60" t="s">
        <v>80</v>
      </c>
      <c r="B60" t="s">
        <v>7</v>
      </c>
      <c r="C60" t="s">
        <v>4522</v>
      </c>
      <c r="D60">
        <v>-21</v>
      </c>
    </row>
    <row r="61" spans="1:4" x14ac:dyDescent="0.25">
      <c r="A61" t="s">
        <v>80</v>
      </c>
      <c r="B61" t="s">
        <v>45</v>
      </c>
      <c r="C61" t="s">
        <v>4307</v>
      </c>
      <c r="D61">
        <v>-19</v>
      </c>
    </row>
    <row r="62" spans="1:4" x14ac:dyDescent="0.25">
      <c r="A62" t="s">
        <v>80</v>
      </c>
      <c r="B62" t="s">
        <v>1210</v>
      </c>
      <c r="C62" t="s">
        <v>4523</v>
      </c>
      <c r="D62">
        <v>-21</v>
      </c>
    </row>
    <row r="63" spans="1:4" x14ac:dyDescent="0.25">
      <c r="A63" t="s">
        <v>80</v>
      </c>
      <c r="B63" t="s">
        <v>1029</v>
      </c>
      <c r="C63" t="s">
        <v>4524</v>
      </c>
      <c r="D63">
        <v>-19</v>
      </c>
    </row>
    <row r="64" spans="1:4" x14ac:dyDescent="0.25">
      <c r="A64" t="s">
        <v>80</v>
      </c>
      <c r="B64" t="s">
        <v>1771</v>
      </c>
      <c r="C64" t="s">
        <v>4525</v>
      </c>
      <c r="D64">
        <v>-21</v>
      </c>
    </row>
    <row r="65" spans="1:4" x14ac:dyDescent="0.25">
      <c r="A65" t="s">
        <v>80</v>
      </c>
      <c r="B65" t="s">
        <v>1495</v>
      </c>
      <c r="C65" t="s">
        <v>3957</v>
      </c>
      <c r="D65">
        <v>-20</v>
      </c>
    </row>
    <row r="66" spans="1:4" x14ac:dyDescent="0.25">
      <c r="A66" t="s">
        <v>80</v>
      </c>
      <c r="B66" t="s">
        <v>914</v>
      </c>
      <c r="C66" t="s">
        <v>3798</v>
      </c>
      <c r="D66">
        <v>-22</v>
      </c>
    </row>
    <row r="67" spans="1:4" x14ac:dyDescent="0.25">
      <c r="A67" t="s">
        <v>80</v>
      </c>
      <c r="B67" t="s">
        <v>779</v>
      </c>
      <c r="C67" t="s">
        <v>3925</v>
      </c>
      <c r="D67">
        <v>-20</v>
      </c>
    </row>
    <row r="68" spans="1:4" x14ac:dyDescent="0.25">
      <c r="A68" t="s">
        <v>80</v>
      </c>
      <c r="B68" t="s">
        <v>2510</v>
      </c>
      <c r="C68" t="s">
        <v>3635</v>
      </c>
      <c r="D68">
        <v>-18</v>
      </c>
    </row>
    <row r="69" spans="1:4" x14ac:dyDescent="0.25">
      <c r="A69" t="s">
        <v>80</v>
      </c>
      <c r="B69" t="s">
        <v>499</v>
      </c>
      <c r="C69" t="s">
        <v>3927</v>
      </c>
      <c r="D69">
        <v>-19</v>
      </c>
    </row>
    <row r="70" spans="1:4" x14ac:dyDescent="0.25">
      <c r="A70" t="s">
        <v>80</v>
      </c>
      <c r="B70" t="s">
        <v>140</v>
      </c>
      <c r="C70" t="s">
        <v>4526</v>
      </c>
      <c r="D70">
        <v>-18</v>
      </c>
    </row>
    <row r="71" spans="1:4" x14ac:dyDescent="0.25">
      <c r="A71" t="s">
        <v>80</v>
      </c>
      <c r="B71" t="s">
        <v>922</v>
      </c>
      <c r="C71" t="s">
        <v>4175</v>
      </c>
      <c r="D71">
        <v>-20</v>
      </c>
    </row>
    <row r="72" spans="1:4" x14ac:dyDescent="0.25">
      <c r="A72" t="s">
        <v>80</v>
      </c>
      <c r="B72" t="s">
        <v>701</v>
      </c>
      <c r="C72" t="s">
        <v>4527</v>
      </c>
      <c r="D72">
        <v>-17</v>
      </c>
    </row>
    <row r="73" spans="1:4" x14ac:dyDescent="0.25">
      <c r="A73" t="s">
        <v>80</v>
      </c>
      <c r="B73" t="s">
        <v>924</v>
      </c>
      <c r="C73" t="s">
        <v>3640</v>
      </c>
      <c r="D73">
        <v>-19</v>
      </c>
    </row>
    <row r="74" spans="1:4" x14ac:dyDescent="0.25">
      <c r="A74" t="s">
        <v>80</v>
      </c>
      <c r="B74" t="s">
        <v>1396</v>
      </c>
      <c r="C74" t="s">
        <v>3641</v>
      </c>
      <c r="D74">
        <v>-21</v>
      </c>
    </row>
    <row r="75" spans="1:4" x14ac:dyDescent="0.25">
      <c r="A75" t="s">
        <v>80</v>
      </c>
      <c r="B75" t="s">
        <v>444</v>
      </c>
      <c r="C75" t="s">
        <v>3932</v>
      </c>
      <c r="D75">
        <v>-24</v>
      </c>
    </row>
    <row r="76" spans="1:4" x14ac:dyDescent="0.25">
      <c r="A76" t="s">
        <v>80</v>
      </c>
      <c r="B76" t="s">
        <v>1132</v>
      </c>
      <c r="C76" t="s">
        <v>4528</v>
      </c>
      <c r="D76">
        <v>-27</v>
      </c>
    </row>
    <row r="77" spans="1:4" x14ac:dyDescent="0.25">
      <c r="A77" t="s">
        <v>80</v>
      </c>
      <c r="B77" t="s">
        <v>76</v>
      </c>
      <c r="C77" t="s">
        <v>4529</v>
      </c>
      <c r="D77">
        <v>-30</v>
      </c>
    </row>
    <row r="78" spans="1:4" x14ac:dyDescent="0.25">
      <c r="A78" t="s">
        <v>80</v>
      </c>
      <c r="B78" t="s">
        <v>584</v>
      </c>
      <c r="C78" t="s">
        <v>4530</v>
      </c>
      <c r="D78">
        <v>-27</v>
      </c>
    </row>
    <row r="79" spans="1:4" x14ac:dyDescent="0.25">
      <c r="A79" t="s">
        <v>80</v>
      </c>
      <c r="B79" t="s">
        <v>817</v>
      </c>
      <c r="C79" t="s">
        <v>3812</v>
      </c>
      <c r="D79">
        <v>-28</v>
      </c>
    </row>
    <row r="80" spans="1:4" x14ac:dyDescent="0.25">
      <c r="A80" t="s">
        <v>80</v>
      </c>
      <c r="B80" t="s">
        <v>817</v>
      </c>
      <c r="C80" t="s">
        <v>3813</v>
      </c>
      <c r="D80">
        <v>-29</v>
      </c>
    </row>
    <row r="81" spans="1:4" x14ac:dyDescent="0.25">
      <c r="A81" t="s">
        <v>80</v>
      </c>
      <c r="B81" t="s">
        <v>817</v>
      </c>
      <c r="C81" t="s">
        <v>3814</v>
      </c>
      <c r="D81">
        <v>-30</v>
      </c>
    </row>
    <row r="82" spans="1:4" x14ac:dyDescent="0.25">
      <c r="A82" t="s">
        <v>123</v>
      </c>
      <c r="B82" t="s">
        <v>41</v>
      </c>
      <c r="C82" t="s">
        <v>4531</v>
      </c>
      <c r="D82">
        <v>-29</v>
      </c>
    </row>
    <row r="83" spans="1:4" x14ac:dyDescent="0.25">
      <c r="A83" t="s">
        <v>123</v>
      </c>
      <c r="B83" t="s">
        <v>1138</v>
      </c>
      <c r="C83" t="s">
        <v>4532</v>
      </c>
      <c r="D83">
        <v>-27</v>
      </c>
    </row>
    <row r="84" spans="1:4" x14ac:dyDescent="0.25">
      <c r="A84" t="s">
        <v>123</v>
      </c>
      <c r="B84" t="s">
        <v>1665</v>
      </c>
      <c r="C84" t="s">
        <v>4533</v>
      </c>
      <c r="D84">
        <v>-29</v>
      </c>
    </row>
    <row r="85" spans="1:4" x14ac:dyDescent="0.25">
      <c r="A85" t="s">
        <v>123</v>
      </c>
      <c r="B85" t="s">
        <v>2405</v>
      </c>
      <c r="C85" t="s">
        <v>4534</v>
      </c>
      <c r="D85">
        <v>-31</v>
      </c>
    </row>
    <row r="86" spans="1:4" x14ac:dyDescent="0.25">
      <c r="A86" t="s">
        <v>123</v>
      </c>
      <c r="B86" t="s">
        <v>11</v>
      </c>
      <c r="C86" t="s">
        <v>4535</v>
      </c>
      <c r="D86">
        <v>-29</v>
      </c>
    </row>
    <row r="87" spans="1:4" x14ac:dyDescent="0.25">
      <c r="A87" t="s">
        <v>123</v>
      </c>
      <c r="B87" t="s">
        <v>172</v>
      </c>
      <c r="C87" t="s">
        <v>4536</v>
      </c>
      <c r="D87">
        <v>-27</v>
      </c>
    </row>
    <row r="88" spans="1:4" x14ac:dyDescent="0.25">
      <c r="A88" t="s">
        <v>123</v>
      </c>
      <c r="B88" t="s">
        <v>1143</v>
      </c>
      <c r="C88" t="s">
        <v>4537</v>
      </c>
      <c r="D88">
        <v>-25</v>
      </c>
    </row>
    <row r="89" spans="1:4" x14ac:dyDescent="0.25">
      <c r="A89" t="s">
        <v>123</v>
      </c>
      <c r="B89" t="s">
        <v>568</v>
      </c>
      <c r="C89" t="s">
        <v>4538</v>
      </c>
      <c r="D89">
        <v>-27</v>
      </c>
    </row>
    <row r="90" spans="1:4" x14ac:dyDescent="0.25">
      <c r="A90" t="s">
        <v>123</v>
      </c>
      <c r="B90" t="s">
        <v>13</v>
      </c>
      <c r="C90" t="s">
        <v>4539</v>
      </c>
      <c r="D90">
        <v>-24</v>
      </c>
    </row>
    <row r="91" spans="1:4" x14ac:dyDescent="0.25">
      <c r="A91" t="s">
        <v>123</v>
      </c>
      <c r="B91" t="s">
        <v>1432</v>
      </c>
      <c r="C91" t="s">
        <v>4540</v>
      </c>
      <c r="D91">
        <v>-26</v>
      </c>
    </row>
    <row r="92" spans="1:4" x14ac:dyDescent="0.25">
      <c r="A92" t="s">
        <v>123</v>
      </c>
      <c r="B92" t="s">
        <v>335</v>
      </c>
      <c r="C92" t="s">
        <v>4541</v>
      </c>
      <c r="D92">
        <v>-24</v>
      </c>
    </row>
    <row r="93" spans="1:4" x14ac:dyDescent="0.25">
      <c r="A93" t="s">
        <v>123</v>
      </c>
      <c r="B93" t="s">
        <v>654</v>
      </c>
      <c r="C93" t="s">
        <v>4542</v>
      </c>
      <c r="D93">
        <v>-26</v>
      </c>
    </row>
    <row r="94" spans="1:4" x14ac:dyDescent="0.25">
      <c r="A94" t="s">
        <v>123</v>
      </c>
      <c r="B94" t="s">
        <v>285</v>
      </c>
      <c r="C94" t="s">
        <v>4543</v>
      </c>
      <c r="D94">
        <v>-28</v>
      </c>
    </row>
    <row r="95" spans="1:4" x14ac:dyDescent="0.25">
      <c r="A95" t="s">
        <v>123</v>
      </c>
      <c r="B95" t="s">
        <v>1040</v>
      </c>
      <c r="C95" t="s">
        <v>4544</v>
      </c>
      <c r="D95">
        <v>-25</v>
      </c>
    </row>
    <row r="96" spans="1:4" x14ac:dyDescent="0.25">
      <c r="A96" t="s">
        <v>123</v>
      </c>
      <c r="B96" t="s">
        <v>1376</v>
      </c>
      <c r="C96" t="s">
        <v>4545</v>
      </c>
      <c r="D96">
        <v>-23</v>
      </c>
    </row>
    <row r="97" spans="1:4" x14ac:dyDescent="0.25">
      <c r="A97" t="s">
        <v>123</v>
      </c>
      <c r="B97" t="s">
        <v>2112</v>
      </c>
      <c r="C97" t="s">
        <v>4546</v>
      </c>
      <c r="D97">
        <v>-25</v>
      </c>
    </row>
    <row r="98" spans="1:4" x14ac:dyDescent="0.25">
      <c r="A98" t="s">
        <v>123</v>
      </c>
      <c r="B98" t="s">
        <v>1988</v>
      </c>
      <c r="C98" t="s">
        <v>4547</v>
      </c>
      <c r="D98">
        <v>-23</v>
      </c>
    </row>
    <row r="99" spans="1:4" x14ac:dyDescent="0.25">
      <c r="A99" t="s">
        <v>123</v>
      </c>
      <c r="B99" t="s">
        <v>1845</v>
      </c>
      <c r="C99" t="s">
        <v>4548</v>
      </c>
      <c r="D99">
        <v>-22</v>
      </c>
    </row>
    <row r="100" spans="1:4" x14ac:dyDescent="0.25">
      <c r="A100" t="s">
        <v>123</v>
      </c>
      <c r="B100" t="s">
        <v>1845</v>
      </c>
      <c r="C100" t="s">
        <v>4549</v>
      </c>
      <c r="D100">
        <v>-21</v>
      </c>
    </row>
    <row r="102" spans="1:4" x14ac:dyDescent="0.25">
      <c r="A102" s="2" t="s">
        <v>157</v>
      </c>
    </row>
    <row r="103" spans="1:4" x14ac:dyDescent="0.25">
      <c r="A103" t="s">
        <v>158</v>
      </c>
      <c r="D103">
        <f>AVERAGE(D2:D100)</f>
        <v>-15.161616161616161</v>
      </c>
    </row>
    <row r="104" spans="1:4" x14ac:dyDescent="0.25">
      <c r="A104" t="s">
        <v>159</v>
      </c>
      <c r="D104">
        <f>MAX(D2:D100)</f>
        <v>7</v>
      </c>
    </row>
    <row r="105" spans="1:4" x14ac:dyDescent="0.25">
      <c r="A105" t="s">
        <v>160</v>
      </c>
      <c r="D105">
        <f>MIN(D2:D100)</f>
        <v>-31</v>
      </c>
    </row>
    <row r="106" spans="1:4" x14ac:dyDescent="0.25">
      <c r="A106" t="s">
        <v>161</v>
      </c>
      <c r="D106">
        <f>COUNTIF(D2:D100,"&gt;0")</f>
        <v>7</v>
      </c>
    </row>
    <row r="107" spans="1:4" x14ac:dyDescent="0.25">
      <c r="A107" t="s">
        <v>162</v>
      </c>
      <c r="D107">
        <f>COUNTIF(D2:D100,"=0")</f>
        <v>1</v>
      </c>
    </row>
    <row r="108" spans="1:4" x14ac:dyDescent="0.25">
      <c r="A108" t="s">
        <v>1264</v>
      </c>
      <c r="D108">
        <f>COUNTIF(D2:D100,"&lt;0")</f>
        <v>91</v>
      </c>
    </row>
    <row r="110" spans="1:4" x14ac:dyDescent="0.25">
      <c r="A110" s="2" t="s">
        <v>164</v>
      </c>
    </row>
    <row r="111" spans="1:4" x14ac:dyDescent="0.25">
      <c r="A111" t="s">
        <v>165</v>
      </c>
      <c r="D111">
        <f>AVERAGE(D2,D3,D4,D5,D6,D7,D8,D9,D10,D11,D12,D13,D14,D15,D16,D17,D18,D19,D20,D21,D22,D23,D24,D25)</f>
        <v>-2.9583333333333335</v>
      </c>
    </row>
    <row r="112" spans="1:4" x14ac:dyDescent="0.25">
      <c r="A112" t="s">
        <v>166</v>
      </c>
      <c r="D112">
        <f>AVERAGE(D26,D27,D28,D29,D30,D31,D32,D33,D34,D35,D36,D37,D38,D39,D40,D41,D42,D43,D44,D45,D46,D47,D48,D49,D50,D51,D52,D53,D54,D55,D56)</f>
        <v>-12.612903225806452</v>
      </c>
    </row>
    <row r="113" spans="1:4" x14ac:dyDescent="0.25">
      <c r="A113" t="s">
        <v>167</v>
      </c>
      <c r="D113">
        <f>AVERAGE(D57,D58,D59,D60,D61,D62,D63,D64,D65,D66,D67,D68,D69,D70,D71,D72,D73,D74,D75,D76,D77,D78,D79,D80,D81)</f>
        <v>-21.92</v>
      </c>
    </row>
    <row r="114" spans="1:4" x14ac:dyDescent="0.25">
      <c r="A114" t="s">
        <v>168</v>
      </c>
      <c r="D114">
        <f>AVERAGE(D82,D83,D84,D85,D86,D87,D88,D89,D90,D91,D92,D93,D94,D95,D96,D97,D98,D99,D100)</f>
        <v>-25.842105263157894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D10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4401</v>
      </c>
    </row>
    <row r="2" spans="1:4" x14ac:dyDescent="0.25">
      <c r="A2" t="s">
        <v>4</v>
      </c>
      <c r="B2" t="s">
        <v>5</v>
      </c>
      <c r="C2" t="s">
        <v>908</v>
      </c>
      <c r="D2">
        <v>-2</v>
      </c>
    </row>
    <row r="3" spans="1:4" x14ac:dyDescent="0.25">
      <c r="A3" t="s">
        <v>4</v>
      </c>
      <c r="B3" t="s">
        <v>1691</v>
      </c>
      <c r="C3" t="s">
        <v>1008</v>
      </c>
      <c r="D3">
        <v>-3</v>
      </c>
    </row>
    <row r="4" spans="1:4" x14ac:dyDescent="0.25">
      <c r="A4" t="s">
        <v>4</v>
      </c>
      <c r="B4" t="s">
        <v>1768</v>
      </c>
      <c r="C4" t="s">
        <v>909</v>
      </c>
      <c r="D4">
        <v>-5</v>
      </c>
    </row>
    <row r="5" spans="1:4" x14ac:dyDescent="0.25">
      <c r="A5" t="s">
        <v>4</v>
      </c>
      <c r="B5" t="s">
        <v>778</v>
      </c>
      <c r="C5" t="s">
        <v>1869</v>
      </c>
      <c r="D5">
        <v>-3</v>
      </c>
    </row>
    <row r="6" spans="1:4" x14ac:dyDescent="0.25">
      <c r="A6" t="s">
        <v>4</v>
      </c>
      <c r="B6" t="s">
        <v>1169</v>
      </c>
      <c r="C6" t="s">
        <v>2430</v>
      </c>
      <c r="D6">
        <v>0</v>
      </c>
    </row>
    <row r="7" spans="1:4" x14ac:dyDescent="0.25">
      <c r="A7" t="s">
        <v>4</v>
      </c>
      <c r="B7" t="s">
        <v>1325</v>
      </c>
      <c r="C7" t="s">
        <v>913</v>
      </c>
      <c r="D7">
        <v>-2</v>
      </c>
    </row>
    <row r="8" spans="1:4" x14ac:dyDescent="0.25">
      <c r="A8" t="s">
        <v>4</v>
      </c>
      <c r="B8" t="s">
        <v>13</v>
      </c>
      <c r="C8" t="s">
        <v>16</v>
      </c>
      <c r="D8">
        <v>-1</v>
      </c>
    </row>
    <row r="9" spans="1:4" x14ac:dyDescent="0.25">
      <c r="A9" t="s">
        <v>4</v>
      </c>
      <c r="B9" t="s">
        <v>832</v>
      </c>
      <c r="C9" t="s">
        <v>696</v>
      </c>
      <c r="D9">
        <v>1</v>
      </c>
    </row>
    <row r="10" spans="1:4" x14ac:dyDescent="0.25">
      <c r="A10" t="s">
        <v>4</v>
      </c>
      <c r="B10" t="s">
        <v>135</v>
      </c>
      <c r="C10" t="s">
        <v>697</v>
      </c>
      <c r="D10">
        <v>-1</v>
      </c>
    </row>
    <row r="11" spans="1:4" x14ac:dyDescent="0.25">
      <c r="A11" t="s">
        <v>4</v>
      </c>
      <c r="B11" t="s">
        <v>2431</v>
      </c>
      <c r="C11" t="s">
        <v>699</v>
      </c>
      <c r="D11">
        <v>1</v>
      </c>
    </row>
    <row r="12" spans="1:4" x14ac:dyDescent="0.25">
      <c r="A12" t="s">
        <v>4</v>
      </c>
      <c r="B12" t="s">
        <v>654</v>
      </c>
      <c r="C12" t="s">
        <v>2202</v>
      </c>
      <c r="D12">
        <v>-1</v>
      </c>
    </row>
    <row r="13" spans="1:4" x14ac:dyDescent="0.25">
      <c r="A13" t="s">
        <v>4</v>
      </c>
      <c r="B13" t="s">
        <v>312</v>
      </c>
      <c r="C13" t="s">
        <v>574</v>
      </c>
      <c r="D13">
        <v>0</v>
      </c>
    </row>
    <row r="14" spans="1:4" x14ac:dyDescent="0.25">
      <c r="A14" t="s">
        <v>4</v>
      </c>
      <c r="B14" t="s">
        <v>313</v>
      </c>
      <c r="C14" t="s">
        <v>575</v>
      </c>
      <c r="D14">
        <v>-1</v>
      </c>
    </row>
    <row r="15" spans="1:4" x14ac:dyDescent="0.25">
      <c r="A15" t="s">
        <v>4</v>
      </c>
      <c r="B15" t="s">
        <v>1436</v>
      </c>
      <c r="C15" t="s">
        <v>919</v>
      </c>
      <c r="D15">
        <v>1</v>
      </c>
    </row>
    <row r="16" spans="1:4" x14ac:dyDescent="0.25">
      <c r="A16" t="s">
        <v>4</v>
      </c>
      <c r="B16" t="s">
        <v>766</v>
      </c>
      <c r="C16" t="s">
        <v>1872</v>
      </c>
      <c r="D16">
        <v>2</v>
      </c>
    </row>
    <row r="17" spans="1:4" x14ac:dyDescent="0.25">
      <c r="A17" t="s">
        <v>4</v>
      </c>
      <c r="B17" t="s">
        <v>766</v>
      </c>
      <c r="C17" t="s">
        <v>920</v>
      </c>
      <c r="D17">
        <v>3</v>
      </c>
    </row>
    <row r="18" spans="1:4" x14ac:dyDescent="0.25">
      <c r="A18" t="s">
        <v>4</v>
      </c>
      <c r="B18" t="s">
        <v>288</v>
      </c>
      <c r="C18" t="s">
        <v>2121</v>
      </c>
      <c r="D18">
        <v>0</v>
      </c>
    </row>
    <row r="19" spans="1:4" x14ac:dyDescent="0.25">
      <c r="A19" t="s">
        <v>4</v>
      </c>
      <c r="B19" t="s">
        <v>1202</v>
      </c>
      <c r="C19" t="s">
        <v>1876</v>
      </c>
      <c r="D19">
        <v>3</v>
      </c>
    </row>
    <row r="20" spans="1:4" x14ac:dyDescent="0.25">
      <c r="A20" t="s">
        <v>4</v>
      </c>
      <c r="B20" t="s">
        <v>1048</v>
      </c>
      <c r="C20" t="s">
        <v>1201</v>
      </c>
      <c r="D20">
        <v>4</v>
      </c>
    </row>
    <row r="21" spans="1:4" x14ac:dyDescent="0.25">
      <c r="A21" t="s">
        <v>4</v>
      </c>
      <c r="B21" t="s">
        <v>1048</v>
      </c>
      <c r="C21" t="s">
        <v>200</v>
      </c>
      <c r="D21">
        <v>5</v>
      </c>
    </row>
    <row r="22" spans="1:4" x14ac:dyDescent="0.25">
      <c r="A22" t="s">
        <v>4</v>
      </c>
      <c r="B22" t="s">
        <v>815</v>
      </c>
      <c r="C22" t="s">
        <v>450</v>
      </c>
      <c r="D22">
        <v>3</v>
      </c>
    </row>
    <row r="23" spans="1:4" x14ac:dyDescent="0.25">
      <c r="A23" t="s">
        <v>4</v>
      </c>
      <c r="B23" t="s">
        <v>1222</v>
      </c>
      <c r="C23" t="s">
        <v>452</v>
      </c>
      <c r="D23">
        <v>0</v>
      </c>
    </row>
    <row r="24" spans="1:4" x14ac:dyDescent="0.25">
      <c r="A24" t="s">
        <v>4</v>
      </c>
      <c r="B24" t="s">
        <v>634</v>
      </c>
      <c r="C24" t="s">
        <v>711</v>
      </c>
      <c r="D24">
        <v>1</v>
      </c>
    </row>
    <row r="25" spans="1:4" x14ac:dyDescent="0.25">
      <c r="A25" t="s">
        <v>4</v>
      </c>
      <c r="B25" t="s">
        <v>33</v>
      </c>
      <c r="C25" t="s">
        <v>1438</v>
      </c>
      <c r="D25">
        <v>0</v>
      </c>
    </row>
    <row r="26" spans="1:4" x14ac:dyDescent="0.25">
      <c r="A26" t="s">
        <v>40</v>
      </c>
      <c r="B26" t="s">
        <v>1973</v>
      </c>
      <c r="C26" t="s">
        <v>2328</v>
      </c>
      <c r="D26">
        <v>-2</v>
      </c>
    </row>
    <row r="27" spans="1:4" x14ac:dyDescent="0.25">
      <c r="A27" t="s">
        <v>40</v>
      </c>
      <c r="B27" t="s">
        <v>2405</v>
      </c>
      <c r="C27" t="s">
        <v>3721</v>
      </c>
      <c r="D27">
        <v>0</v>
      </c>
    </row>
    <row r="28" spans="1:4" x14ac:dyDescent="0.25">
      <c r="A28" t="s">
        <v>40</v>
      </c>
      <c r="B28" t="s">
        <v>2405</v>
      </c>
      <c r="C28" t="s">
        <v>591</v>
      </c>
      <c r="D28">
        <v>1</v>
      </c>
    </row>
    <row r="29" spans="1:4" x14ac:dyDescent="0.25">
      <c r="A29" t="s">
        <v>40</v>
      </c>
      <c r="B29" t="s">
        <v>514</v>
      </c>
      <c r="C29" t="s">
        <v>1440</v>
      </c>
      <c r="D29">
        <v>2</v>
      </c>
    </row>
    <row r="30" spans="1:4" x14ac:dyDescent="0.25">
      <c r="A30" t="s">
        <v>40</v>
      </c>
      <c r="B30" t="s">
        <v>514</v>
      </c>
      <c r="C30" t="s">
        <v>214</v>
      </c>
      <c r="D30">
        <v>3</v>
      </c>
    </row>
    <row r="31" spans="1:4" x14ac:dyDescent="0.25">
      <c r="A31" t="s">
        <v>40</v>
      </c>
      <c r="B31" t="s">
        <v>514</v>
      </c>
      <c r="C31" t="s">
        <v>717</v>
      </c>
      <c r="D31">
        <v>4</v>
      </c>
    </row>
    <row r="32" spans="1:4" x14ac:dyDescent="0.25">
      <c r="A32" t="s">
        <v>40</v>
      </c>
      <c r="B32" t="s">
        <v>460</v>
      </c>
      <c r="C32" t="s">
        <v>216</v>
      </c>
      <c r="D32">
        <v>6</v>
      </c>
    </row>
    <row r="33" spans="1:4" x14ac:dyDescent="0.25">
      <c r="A33" t="s">
        <v>40</v>
      </c>
      <c r="B33" t="s">
        <v>1194</v>
      </c>
      <c r="C33" t="s">
        <v>2358</v>
      </c>
      <c r="D33">
        <v>4</v>
      </c>
    </row>
    <row r="34" spans="1:4" x14ac:dyDescent="0.25">
      <c r="A34" t="s">
        <v>40</v>
      </c>
      <c r="B34" t="s">
        <v>625</v>
      </c>
      <c r="C34" t="s">
        <v>2484</v>
      </c>
      <c r="D34">
        <v>1</v>
      </c>
    </row>
    <row r="35" spans="1:4" x14ac:dyDescent="0.25">
      <c r="A35" t="s">
        <v>40</v>
      </c>
      <c r="B35" t="s">
        <v>181</v>
      </c>
      <c r="C35" t="s">
        <v>222</v>
      </c>
      <c r="D35">
        <v>4</v>
      </c>
    </row>
    <row r="36" spans="1:4" x14ac:dyDescent="0.25">
      <c r="A36" t="s">
        <v>40</v>
      </c>
      <c r="B36" t="s">
        <v>95</v>
      </c>
      <c r="C36" t="s">
        <v>1130</v>
      </c>
      <c r="D36">
        <v>2</v>
      </c>
    </row>
    <row r="37" spans="1:4" x14ac:dyDescent="0.25">
      <c r="A37" t="s">
        <v>40</v>
      </c>
      <c r="B37" t="s">
        <v>1776</v>
      </c>
      <c r="C37" t="s">
        <v>466</v>
      </c>
      <c r="D37">
        <v>0</v>
      </c>
    </row>
    <row r="38" spans="1:4" x14ac:dyDescent="0.25">
      <c r="A38" t="s">
        <v>40</v>
      </c>
      <c r="B38" t="s">
        <v>21</v>
      </c>
      <c r="C38" t="s">
        <v>468</v>
      </c>
      <c r="D38">
        <v>2</v>
      </c>
    </row>
    <row r="39" spans="1:4" x14ac:dyDescent="0.25">
      <c r="A39" t="s">
        <v>40</v>
      </c>
      <c r="B39" t="s">
        <v>600</v>
      </c>
      <c r="C39" t="s">
        <v>2267</v>
      </c>
      <c r="D39">
        <v>3</v>
      </c>
    </row>
    <row r="40" spans="1:4" x14ac:dyDescent="0.25">
      <c r="A40" t="s">
        <v>40</v>
      </c>
      <c r="B40" t="s">
        <v>600</v>
      </c>
      <c r="C40" t="s">
        <v>229</v>
      </c>
      <c r="D40">
        <v>4</v>
      </c>
    </row>
    <row r="41" spans="1:4" x14ac:dyDescent="0.25">
      <c r="A41" t="s">
        <v>40</v>
      </c>
      <c r="B41" t="s">
        <v>1016</v>
      </c>
      <c r="C41" t="s">
        <v>230</v>
      </c>
      <c r="D41">
        <v>2</v>
      </c>
    </row>
    <row r="42" spans="1:4" x14ac:dyDescent="0.25">
      <c r="A42" t="s">
        <v>40</v>
      </c>
      <c r="B42" t="s">
        <v>1038</v>
      </c>
      <c r="C42" t="s">
        <v>1668</v>
      </c>
      <c r="D42">
        <v>4</v>
      </c>
    </row>
    <row r="43" spans="1:4" x14ac:dyDescent="0.25">
      <c r="A43" t="s">
        <v>40</v>
      </c>
      <c r="B43" t="s">
        <v>1700</v>
      </c>
      <c r="C43" t="s">
        <v>1757</v>
      </c>
      <c r="D43">
        <v>3</v>
      </c>
    </row>
    <row r="44" spans="1:4" x14ac:dyDescent="0.25">
      <c r="A44" t="s">
        <v>40</v>
      </c>
      <c r="B44" t="s">
        <v>749</v>
      </c>
      <c r="C44" t="s">
        <v>474</v>
      </c>
      <c r="D44">
        <v>2</v>
      </c>
    </row>
    <row r="45" spans="1:4" x14ac:dyDescent="0.25">
      <c r="A45" t="s">
        <v>40</v>
      </c>
      <c r="B45" t="s">
        <v>845</v>
      </c>
      <c r="C45" t="s">
        <v>3574</v>
      </c>
      <c r="D45">
        <v>0</v>
      </c>
    </row>
    <row r="46" spans="1:4" x14ac:dyDescent="0.25">
      <c r="A46" t="s">
        <v>40</v>
      </c>
      <c r="B46" t="s">
        <v>290</v>
      </c>
      <c r="C46" t="s">
        <v>1759</v>
      </c>
      <c r="D46">
        <v>2</v>
      </c>
    </row>
    <row r="47" spans="1:4" x14ac:dyDescent="0.25">
      <c r="A47" t="s">
        <v>40</v>
      </c>
      <c r="B47" t="s">
        <v>709</v>
      </c>
      <c r="C47" t="s">
        <v>360</v>
      </c>
      <c r="D47">
        <v>3</v>
      </c>
    </row>
    <row r="48" spans="1:4" x14ac:dyDescent="0.25">
      <c r="A48" t="s">
        <v>40</v>
      </c>
      <c r="B48" t="s">
        <v>72</v>
      </c>
      <c r="C48" t="s">
        <v>1144</v>
      </c>
      <c r="D48">
        <v>6</v>
      </c>
    </row>
    <row r="49" spans="1:4" x14ac:dyDescent="0.25">
      <c r="A49" t="s">
        <v>40</v>
      </c>
      <c r="B49" t="s">
        <v>346</v>
      </c>
      <c r="C49" t="s">
        <v>2547</v>
      </c>
      <c r="D49">
        <v>4</v>
      </c>
    </row>
    <row r="50" spans="1:4" x14ac:dyDescent="0.25">
      <c r="A50" t="s">
        <v>40</v>
      </c>
      <c r="B50" t="s">
        <v>322</v>
      </c>
      <c r="C50" t="s">
        <v>2169</v>
      </c>
      <c r="D50">
        <v>6</v>
      </c>
    </row>
    <row r="51" spans="1:4" x14ac:dyDescent="0.25">
      <c r="A51" t="s">
        <v>40</v>
      </c>
      <c r="B51" t="s">
        <v>76</v>
      </c>
      <c r="C51" t="s">
        <v>2609</v>
      </c>
      <c r="D51">
        <v>5</v>
      </c>
    </row>
    <row r="52" spans="1:4" x14ac:dyDescent="0.25">
      <c r="A52" t="s">
        <v>40</v>
      </c>
      <c r="B52" t="s">
        <v>76</v>
      </c>
      <c r="C52" t="s">
        <v>2548</v>
      </c>
      <c r="D52">
        <v>4</v>
      </c>
    </row>
    <row r="53" spans="1:4" x14ac:dyDescent="0.25">
      <c r="A53" t="s">
        <v>40</v>
      </c>
      <c r="B53" t="s">
        <v>1002</v>
      </c>
      <c r="C53" t="s">
        <v>3699</v>
      </c>
      <c r="D53">
        <v>5</v>
      </c>
    </row>
    <row r="54" spans="1:4" x14ac:dyDescent="0.25">
      <c r="A54" t="s">
        <v>40</v>
      </c>
      <c r="B54" t="s">
        <v>1002</v>
      </c>
      <c r="C54" t="s">
        <v>485</v>
      </c>
      <c r="D54">
        <v>6</v>
      </c>
    </row>
    <row r="55" spans="1:4" x14ac:dyDescent="0.25">
      <c r="A55" t="s">
        <v>80</v>
      </c>
      <c r="B55" t="s">
        <v>933</v>
      </c>
      <c r="C55" t="s">
        <v>2530</v>
      </c>
      <c r="D55">
        <v>5</v>
      </c>
    </row>
    <row r="56" spans="1:4" x14ac:dyDescent="0.25">
      <c r="A56" t="s">
        <v>80</v>
      </c>
      <c r="B56" t="s">
        <v>1083</v>
      </c>
      <c r="C56" t="s">
        <v>2610</v>
      </c>
      <c r="D56">
        <v>3</v>
      </c>
    </row>
    <row r="57" spans="1:4" x14ac:dyDescent="0.25">
      <c r="A57" t="s">
        <v>80</v>
      </c>
      <c r="B57" t="s">
        <v>1083</v>
      </c>
      <c r="C57" t="s">
        <v>2611</v>
      </c>
      <c r="D57">
        <v>2</v>
      </c>
    </row>
    <row r="58" spans="1:4" x14ac:dyDescent="0.25">
      <c r="A58" t="s">
        <v>80</v>
      </c>
      <c r="B58" t="s">
        <v>511</v>
      </c>
      <c r="C58" t="s">
        <v>2172</v>
      </c>
      <c r="D58">
        <v>5</v>
      </c>
    </row>
    <row r="59" spans="1:4" x14ac:dyDescent="0.25">
      <c r="A59" t="s">
        <v>80</v>
      </c>
      <c r="B59" t="s">
        <v>616</v>
      </c>
      <c r="C59" t="s">
        <v>1525</v>
      </c>
      <c r="D59">
        <v>3</v>
      </c>
    </row>
    <row r="60" spans="1:4" x14ac:dyDescent="0.25">
      <c r="A60" t="s">
        <v>80</v>
      </c>
      <c r="B60" t="s">
        <v>398</v>
      </c>
      <c r="C60" t="s">
        <v>1526</v>
      </c>
      <c r="D60">
        <v>5</v>
      </c>
    </row>
    <row r="61" spans="1:4" x14ac:dyDescent="0.25">
      <c r="A61" t="s">
        <v>80</v>
      </c>
      <c r="B61" t="s">
        <v>1246</v>
      </c>
      <c r="C61" t="s">
        <v>2550</v>
      </c>
      <c r="D61">
        <v>8</v>
      </c>
    </row>
    <row r="62" spans="1:4" x14ac:dyDescent="0.25">
      <c r="A62" t="s">
        <v>80</v>
      </c>
      <c r="B62" t="s">
        <v>1495</v>
      </c>
      <c r="C62" t="s">
        <v>1158</v>
      </c>
      <c r="D62">
        <v>10</v>
      </c>
    </row>
    <row r="63" spans="1:4" x14ac:dyDescent="0.25">
      <c r="A63" t="s">
        <v>80</v>
      </c>
      <c r="B63" t="s">
        <v>462</v>
      </c>
      <c r="C63" t="s">
        <v>1159</v>
      </c>
      <c r="D63">
        <v>8</v>
      </c>
    </row>
    <row r="64" spans="1:4" x14ac:dyDescent="0.25">
      <c r="A64" t="s">
        <v>80</v>
      </c>
      <c r="B64" t="s">
        <v>625</v>
      </c>
      <c r="C64" t="s">
        <v>1161</v>
      </c>
      <c r="D64">
        <v>10</v>
      </c>
    </row>
    <row r="65" spans="1:4" x14ac:dyDescent="0.25">
      <c r="A65" t="s">
        <v>80</v>
      </c>
      <c r="B65" t="s">
        <v>433</v>
      </c>
      <c r="C65" t="s">
        <v>1163</v>
      </c>
      <c r="D65">
        <v>8</v>
      </c>
    </row>
    <row r="66" spans="1:4" x14ac:dyDescent="0.25">
      <c r="A66" t="s">
        <v>80</v>
      </c>
      <c r="B66" t="s">
        <v>1441</v>
      </c>
      <c r="C66" t="s">
        <v>3067</v>
      </c>
      <c r="D66">
        <v>9</v>
      </c>
    </row>
    <row r="67" spans="1:4" x14ac:dyDescent="0.25">
      <c r="A67" t="s">
        <v>80</v>
      </c>
      <c r="B67" t="s">
        <v>1441</v>
      </c>
      <c r="C67" t="s">
        <v>2882</v>
      </c>
      <c r="D67">
        <v>10</v>
      </c>
    </row>
    <row r="68" spans="1:4" x14ac:dyDescent="0.25">
      <c r="A68" t="s">
        <v>80</v>
      </c>
      <c r="B68" t="s">
        <v>1776</v>
      </c>
      <c r="C68" t="s">
        <v>1165</v>
      </c>
      <c r="D68">
        <v>8</v>
      </c>
    </row>
    <row r="69" spans="1:4" x14ac:dyDescent="0.25">
      <c r="A69" t="s">
        <v>80</v>
      </c>
      <c r="B69" t="s">
        <v>700</v>
      </c>
      <c r="C69" t="s">
        <v>2884</v>
      </c>
      <c r="D69">
        <v>10</v>
      </c>
    </row>
    <row r="70" spans="1:4" x14ac:dyDescent="0.25">
      <c r="A70" t="s">
        <v>80</v>
      </c>
      <c r="B70" t="s">
        <v>1829</v>
      </c>
      <c r="C70" t="s">
        <v>2990</v>
      </c>
      <c r="D70">
        <v>12</v>
      </c>
    </row>
    <row r="71" spans="1:4" x14ac:dyDescent="0.25">
      <c r="A71" t="s">
        <v>80</v>
      </c>
      <c r="B71" t="s">
        <v>887</v>
      </c>
      <c r="C71" t="s">
        <v>3734</v>
      </c>
      <c r="D71">
        <v>14</v>
      </c>
    </row>
    <row r="72" spans="1:4" x14ac:dyDescent="0.25">
      <c r="A72" t="s">
        <v>80</v>
      </c>
      <c r="B72" t="s">
        <v>319</v>
      </c>
      <c r="C72" t="s">
        <v>2868</v>
      </c>
      <c r="D72">
        <v>12</v>
      </c>
    </row>
    <row r="73" spans="1:4" x14ac:dyDescent="0.25">
      <c r="A73" t="s">
        <v>80</v>
      </c>
      <c r="B73" t="s">
        <v>1376</v>
      </c>
      <c r="C73" t="s">
        <v>2798</v>
      </c>
      <c r="D73">
        <v>15</v>
      </c>
    </row>
    <row r="74" spans="1:4" x14ac:dyDescent="0.25">
      <c r="A74" t="s">
        <v>80</v>
      </c>
      <c r="B74" t="s">
        <v>1640</v>
      </c>
      <c r="C74" t="s">
        <v>978</v>
      </c>
      <c r="D74">
        <v>18</v>
      </c>
    </row>
    <row r="75" spans="1:4" x14ac:dyDescent="0.25">
      <c r="A75" t="s">
        <v>80</v>
      </c>
      <c r="B75" t="s">
        <v>1940</v>
      </c>
      <c r="C75" t="s">
        <v>4006</v>
      </c>
      <c r="D75">
        <v>17</v>
      </c>
    </row>
    <row r="76" spans="1:4" x14ac:dyDescent="0.25">
      <c r="A76" t="s">
        <v>80</v>
      </c>
      <c r="B76" t="s">
        <v>1940</v>
      </c>
      <c r="C76" t="s">
        <v>2380</v>
      </c>
      <c r="D76">
        <v>16</v>
      </c>
    </row>
    <row r="77" spans="1:4" x14ac:dyDescent="0.25">
      <c r="A77" t="s">
        <v>80</v>
      </c>
      <c r="B77" t="s">
        <v>898</v>
      </c>
      <c r="C77" t="s">
        <v>980</v>
      </c>
      <c r="D77">
        <v>18</v>
      </c>
    </row>
    <row r="78" spans="1:4" x14ac:dyDescent="0.25">
      <c r="A78" t="s">
        <v>80</v>
      </c>
      <c r="B78" t="s">
        <v>1809</v>
      </c>
      <c r="C78" t="s">
        <v>982</v>
      </c>
      <c r="D78">
        <v>21</v>
      </c>
    </row>
    <row r="79" spans="1:4" x14ac:dyDescent="0.25">
      <c r="A79" t="s">
        <v>80</v>
      </c>
      <c r="B79" t="s">
        <v>1261</v>
      </c>
      <c r="C79" t="s">
        <v>2382</v>
      </c>
      <c r="D79">
        <v>23</v>
      </c>
    </row>
    <row r="80" spans="1:4" x14ac:dyDescent="0.25">
      <c r="A80" t="s">
        <v>80</v>
      </c>
      <c r="B80" t="s">
        <v>1261</v>
      </c>
      <c r="C80" t="s">
        <v>983</v>
      </c>
      <c r="D80">
        <v>24</v>
      </c>
    </row>
    <row r="81" spans="1:4" x14ac:dyDescent="0.25">
      <c r="A81" t="s">
        <v>123</v>
      </c>
      <c r="B81" t="s">
        <v>1022</v>
      </c>
      <c r="C81" t="s">
        <v>4550</v>
      </c>
      <c r="D81">
        <v>26</v>
      </c>
    </row>
    <row r="82" spans="1:4" x14ac:dyDescent="0.25">
      <c r="A82" t="s">
        <v>123</v>
      </c>
      <c r="B82" t="s">
        <v>205</v>
      </c>
      <c r="C82" t="s">
        <v>4158</v>
      </c>
      <c r="D82">
        <v>24</v>
      </c>
    </row>
    <row r="83" spans="1:4" x14ac:dyDescent="0.25">
      <c r="A83" t="s">
        <v>123</v>
      </c>
      <c r="B83" t="s">
        <v>616</v>
      </c>
      <c r="C83" t="s">
        <v>2844</v>
      </c>
      <c r="D83">
        <v>21</v>
      </c>
    </row>
    <row r="84" spans="1:4" x14ac:dyDescent="0.25">
      <c r="A84" t="s">
        <v>123</v>
      </c>
      <c r="B84" t="s">
        <v>1877</v>
      </c>
      <c r="C84" t="s">
        <v>4551</v>
      </c>
      <c r="D84">
        <v>22</v>
      </c>
    </row>
    <row r="85" spans="1:4" x14ac:dyDescent="0.25">
      <c r="A85" t="s">
        <v>123</v>
      </c>
      <c r="B85" t="s">
        <v>175</v>
      </c>
      <c r="C85" t="s">
        <v>4226</v>
      </c>
      <c r="D85">
        <v>20</v>
      </c>
    </row>
    <row r="86" spans="1:4" x14ac:dyDescent="0.25">
      <c r="A86" t="s">
        <v>123</v>
      </c>
      <c r="B86" t="s">
        <v>460</v>
      </c>
      <c r="C86" t="s">
        <v>4233</v>
      </c>
      <c r="D86">
        <v>18</v>
      </c>
    </row>
    <row r="87" spans="1:4" x14ac:dyDescent="0.25">
      <c r="A87" t="s">
        <v>123</v>
      </c>
      <c r="B87" t="s">
        <v>916</v>
      </c>
      <c r="C87" t="s">
        <v>4227</v>
      </c>
      <c r="D87">
        <v>20</v>
      </c>
    </row>
    <row r="88" spans="1:4" x14ac:dyDescent="0.25">
      <c r="A88" t="s">
        <v>123</v>
      </c>
      <c r="B88" t="s">
        <v>1349</v>
      </c>
      <c r="C88" t="s">
        <v>2848</v>
      </c>
      <c r="D88">
        <v>19</v>
      </c>
    </row>
    <row r="89" spans="1:4" x14ac:dyDescent="0.25">
      <c r="A89" t="s">
        <v>123</v>
      </c>
      <c r="B89" t="s">
        <v>990</v>
      </c>
      <c r="C89" t="s">
        <v>2289</v>
      </c>
      <c r="D89">
        <v>16</v>
      </c>
    </row>
    <row r="90" spans="1:4" x14ac:dyDescent="0.25">
      <c r="A90" t="s">
        <v>123</v>
      </c>
      <c r="B90" t="s">
        <v>1843</v>
      </c>
      <c r="C90" t="s">
        <v>4552</v>
      </c>
      <c r="D90">
        <v>13</v>
      </c>
    </row>
    <row r="91" spans="1:4" x14ac:dyDescent="0.25">
      <c r="A91" t="s">
        <v>123</v>
      </c>
      <c r="B91" t="s">
        <v>389</v>
      </c>
      <c r="C91" t="s">
        <v>2681</v>
      </c>
      <c r="D91">
        <v>15</v>
      </c>
    </row>
    <row r="92" spans="1:4" x14ac:dyDescent="0.25">
      <c r="A92" t="s">
        <v>123</v>
      </c>
      <c r="B92" t="s">
        <v>31</v>
      </c>
      <c r="C92" t="s">
        <v>4553</v>
      </c>
      <c r="D92">
        <v>12</v>
      </c>
    </row>
    <row r="93" spans="1:4" x14ac:dyDescent="0.25">
      <c r="A93" t="s">
        <v>123</v>
      </c>
      <c r="B93" t="s">
        <v>999</v>
      </c>
      <c r="C93" t="s">
        <v>4404</v>
      </c>
      <c r="D93">
        <v>9</v>
      </c>
    </row>
    <row r="94" spans="1:4" x14ac:dyDescent="0.25">
      <c r="A94" t="s">
        <v>123</v>
      </c>
      <c r="B94" t="s">
        <v>2042</v>
      </c>
      <c r="C94" t="s">
        <v>4554</v>
      </c>
      <c r="D94">
        <v>12</v>
      </c>
    </row>
    <row r="95" spans="1:4" x14ac:dyDescent="0.25">
      <c r="A95" t="s">
        <v>123</v>
      </c>
      <c r="B95" t="s">
        <v>1489</v>
      </c>
      <c r="C95" t="s">
        <v>1860</v>
      </c>
      <c r="D95">
        <v>10</v>
      </c>
    </row>
    <row r="97" spans="1:4" x14ac:dyDescent="0.25">
      <c r="A97" s="2" t="s">
        <v>157</v>
      </c>
    </row>
    <row r="98" spans="1:4" x14ac:dyDescent="0.25">
      <c r="A98" t="s">
        <v>158</v>
      </c>
      <c r="D98">
        <f>AVERAGE(D2:D95)</f>
        <v>6.8297872340425529</v>
      </c>
    </row>
    <row r="99" spans="1:4" x14ac:dyDescent="0.25">
      <c r="A99" t="s">
        <v>159</v>
      </c>
      <c r="D99">
        <f>MAX(D2:D95)</f>
        <v>26</v>
      </c>
    </row>
    <row r="100" spans="1:4" x14ac:dyDescent="0.25">
      <c r="A100" t="s">
        <v>160</v>
      </c>
      <c r="D100">
        <f>MIN(D2:D95)</f>
        <v>-5</v>
      </c>
    </row>
    <row r="101" spans="1:4" x14ac:dyDescent="0.25">
      <c r="A101" t="s">
        <v>161</v>
      </c>
      <c r="D101">
        <f>COUNTIF(D2:D95,"&gt;0")</f>
        <v>76</v>
      </c>
    </row>
    <row r="102" spans="1:4" x14ac:dyDescent="0.25">
      <c r="A102" t="s">
        <v>162</v>
      </c>
      <c r="D102">
        <f>COUNTIF(D2:D95,"=0")</f>
        <v>8</v>
      </c>
    </row>
    <row r="103" spans="1:4" x14ac:dyDescent="0.25">
      <c r="A103" t="s">
        <v>4402</v>
      </c>
      <c r="D103">
        <f>COUNTIF(D2:D95,"&lt;0")</f>
        <v>10</v>
      </c>
    </row>
    <row r="105" spans="1:4" x14ac:dyDescent="0.25">
      <c r="A105" s="2" t="s">
        <v>164</v>
      </c>
    </row>
    <row r="106" spans="1:4" x14ac:dyDescent="0.25">
      <c r="A106" t="s">
        <v>165</v>
      </c>
      <c r="D106">
        <f>AVERAGE(D2,D3,D4,D5,D6,D7,D8,D9,D10,D11,D12,D13,D14,D15,D16,D17,D18,D19,D20,D21,D22,D23,D24,D25)</f>
        <v>0.20833333333333334</v>
      </c>
    </row>
    <row r="107" spans="1:4" x14ac:dyDescent="0.25">
      <c r="A107" t="s">
        <v>166</v>
      </c>
      <c r="D107">
        <f>AVERAGE(D26,D27,D28,D29,D30,D31,D32,D33,D34,D35,D36,D37,D38,D39,D40,D41,D42,D43,D44,D45,D46,D47,D48,D49,D50,D51,D52,D53,D54)</f>
        <v>2.9655172413793105</v>
      </c>
    </row>
    <row r="108" spans="1:4" x14ac:dyDescent="0.25">
      <c r="A108" t="s">
        <v>167</v>
      </c>
      <c r="D108">
        <f>AVERAGE(D55,D56,D57,D58,D59,D60,D61,D62,D63,D64,D65,D66,D67,D68,D69,D70,D71,D72,D73,D74,D75,D76,D77,D78,D79,D80)</f>
        <v>11.307692307692308</v>
      </c>
    </row>
    <row r="109" spans="1:4" x14ac:dyDescent="0.25">
      <c r="A109" t="s">
        <v>168</v>
      </c>
      <c r="D109">
        <f>AVERAGE(D81,D82,D83,D84,D85,D86,D87,D88,D89,D90,D91,D92,D93,D94,D95)</f>
        <v>17.133333333333333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D10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562</v>
      </c>
    </row>
    <row r="2" spans="1:4" x14ac:dyDescent="0.25">
      <c r="A2" t="s">
        <v>4</v>
      </c>
      <c r="B2" t="s">
        <v>1664</v>
      </c>
      <c r="C2" t="s">
        <v>1008</v>
      </c>
      <c r="D2">
        <v>-3</v>
      </c>
    </row>
    <row r="3" spans="1:4" x14ac:dyDescent="0.25">
      <c r="A3" t="s">
        <v>4</v>
      </c>
      <c r="B3" t="s">
        <v>1009</v>
      </c>
      <c r="C3" t="s">
        <v>3551</v>
      </c>
      <c r="D3">
        <v>-6</v>
      </c>
    </row>
    <row r="4" spans="1:4" x14ac:dyDescent="0.25">
      <c r="A4" t="s">
        <v>4</v>
      </c>
      <c r="B4" t="s">
        <v>1244</v>
      </c>
      <c r="C4" t="s">
        <v>2746</v>
      </c>
      <c r="D4">
        <v>-8</v>
      </c>
    </row>
    <row r="5" spans="1:4" x14ac:dyDescent="0.25">
      <c r="A5" t="s">
        <v>4</v>
      </c>
      <c r="B5" t="s">
        <v>1613</v>
      </c>
      <c r="C5" t="s">
        <v>4086</v>
      </c>
      <c r="D5">
        <v>-7</v>
      </c>
    </row>
    <row r="6" spans="1:4" x14ac:dyDescent="0.25">
      <c r="A6" t="s">
        <v>4</v>
      </c>
      <c r="B6" t="s">
        <v>1613</v>
      </c>
      <c r="C6" t="s">
        <v>3756</v>
      </c>
      <c r="D6">
        <v>-6</v>
      </c>
    </row>
    <row r="7" spans="1:4" x14ac:dyDescent="0.25">
      <c r="A7" t="s">
        <v>4</v>
      </c>
      <c r="B7" t="s">
        <v>1143</v>
      </c>
      <c r="C7" t="s">
        <v>1109</v>
      </c>
      <c r="D7">
        <v>-3</v>
      </c>
    </row>
    <row r="8" spans="1:4" x14ac:dyDescent="0.25">
      <c r="A8" t="s">
        <v>4</v>
      </c>
      <c r="B8" t="s">
        <v>1754</v>
      </c>
      <c r="C8" t="s">
        <v>1635</v>
      </c>
      <c r="D8">
        <v>-5</v>
      </c>
    </row>
    <row r="9" spans="1:4" x14ac:dyDescent="0.25">
      <c r="A9" t="s">
        <v>4</v>
      </c>
      <c r="B9" t="s">
        <v>250</v>
      </c>
      <c r="C9" t="s">
        <v>915</v>
      </c>
      <c r="D9">
        <v>-2</v>
      </c>
    </row>
    <row r="10" spans="1:4" x14ac:dyDescent="0.25">
      <c r="A10" t="s">
        <v>4</v>
      </c>
      <c r="B10" t="s">
        <v>1826</v>
      </c>
      <c r="C10" t="s">
        <v>1110</v>
      </c>
      <c r="D10">
        <v>0</v>
      </c>
    </row>
    <row r="11" spans="1:4" x14ac:dyDescent="0.25">
      <c r="A11" t="s">
        <v>4</v>
      </c>
      <c r="B11" t="s">
        <v>645</v>
      </c>
      <c r="C11" t="s">
        <v>1500</v>
      </c>
      <c r="D11">
        <v>-2</v>
      </c>
    </row>
    <row r="12" spans="1:4" x14ac:dyDescent="0.25">
      <c r="A12" t="s">
        <v>4</v>
      </c>
      <c r="B12" t="s">
        <v>138</v>
      </c>
      <c r="C12" t="s">
        <v>919</v>
      </c>
      <c r="D12">
        <v>1</v>
      </c>
    </row>
    <row r="13" spans="1:4" x14ac:dyDescent="0.25">
      <c r="A13" t="s">
        <v>4</v>
      </c>
      <c r="B13" t="s">
        <v>1725</v>
      </c>
      <c r="C13" t="s">
        <v>445</v>
      </c>
      <c r="D13">
        <v>-2</v>
      </c>
    </row>
    <row r="14" spans="1:4" x14ac:dyDescent="0.25">
      <c r="A14" t="s">
        <v>4</v>
      </c>
      <c r="B14" t="s">
        <v>188</v>
      </c>
      <c r="C14" t="s">
        <v>1504</v>
      </c>
      <c r="D14">
        <v>-4</v>
      </c>
    </row>
    <row r="15" spans="1:4" x14ac:dyDescent="0.25">
      <c r="A15" t="s">
        <v>4</v>
      </c>
      <c r="B15" t="s">
        <v>1829</v>
      </c>
      <c r="C15" t="s">
        <v>447</v>
      </c>
      <c r="D15">
        <v>-1</v>
      </c>
    </row>
    <row r="16" spans="1:4" x14ac:dyDescent="0.25">
      <c r="A16" t="s">
        <v>4</v>
      </c>
      <c r="B16" t="s">
        <v>984</v>
      </c>
      <c r="C16" t="s">
        <v>2122</v>
      </c>
      <c r="D16">
        <v>1</v>
      </c>
    </row>
    <row r="17" spans="1:4" x14ac:dyDescent="0.25">
      <c r="A17" t="s">
        <v>4</v>
      </c>
      <c r="B17" t="s">
        <v>471</v>
      </c>
      <c r="C17" t="s">
        <v>449</v>
      </c>
      <c r="D17">
        <v>2</v>
      </c>
    </row>
    <row r="18" spans="1:4" x14ac:dyDescent="0.25">
      <c r="A18" t="s">
        <v>4</v>
      </c>
      <c r="B18" t="s">
        <v>471</v>
      </c>
      <c r="C18" t="s">
        <v>450</v>
      </c>
      <c r="D18">
        <v>3</v>
      </c>
    </row>
    <row r="19" spans="1:4" x14ac:dyDescent="0.25">
      <c r="A19" t="s">
        <v>4</v>
      </c>
      <c r="B19" t="s">
        <v>876</v>
      </c>
      <c r="C19" t="s">
        <v>791</v>
      </c>
      <c r="D19">
        <v>2</v>
      </c>
    </row>
    <row r="20" spans="1:4" x14ac:dyDescent="0.25">
      <c r="A20" t="s">
        <v>4</v>
      </c>
      <c r="B20" t="s">
        <v>876</v>
      </c>
      <c r="C20" t="s">
        <v>792</v>
      </c>
      <c r="D20">
        <v>1</v>
      </c>
    </row>
    <row r="21" spans="1:4" x14ac:dyDescent="0.25">
      <c r="A21" t="s">
        <v>4</v>
      </c>
      <c r="B21" t="s">
        <v>198</v>
      </c>
      <c r="C21" t="s">
        <v>794</v>
      </c>
      <c r="D21">
        <v>-1</v>
      </c>
    </row>
    <row r="22" spans="1:4" x14ac:dyDescent="0.25">
      <c r="A22" t="s">
        <v>4</v>
      </c>
      <c r="B22" t="s">
        <v>2147</v>
      </c>
      <c r="C22" t="s">
        <v>1878</v>
      </c>
      <c r="D22">
        <v>-3</v>
      </c>
    </row>
    <row r="23" spans="1:4" x14ac:dyDescent="0.25">
      <c r="A23" t="s">
        <v>4</v>
      </c>
      <c r="B23" t="s">
        <v>152</v>
      </c>
      <c r="C23" t="s">
        <v>589</v>
      </c>
      <c r="D23">
        <v>-1</v>
      </c>
    </row>
    <row r="24" spans="1:4" x14ac:dyDescent="0.25">
      <c r="A24" t="s">
        <v>4</v>
      </c>
      <c r="B24" t="s">
        <v>1988</v>
      </c>
      <c r="C24" t="s">
        <v>591</v>
      </c>
      <c r="D24">
        <v>1</v>
      </c>
    </row>
    <row r="25" spans="1:4" x14ac:dyDescent="0.25">
      <c r="A25" t="s">
        <v>4</v>
      </c>
      <c r="B25" t="s">
        <v>394</v>
      </c>
      <c r="C25" t="s">
        <v>592</v>
      </c>
      <c r="D25">
        <v>-2</v>
      </c>
    </row>
    <row r="26" spans="1:4" x14ac:dyDescent="0.25">
      <c r="A26" t="s">
        <v>4</v>
      </c>
      <c r="B26" t="s">
        <v>508</v>
      </c>
      <c r="C26" t="s">
        <v>4074</v>
      </c>
      <c r="D26">
        <v>-3</v>
      </c>
    </row>
    <row r="27" spans="1:4" x14ac:dyDescent="0.25">
      <c r="A27" t="s">
        <v>4</v>
      </c>
      <c r="B27" t="s">
        <v>508</v>
      </c>
      <c r="C27" t="s">
        <v>2207</v>
      </c>
      <c r="D27">
        <v>-4</v>
      </c>
    </row>
    <row r="28" spans="1:4" x14ac:dyDescent="0.25">
      <c r="A28" t="s">
        <v>4</v>
      </c>
      <c r="B28" t="s">
        <v>508</v>
      </c>
      <c r="C28" t="s">
        <v>1879</v>
      </c>
      <c r="D28">
        <v>-5</v>
      </c>
    </row>
    <row r="29" spans="1:4" x14ac:dyDescent="0.25">
      <c r="A29" t="s">
        <v>40</v>
      </c>
      <c r="B29" t="s">
        <v>1190</v>
      </c>
      <c r="C29" t="s">
        <v>2208</v>
      </c>
      <c r="D29">
        <v>-7</v>
      </c>
    </row>
    <row r="30" spans="1:4" x14ac:dyDescent="0.25">
      <c r="A30" t="s">
        <v>40</v>
      </c>
      <c r="B30" t="s">
        <v>1573</v>
      </c>
      <c r="C30" t="s">
        <v>2209</v>
      </c>
      <c r="D30">
        <v>-5</v>
      </c>
    </row>
    <row r="31" spans="1:4" x14ac:dyDescent="0.25">
      <c r="A31" t="s">
        <v>40</v>
      </c>
      <c r="B31" t="s">
        <v>643</v>
      </c>
      <c r="C31" t="s">
        <v>2210</v>
      </c>
      <c r="D31">
        <v>-8</v>
      </c>
    </row>
    <row r="32" spans="1:4" x14ac:dyDescent="0.25">
      <c r="A32" t="s">
        <v>40</v>
      </c>
      <c r="B32" t="s">
        <v>836</v>
      </c>
      <c r="C32" t="s">
        <v>603</v>
      </c>
      <c r="D32">
        <v>-6</v>
      </c>
    </row>
    <row r="33" spans="1:4" x14ac:dyDescent="0.25">
      <c r="A33" t="s">
        <v>40</v>
      </c>
      <c r="B33" t="s">
        <v>465</v>
      </c>
      <c r="C33" t="s">
        <v>2212</v>
      </c>
      <c r="D33">
        <v>-8</v>
      </c>
    </row>
    <row r="34" spans="1:4" x14ac:dyDescent="0.25">
      <c r="A34" t="s">
        <v>40</v>
      </c>
      <c r="B34" t="s">
        <v>594</v>
      </c>
      <c r="C34" t="s">
        <v>69</v>
      </c>
      <c r="D34">
        <v>-6</v>
      </c>
    </row>
    <row r="35" spans="1:4" x14ac:dyDescent="0.25">
      <c r="A35" t="s">
        <v>40</v>
      </c>
      <c r="B35" t="s">
        <v>19</v>
      </c>
      <c r="C35" t="s">
        <v>71</v>
      </c>
      <c r="D35">
        <v>-8</v>
      </c>
    </row>
    <row r="36" spans="1:4" x14ac:dyDescent="0.25">
      <c r="A36" t="s">
        <v>40</v>
      </c>
      <c r="B36" t="s">
        <v>370</v>
      </c>
      <c r="C36" t="s">
        <v>73</v>
      </c>
      <c r="D36">
        <v>-6</v>
      </c>
    </row>
    <row r="37" spans="1:4" x14ac:dyDescent="0.25">
      <c r="A37" t="s">
        <v>40</v>
      </c>
      <c r="B37" t="s">
        <v>370</v>
      </c>
      <c r="C37" t="s">
        <v>1719</v>
      </c>
      <c r="D37">
        <v>-5</v>
      </c>
    </row>
    <row r="38" spans="1:4" x14ac:dyDescent="0.25">
      <c r="A38" t="s">
        <v>40</v>
      </c>
      <c r="B38" t="s">
        <v>961</v>
      </c>
      <c r="C38" t="s">
        <v>2215</v>
      </c>
      <c r="D38">
        <v>-7</v>
      </c>
    </row>
    <row r="39" spans="1:4" x14ac:dyDescent="0.25">
      <c r="A39" t="s">
        <v>40</v>
      </c>
      <c r="B39" t="s">
        <v>1819</v>
      </c>
      <c r="C39" t="s">
        <v>236</v>
      </c>
      <c r="D39">
        <v>-4</v>
      </c>
    </row>
    <row r="40" spans="1:4" x14ac:dyDescent="0.25">
      <c r="A40" t="s">
        <v>40</v>
      </c>
      <c r="B40" t="s">
        <v>1108</v>
      </c>
      <c r="C40" t="s">
        <v>615</v>
      </c>
      <c r="D40">
        <v>-7</v>
      </c>
    </row>
    <row r="41" spans="1:4" x14ac:dyDescent="0.25">
      <c r="A41" t="s">
        <v>40</v>
      </c>
      <c r="B41" t="s">
        <v>1016</v>
      </c>
      <c r="C41" t="s">
        <v>1520</v>
      </c>
      <c r="D41">
        <v>-5</v>
      </c>
    </row>
    <row r="42" spans="1:4" x14ac:dyDescent="0.25">
      <c r="A42" t="s">
        <v>40</v>
      </c>
      <c r="B42" t="s">
        <v>1016</v>
      </c>
      <c r="C42" t="s">
        <v>617</v>
      </c>
      <c r="D42">
        <v>-4</v>
      </c>
    </row>
    <row r="43" spans="1:4" x14ac:dyDescent="0.25">
      <c r="A43" t="s">
        <v>40</v>
      </c>
      <c r="B43" t="s">
        <v>1376</v>
      </c>
      <c r="C43" t="s">
        <v>1521</v>
      </c>
      <c r="D43">
        <v>-3</v>
      </c>
    </row>
    <row r="44" spans="1:4" x14ac:dyDescent="0.25">
      <c r="A44" t="s">
        <v>40</v>
      </c>
      <c r="B44" t="s">
        <v>198</v>
      </c>
      <c r="C44" t="s">
        <v>247</v>
      </c>
      <c r="D44">
        <v>-1</v>
      </c>
    </row>
    <row r="45" spans="1:4" x14ac:dyDescent="0.25">
      <c r="A45" t="s">
        <v>40</v>
      </c>
      <c r="B45" t="s">
        <v>582</v>
      </c>
      <c r="C45" t="s">
        <v>248</v>
      </c>
      <c r="D45">
        <v>-2</v>
      </c>
    </row>
    <row r="46" spans="1:4" x14ac:dyDescent="0.25">
      <c r="A46" t="s">
        <v>40</v>
      </c>
      <c r="B46" t="s">
        <v>582</v>
      </c>
      <c r="C46" t="s">
        <v>249</v>
      </c>
      <c r="D46">
        <v>-3</v>
      </c>
    </row>
    <row r="47" spans="1:4" x14ac:dyDescent="0.25">
      <c r="A47" t="s">
        <v>80</v>
      </c>
      <c r="B47" t="s">
        <v>1138</v>
      </c>
      <c r="C47" t="s">
        <v>252</v>
      </c>
      <c r="D47">
        <v>-1</v>
      </c>
    </row>
    <row r="48" spans="1:4" x14ac:dyDescent="0.25">
      <c r="A48" t="s">
        <v>80</v>
      </c>
      <c r="B48" t="s">
        <v>1545</v>
      </c>
      <c r="C48" t="s">
        <v>253</v>
      </c>
      <c r="D48">
        <v>0</v>
      </c>
    </row>
    <row r="49" spans="1:4" x14ac:dyDescent="0.25">
      <c r="A49" t="s">
        <v>80</v>
      </c>
      <c r="B49" t="s">
        <v>1545</v>
      </c>
      <c r="C49" t="s">
        <v>2489</v>
      </c>
      <c r="D49">
        <v>1</v>
      </c>
    </row>
    <row r="50" spans="1:4" x14ac:dyDescent="0.25">
      <c r="A50" t="s">
        <v>80</v>
      </c>
      <c r="B50" t="s">
        <v>1210</v>
      </c>
      <c r="C50" t="s">
        <v>2878</v>
      </c>
      <c r="D50">
        <v>-1</v>
      </c>
    </row>
    <row r="51" spans="1:4" x14ac:dyDescent="0.25">
      <c r="A51" t="s">
        <v>80</v>
      </c>
      <c r="B51" t="s">
        <v>1210</v>
      </c>
      <c r="C51" t="s">
        <v>257</v>
      </c>
      <c r="D51">
        <v>-2</v>
      </c>
    </row>
    <row r="52" spans="1:4" x14ac:dyDescent="0.25">
      <c r="A52" t="s">
        <v>80</v>
      </c>
      <c r="B52" t="s">
        <v>566</v>
      </c>
      <c r="C52" t="s">
        <v>2490</v>
      </c>
      <c r="D52">
        <v>0</v>
      </c>
    </row>
    <row r="53" spans="1:4" x14ac:dyDescent="0.25">
      <c r="A53" t="s">
        <v>80</v>
      </c>
      <c r="B53" t="s">
        <v>566</v>
      </c>
      <c r="C53" t="s">
        <v>375</v>
      </c>
      <c r="D53">
        <v>1</v>
      </c>
    </row>
    <row r="54" spans="1:4" x14ac:dyDescent="0.25">
      <c r="A54" t="s">
        <v>80</v>
      </c>
      <c r="B54" t="s">
        <v>1773</v>
      </c>
      <c r="C54" t="s">
        <v>262</v>
      </c>
      <c r="D54">
        <v>-1</v>
      </c>
    </row>
    <row r="55" spans="1:4" x14ac:dyDescent="0.25">
      <c r="A55" t="s">
        <v>80</v>
      </c>
      <c r="B55" t="s">
        <v>462</v>
      </c>
      <c r="C55" t="s">
        <v>3029</v>
      </c>
      <c r="D55">
        <v>1</v>
      </c>
    </row>
    <row r="56" spans="1:4" x14ac:dyDescent="0.25">
      <c r="A56" t="s">
        <v>80</v>
      </c>
      <c r="B56" t="s">
        <v>596</v>
      </c>
      <c r="C56" t="s">
        <v>1730</v>
      </c>
      <c r="D56">
        <v>-1</v>
      </c>
    </row>
    <row r="57" spans="1:4" x14ac:dyDescent="0.25">
      <c r="A57" t="s">
        <v>80</v>
      </c>
      <c r="B57" t="s">
        <v>1350</v>
      </c>
      <c r="C57" t="s">
        <v>1530</v>
      </c>
      <c r="D57">
        <v>1</v>
      </c>
    </row>
    <row r="58" spans="1:4" x14ac:dyDescent="0.25">
      <c r="A58" t="s">
        <v>80</v>
      </c>
      <c r="B58" t="s">
        <v>729</v>
      </c>
      <c r="C58" t="s">
        <v>3454</v>
      </c>
      <c r="D58">
        <v>-1</v>
      </c>
    </row>
    <row r="59" spans="1:4" x14ac:dyDescent="0.25">
      <c r="A59" t="s">
        <v>80</v>
      </c>
      <c r="B59" t="s">
        <v>607</v>
      </c>
      <c r="C59" t="s">
        <v>2493</v>
      </c>
      <c r="D59">
        <v>1</v>
      </c>
    </row>
    <row r="60" spans="1:4" x14ac:dyDescent="0.25">
      <c r="A60" t="s">
        <v>80</v>
      </c>
      <c r="B60" t="s">
        <v>579</v>
      </c>
      <c r="C60" t="s">
        <v>1532</v>
      </c>
      <c r="D60">
        <v>2</v>
      </c>
    </row>
    <row r="61" spans="1:4" x14ac:dyDescent="0.25">
      <c r="A61" t="s">
        <v>80</v>
      </c>
      <c r="B61" t="s">
        <v>579</v>
      </c>
      <c r="C61" t="s">
        <v>2178</v>
      </c>
      <c r="D61">
        <v>3</v>
      </c>
    </row>
    <row r="62" spans="1:4" x14ac:dyDescent="0.25">
      <c r="A62" t="s">
        <v>80</v>
      </c>
      <c r="B62" t="s">
        <v>1619</v>
      </c>
      <c r="C62" t="s">
        <v>1605</v>
      </c>
      <c r="D62">
        <v>5</v>
      </c>
    </row>
    <row r="63" spans="1:4" x14ac:dyDescent="0.25">
      <c r="A63" t="s">
        <v>80</v>
      </c>
      <c r="B63" t="s">
        <v>710</v>
      </c>
      <c r="C63" t="s">
        <v>1606</v>
      </c>
      <c r="D63">
        <v>7</v>
      </c>
    </row>
    <row r="64" spans="1:4" x14ac:dyDescent="0.25">
      <c r="A64" t="s">
        <v>80</v>
      </c>
      <c r="B64" t="s">
        <v>235</v>
      </c>
      <c r="C64" t="s">
        <v>1955</v>
      </c>
      <c r="D64">
        <v>9</v>
      </c>
    </row>
    <row r="65" spans="1:4" x14ac:dyDescent="0.25">
      <c r="A65" t="s">
        <v>123</v>
      </c>
      <c r="B65" t="s">
        <v>714</v>
      </c>
      <c r="C65" t="s">
        <v>1956</v>
      </c>
      <c r="D65">
        <v>7</v>
      </c>
    </row>
    <row r="66" spans="1:4" x14ac:dyDescent="0.25">
      <c r="A66" t="s">
        <v>123</v>
      </c>
      <c r="B66" t="s">
        <v>2443</v>
      </c>
      <c r="C66" t="s">
        <v>395</v>
      </c>
      <c r="D66">
        <v>5</v>
      </c>
    </row>
    <row r="67" spans="1:4" x14ac:dyDescent="0.25">
      <c r="A67" t="s">
        <v>123</v>
      </c>
      <c r="B67" t="s">
        <v>49</v>
      </c>
      <c r="C67" t="s">
        <v>2552</v>
      </c>
      <c r="D67">
        <v>7</v>
      </c>
    </row>
    <row r="68" spans="1:4" x14ac:dyDescent="0.25">
      <c r="A68" t="s">
        <v>123</v>
      </c>
      <c r="B68" t="s">
        <v>51</v>
      </c>
      <c r="C68" t="s">
        <v>4367</v>
      </c>
      <c r="D68">
        <v>9</v>
      </c>
    </row>
    <row r="69" spans="1:4" x14ac:dyDescent="0.25">
      <c r="A69" t="s">
        <v>123</v>
      </c>
      <c r="B69" t="s">
        <v>1118</v>
      </c>
      <c r="C69" t="s">
        <v>2457</v>
      </c>
      <c r="D69">
        <v>6</v>
      </c>
    </row>
    <row r="70" spans="1:4" x14ac:dyDescent="0.25">
      <c r="A70" t="s">
        <v>123</v>
      </c>
      <c r="B70" t="s">
        <v>277</v>
      </c>
      <c r="C70" t="s">
        <v>2730</v>
      </c>
      <c r="D70">
        <v>8</v>
      </c>
    </row>
    <row r="71" spans="1:4" x14ac:dyDescent="0.25">
      <c r="A71" t="s">
        <v>123</v>
      </c>
      <c r="B71" t="s">
        <v>572</v>
      </c>
      <c r="C71" t="s">
        <v>2185</v>
      </c>
      <c r="D71">
        <v>7</v>
      </c>
    </row>
    <row r="72" spans="1:4" x14ac:dyDescent="0.25">
      <c r="A72" t="s">
        <v>123</v>
      </c>
      <c r="B72" t="s">
        <v>572</v>
      </c>
      <c r="C72" t="s">
        <v>1959</v>
      </c>
      <c r="D72">
        <v>6</v>
      </c>
    </row>
    <row r="73" spans="1:4" x14ac:dyDescent="0.25">
      <c r="A73" t="s">
        <v>123</v>
      </c>
      <c r="B73" t="s">
        <v>802</v>
      </c>
      <c r="C73" t="s">
        <v>2554</v>
      </c>
      <c r="D73">
        <v>5</v>
      </c>
    </row>
    <row r="74" spans="1:4" x14ac:dyDescent="0.25">
      <c r="A74" t="s">
        <v>123</v>
      </c>
      <c r="B74" t="s">
        <v>802</v>
      </c>
      <c r="C74" t="s">
        <v>2555</v>
      </c>
      <c r="D74">
        <v>4</v>
      </c>
    </row>
    <row r="75" spans="1:4" x14ac:dyDescent="0.25">
      <c r="A75" t="s">
        <v>123</v>
      </c>
      <c r="B75" t="s">
        <v>366</v>
      </c>
      <c r="C75" t="s">
        <v>1615</v>
      </c>
      <c r="D75">
        <v>6</v>
      </c>
    </row>
    <row r="76" spans="1:4" x14ac:dyDescent="0.25">
      <c r="A76" t="s">
        <v>123</v>
      </c>
      <c r="B76" t="s">
        <v>726</v>
      </c>
      <c r="C76" t="s">
        <v>2606</v>
      </c>
      <c r="D76">
        <v>4</v>
      </c>
    </row>
    <row r="77" spans="1:4" x14ac:dyDescent="0.25">
      <c r="A77" t="s">
        <v>123</v>
      </c>
      <c r="B77" t="s">
        <v>1090</v>
      </c>
      <c r="C77" t="s">
        <v>2707</v>
      </c>
      <c r="D77">
        <v>3</v>
      </c>
    </row>
    <row r="78" spans="1:4" x14ac:dyDescent="0.25">
      <c r="A78" t="s">
        <v>123</v>
      </c>
      <c r="B78" t="s">
        <v>1090</v>
      </c>
      <c r="C78" t="s">
        <v>2458</v>
      </c>
      <c r="D78">
        <v>2</v>
      </c>
    </row>
    <row r="79" spans="1:4" x14ac:dyDescent="0.25">
      <c r="A79" t="s">
        <v>123</v>
      </c>
      <c r="B79" t="s">
        <v>519</v>
      </c>
      <c r="C79" t="s">
        <v>1961</v>
      </c>
      <c r="D79">
        <v>4</v>
      </c>
    </row>
    <row r="80" spans="1:4" x14ac:dyDescent="0.25">
      <c r="A80" t="s">
        <v>123</v>
      </c>
      <c r="B80" t="s">
        <v>285</v>
      </c>
      <c r="C80" t="s">
        <v>768</v>
      </c>
      <c r="D80">
        <v>6</v>
      </c>
    </row>
    <row r="81" spans="1:4" x14ac:dyDescent="0.25">
      <c r="A81" t="s">
        <v>123</v>
      </c>
      <c r="B81" t="s">
        <v>417</v>
      </c>
      <c r="C81" t="s">
        <v>418</v>
      </c>
      <c r="D81">
        <v>8</v>
      </c>
    </row>
    <row r="82" spans="1:4" x14ac:dyDescent="0.25">
      <c r="A82" t="s">
        <v>123</v>
      </c>
      <c r="B82" t="s">
        <v>417</v>
      </c>
      <c r="C82" t="s">
        <v>4075</v>
      </c>
      <c r="D82">
        <v>9</v>
      </c>
    </row>
    <row r="83" spans="1:4" x14ac:dyDescent="0.25">
      <c r="A83" t="s">
        <v>123</v>
      </c>
      <c r="B83" t="s">
        <v>392</v>
      </c>
      <c r="C83" t="s">
        <v>1184</v>
      </c>
      <c r="D83">
        <v>7</v>
      </c>
    </row>
    <row r="84" spans="1:4" x14ac:dyDescent="0.25">
      <c r="A84" t="s">
        <v>123</v>
      </c>
      <c r="B84" t="s">
        <v>392</v>
      </c>
      <c r="C84" t="s">
        <v>1621</v>
      </c>
      <c r="D84">
        <v>6</v>
      </c>
    </row>
    <row r="85" spans="1:4" x14ac:dyDescent="0.25">
      <c r="A85" t="s">
        <v>123</v>
      </c>
      <c r="B85" t="s">
        <v>972</v>
      </c>
      <c r="C85" t="s">
        <v>421</v>
      </c>
      <c r="D85">
        <v>8</v>
      </c>
    </row>
    <row r="86" spans="1:4" x14ac:dyDescent="0.25">
      <c r="A86" t="s">
        <v>123</v>
      </c>
      <c r="B86" t="s">
        <v>537</v>
      </c>
      <c r="C86" t="s">
        <v>773</v>
      </c>
      <c r="D86">
        <v>5</v>
      </c>
    </row>
    <row r="87" spans="1:4" x14ac:dyDescent="0.25">
      <c r="A87" t="s">
        <v>123</v>
      </c>
      <c r="B87" t="s">
        <v>584</v>
      </c>
      <c r="C87" t="s">
        <v>774</v>
      </c>
      <c r="D87">
        <v>6</v>
      </c>
    </row>
    <row r="89" spans="1:4" x14ac:dyDescent="0.25">
      <c r="A89" s="2" t="s">
        <v>157</v>
      </c>
    </row>
    <row r="90" spans="1:4" x14ac:dyDescent="0.25">
      <c r="A90" t="s">
        <v>158</v>
      </c>
      <c r="D90">
        <f>AVERAGE(D2:D87)</f>
        <v>0.11627906976744186</v>
      </c>
    </row>
    <row r="91" spans="1:4" x14ac:dyDescent="0.25">
      <c r="A91" t="s">
        <v>159</v>
      </c>
      <c r="D91">
        <f>MAX(D2:D87)</f>
        <v>9</v>
      </c>
    </row>
    <row r="92" spans="1:4" x14ac:dyDescent="0.25">
      <c r="A92" t="s">
        <v>160</v>
      </c>
      <c r="D92">
        <f>MIN(D2:D87)</f>
        <v>-8</v>
      </c>
    </row>
    <row r="93" spans="1:4" x14ac:dyDescent="0.25">
      <c r="A93" t="s">
        <v>161</v>
      </c>
      <c r="D93">
        <f>COUNTIF(D2:D87,"&gt;0")</f>
        <v>40</v>
      </c>
    </row>
    <row r="94" spans="1:4" x14ac:dyDescent="0.25">
      <c r="A94" t="s">
        <v>162</v>
      </c>
      <c r="D94">
        <f>COUNTIF(D2:D87,"=0")</f>
        <v>3</v>
      </c>
    </row>
    <row r="95" spans="1:4" x14ac:dyDescent="0.25">
      <c r="A95" t="s">
        <v>687</v>
      </c>
      <c r="D95">
        <f>COUNTIF(D2:D87,"&lt;0")</f>
        <v>43</v>
      </c>
    </row>
    <row r="97" spans="1:4" x14ac:dyDescent="0.25">
      <c r="A97" s="2" t="s">
        <v>164</v>
      </c>
    </row>
    <row r="98" spans="1:4" x14ac:dyDescent="0.25">
      <c r="A98" t="s">
        <v>165</v>
      </c>
      <c r="D98">
        <f>AVERAGE(D2,D3,D4,D5,D6,D7,D8,D9,D10,D11,D12,D13,D14,D15,D16,D17,D18,D19,D20,D21,D22,D23,D24,D25,D26,D27,D28)</f>
        <v>-2.1111111111111112</v>
      </c>
    </row>
    <row r="99" spans="1:4" x14ac:dyDescent="0.25">
      <c r="A99" t="s">
        <v>166</v>
      </c>
      <c r="D99">
        <f>AVERAGE(D29,D30,D31,D32,D33,D34,D35,D36,D37,D38,D39,D40,D41,D42,D43,D44,D45,D46)</f>
        <v>-5.2777777777777777</v>
      </c>
    </row>
    <row r="100" spans="1:4" x14ac:dyDescent="0.25">
      <c r="A100" t="s">
        <v>167</v>
      </c>
      <c r="D100">
        <f>AVERAGE(D47,D48,D49,D50,D51,D52,D53,D54,D55,D56,D57,D58,D59,D60,D61,D62,D63,D64)</f>
        <v>1.3333333333333333</v>
      </c>
    </row>
    <row r="101" spans="1:4" x14ac:dyDescent="0.25">
      <c r="A101" t="s">
        <v>168</v>
      </c>
      <c r="D101">
        <f>AVERAGE(D65,D66,D67,D68,D69,D70,D71,D72,D73,D74,D75,D76,D77,D78,D79,D80,D81,D82,D83,D84,D85,D86,D87)</f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D8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4369</v>
      </c>
    </row>
    <row r="2" spans="1:4" x14ac:dyDescent="0.25">
      <c r="A2" t="s">
        <v>4</v>
      </c>
      <c r="B2" t="s">
        <v>7</v>
      </c>
      <c r="C2" t="s">
        <v>6</v>
      </c>
      <c r="D2">
        <v>2</v>
      </c>
    </row>
    <row r="3" spans="1:4" x14ac:dyDescent="0.25">
      <c r="A3" t="s">
        <v>4</v>
      </c>
      <c r="B3" t="s">
        <v>47</v>
      </c>
      <c r="C3" t="s">
        <v>1572</v>
      </c>
      <c r="D3">
        <v>5</v>
      </c>
    </row>
    <row r="4" spans="1:4" x14ac:dyDescent="0.25">
      <c r="A4" t="s">
        <v>4</v>
      </c>
      <c r="B4" t="s">
        <v>51</v>
      </c>
      <c r="C4" t="s">
        <v>1347</v>
      </c>
      <c r="D4">
        <v>3</v>
      </c>
    </row>
    <row r="5" spans="1:4" x14ac:dyDescent="0.25">
      <c r="A5" t="s">
        <v>4</v>
      </c>
      <c r="B5" t="s">
        <v>621</v>
      </c>
      <c r="C5" t="s">
        <v>1106</v>
      </c>
      <c r="D5">
        <v>1</v>
      </c>
    </row>
    <row r="6" spans="1:4" x14ac:dyDescent="0.25">
      <c r="A6" t="s">
        <v>4</v>
      </c>
      <c r="B6" t="s">
        <v>1742</v>
      </c>
      <c r="C6" t="s">
        <v>913</v>
      </c>
      <c r="D6">
        <v>-2</v>
      </c>
    </row>
    <row r="7" spans="1:4" x14ac:dyDescent="0.25">
      <c r="A7" t="s">
        <v>4</v>
      </c>
      <c r="B7" t="s">
        <v>179</v>
      </c>
      <c r="C7" t="s">
        <v>696</v>
      </c>
      <c r="D7">
        <v>1</v>
      </c>
    </row>
    <row r="8" spans="1:4" x14ac:dyDescent="0.25">
      <c r="A8" t="s">
        <v>4</v>
      </c>
      <c r="B8" t="s">
        <v>19</v>
      </c>
      <c r="C8" t="s">
        <v>1352</v>
      </c>
      <c r="D8">
        <v>4</v>
      </c>
    </row>
    <row r="9" spans="1:4" x14ac:dyDescent="0.25">
      <c r="A9" t="s">
        <v>4</v>
      </c>
      <c r="B9" t="s">
        <v>1090</v>
      </c>
      <c r="C9" t="s">
        <v>1196</v>
      </c>
      <c r="D9">
        <v>7</v>
      </c>
    </row>
    <row r="10" spans="1:4" x14ac:dyDescent="0.25">
      <c r="A10" t="s">
        <v>4</v>
      </c>
      <c r="B10" t="s">
        <v>764</v>
      </c>
      <c r="C10" t="s">
        <v>1197</v>
      </c>
      <c r="D10">
        <v>9</v>
      </c>
    </row>
    <row r="11" spans="1:4" x14ac:dyDescent="0.25">
      <c r="A11" t="s">
        <v>4</v>
      </c>
      <c r="B11" t="s">
        <v>577</v>
      </c>
      <c r="C11" t="s">
        <v>3195</v>
      </c>
      <c r="D11">
        <v>7</v>
      </c>
    </row>
    <row r="12" spans="1:4" x14ac:dyDescent="0.25">
      <c r="A12" t="s">
        <v>4</v>
      </c>
      <c r="B12" t="s">
        <v>702</v>
      </c>
      <c r="C12" t="s">
        <v>1275</v>
      </c>
      <c r="D12">
        <v>10</v>
      </c>
    </row>
    <row r="13" spans="1:4" x14ac:dyDescent="0.25">
      <c r="A13" t="s">
        <v>4</v>
      </c>
      <c r="B13" t="s">
        <v>704</v>
      </c>
      <c r="C13" t="s">
        <v>324</v>
      </c>
      <c r="D13">
        <v>7</v>
      </c>
    </row>
    <row r="14" spans="1:4" x14ac:dyDescent="0.25">
      <c r="A14" t="s">
        <v>4</v>
      </c>
      <c r="B14" t="s">
        <v>1739</v>
      </c>
      <c r="C14" t="s">
        <v>327</v>
      </c>
      <c r="D14">
        <v>9</v>
      </c>
    </row>
    <row r="15" spans="1:4" x14ac:dyDescent="0.25">
      <c r="A15" t="s">
        <v>4</v>
      </c>
      <c r="B15" t="s">
        <v>1739</v>
      </c>
      <c r="C15" t="s">
        <v>1020</v>
      </c>
      <c r="D15">
        <v>10</v>
      </c>
    </row>
    <row r="16" spans="1:4" x14ac:dyDescent="0.25">
      <c r="A16" t="s">
        <v>4</v>
      </c>
      <c r="B16" t="s">
        <v>267</v>
      </c>
      <c r="C16" t="s">
        <v>3730</v>
      </c>
      <c r="D16">
        <v>13</v>
      </c>
    </row>
    <row r="17" spans="1:4" x14ac:dyDescent="0.25">
      <c r="A17" t="s">
        <v>4</v>
      </c>
      <c r="B17" t="s">
        <v>788</v>
      </c>
      <c r="C17" t="s">
        <v>2520</v>
      </c>
      <c r="D17">
        <v>12</v>
      </c>
    </row>
    <row r="18" spans="1:4" x14ac:dyDescent="0.25">
      <c r="A18" t="s">
        <v>4</v>
      </c>
      <c r="B18" t="s">
        <v>788</v>
      </c>
      <c r="C18" t="s">
        <v>1361</v>
      </c>
      <c r="D18">
        <v>11</v>
      </c>
    </row>
    <row r="19" spans="1:4" x14ac:dyDescent="0.25">
      <c r="A19" t="s">
        <v>4</v>
      </c>
      <c r="B19" t="s">
        <v>448</v>
      </c>
      <c r="C19" t="s">
        <v>1362</v>
      </c>
      <c r="D19">
        <v>12</v>
      </c>
    </row>
    <row r="20" spans="1:4" x14ac:dyDescent="0.25">
      <c r="A20" t="s">
        <v>4</v>
      </c>
      <c r="B20" t="s">
        <v>448</v>
      </c>
      <c r="C20" t="s">
        <v>3227</v>
      </c>
      <c r="D20">
        <v>13</v>
      </c>
    </row>
    <row r="21" spans="1:4" x14ac:dyDescent="0.25">
      <c r="A21" t="s">
        <v>4</v>
      </c>
      <c r="B21" t="s">
        <v>732</v>
      </c>
      <c r="C21" t="s">
        <v>2049</v>
      </c>
      <c r="D21">
        <v>12</v>
      </c>
    </row>
    <row r="22" spans="1:4" x14ac:dyDescent="0.25">
      <c r="A22" t="s">
        <v>4</v>
      </c>
      <c r="B22" t="s">
        <v>483</v>
      </c>
      <c r="C22" t="s">
        <v>3052</v>
      </c>
      <c r="D22">
        <v>14</v>
      </c>
    </row>
    <row r="23" spans="1:4" x14ac:dyDescent="0.25">
      <c r="A23" t="s">
        <v>4</v>
      </c>
      <c r="B23" t="s">
        <v>1627</v>
      </c>
      <c r="C23" t="s">
        <v>2900</v>
      </c>
      <c r="D23">
        <v>16</v>
      </c>
    </row>
    <row r="24" spans="1:4" x14ac:dyDescent="0.25">
      <c r="A24" t="s">
        <v>4</v>
      </c>
      <c r="B24" t="s">
        <v>235</v>
      </c>
      <c r="C24" t="s">
        <v>3004</v>
      </c>
      <c r="D24">
        <v>14</v>
      </c>
    </row>
    <row r="25" spans="1:4" x14ac:dyDescent="0.25">
      <c r="A25" t="s">
        <v>4</v>
      </c>
      <c r="B25" t="s">
        <v>817</v>
      </c>
      <c r="C25" t="s">
        <v>2524</v>
      </c>
      <c r="D25">
        <v>11</v>
      </c>
    </row>
    <row r="26" spans="1:4" x14ac:dyDescent="0.25">
      <c r="A26" t="s">
        <v>40</v>
      </c>
      <c r="B26" t="s">
        <v>2570</v>
      </c>
      <c r="C26" t="s">
        <v>2159</v>
      </c>
      <c r="D26">
        <v>8</v>
      </c>
    </row>
    <row r="27" spans="1:4" x14ac:dyDescent="0.25">
      <c r="A27" t="s">
        <v>40</v>
      </c>
      <c r="B27" t="s">
        <v>1849</v>
      </c>
      <c r="C27" t="s">
        <v>3122</v>
      </c>
      <c r="D27">
        <v>10</v>
      </c>
    </row>
    <row r="28" spans="1:4" x14ac:dyDescent="0.25">
      <c r="A28" t="s">
        <v>40</v>
      </c>
      <c r="B28" t="s">
        <v>87</v>
      </c>
      <c r="C28" t="s">
        <v>2527</v>
      </c>
      <c r="D28">
        <v>7</v>
      </c>
    </row>
    <row r="29" spans="1:4" x14ac:dyDescent="0.25">
      <c r="A29" t="s">
        <v>40</v>
      </c>
      <c r="B29" t="s">
        <v>870</v>
      </c>
      <c r="C29" t="s">
        <v>2563</v>
      </c>
      <c r="D29">
        <v>5</v>
      </c>
    </row>
    <row r="30" spans="1:4" x14ac:dyDescent="0.25">
      <c r="A30" t="s">
        <v>40</v>
      </c>
      <c r="B30" t="s">
        <v>1228</v>
      </c>
      <c r="C30" t="s">
        <v>347</v>
      </c>
      <c r="D30">
        <v>2</v>
      </c>
    </row>
    <row r="31" spans="1:4" x14ac:dyDescent="0.25">
      <c r="A31" t="s">
        <v>40</v>
      </c>
      <c r="B31" t="s">
        <v>188</v>
      </c>
      <c r="C31" t="s">
        <v>727</v>
      </c>
      <c r="D31">
        <v>4</v>
      </c>
    </row>
    <row r="32" spans="1:4" x14ac:dyDescent="0.25">
      <c r="A32" t="s">
        <v>40</v>
      </c>
      <c r="B32" t="s">
        <v>110</v>
      </c>
      <c r="C32" t="s">
        <v>939</v>
      </c>
      <c r="D32">
        <v>5</v>
      </c>
    </row>
    <row r="33" spans="1:4" x14ac:dyDescent="0.25">
      <c r="A33" t="s">
        <v>40</v>
      </c>
      <c r="B33" t="s">
        <v>110</v>
      </c>
      <c r="C33" t="s">
        <v>940</v>
      </c>
      <c r="D33">
        <v>6</v>
      </c>
    </row>
    <row r="34" spans="1:4" x14ac:dyDescent="0.25">
      <c r="A34" t="s">
        <v>40</v>
      </c>
      <c r="B34" t="s">
        <v>417</v>
      </c>
      <c r="C34" t="s">
        <v>1667</v>
      </c>
      <c r="D34">
        <v>3</v>
      </c>
    </row>
    <row r="35" spans="1:4" x14ac:dyDescent="0.25">
      <c r="A35" t="s">
        <v>40</v>
      </c>
      <c r="B35" t="s">
        <v>120</v>
      </c>
      <c r="C35" t="s">
        <v>1669</v>
      </c>
      <c r="D35">
        <v>6</v>
      </c>
    </row>
    <row r="36" spans="1:4" x14ac:dyDescent="0.25">
      <c r="A36" t="s">
        <v>40</v>
      </c>
      <c r="B36" t="s">
        <v>880</v>
      </c>
      <c r="C36" t="s">
        <v>1591</v>
      </c>
      <c r="D36">
        <v>5</v>
      </c>
    </row>
    <row r="37" spans="1:4" x14ac:dyDescent="0.25">
      <c r="A37" t="s">
        <v>40</v>
      </c>
      <c r="B37" t="s">
        <v>880</v>
      </c>
      <c r="C37" t="s">
        <v>2269</v>
      </c>
      <c r="D37">
        <v>4</v>
      </c>
    </row>
    <row r="38" spans="1:4" x14ac:dyDescent="0.25">
      <c r="A38" t="s">
        <v>40</v>
      </c>
      <c r="B38" t="s">
        <v>1733</v>
      </c>
      <c r="C38" t="s">
        <v>1760</v>
      </c>
      <c r="D38">
        <v>1</v>
      </c>
    </row>
    <row r="39" spans="1:4" x14ac:dyDescent="0.25">
      <c r="A39" t="s">
        <v>40</v>
      </c>
      <c r="B39" t="s">
        <v>772</v>
      </c>
      <c r="C39" t="s">
        <v>2306</v>
      </c>
      <c r="D39">
        <v>4</v>
      </c>
    </row>
    <row r="40" spans="1:4" x14ac:dyDescent="0.25">
      <c r="A40" t="s">
        <v>80</v>
      </c>
      <c r="B40" t="s">
        <v>130</v>
      </c>
      <c r="C40" t="s">
        <v>2307</v>
      </c>
      <c r="D40">
        <v>2</v>
      </c>
    </row>
    <row r="41" spans="1:4" x14ac:dyDescent="0.25">
      <c r="A41" t="s">
        <v>80</v>
      </c>
      <c r="B41" t="s">
        <v>859</v>
      </c>
      <c r="C41" t="s">
        <v>2609</v>
      </c>
      <c r="D41">
        <v>5</v>
      </c>
    </row>
    <row r="42" spans="1:4" x14ac:dyDescent="0.25">
      <c r="A42" t="s">
        <v>80</v>
      </c>
      <c r="B42" t="s">
        <v>588</v>
      </c>
      <c r="C42" t="s">
        <v>2488</v>
      </c>
      <c r="D42">
        <v>3</v>
      </c>
    </row>
    <row r="43" spans="1:4" x14ac:dyDescent="0.25">
      <c r="A43" t="s">
        <v>80</v>
      </c>
      <c r="B43" t="s">
        <v>590</v>
      </c>
      <c r="C43" t="s">
        <v>2171</v>
      </c>
      <c r="D43">
        <v>6</v>
      </c>
    </row>
    <row r="44" spans="1:4" x14ac:dyDescent="0.25">
      <c r="A44" t="s">
        <v>80</v>
      </c>
      <c r="B44" t="s">
        <v>254</v>
      </c>
      <c r="C44" t="s">
        <v>2599</v>
      </c>
      <c r="D44">
        <v>8</v>
      </c>
    </row>
    <row r="45" spans="1:4" x14ac:dyDescent="0.25">
      <c r="A45" t="s">
        <v>80</v>
      </c>
      <c r="B45" t="s">
        <v>651</v>
      </c>
      <c r="C45" t="s">
        <v>4142</v>
      </c>
      <c r="D45">
        <v>11</v>
      </c>
    </row>
    <row r="46" spans="1:4" x14ac:dyDescent="0.25">
      <c r="A46" t="s">
        <v>80</v>
      </c>
      <c r="B46" t="s">
        <v>726</v>
      </c>
      <c r="C46" t="s">
        <v>1154</v>
      </c>
      <c r="D46">
        <v>9</v>
      </c>
    </row>
    <row r="47" spans="1:4" x14ac:dyDescent="0.25">
      <c r="A47" t="s">
        <v>80</v>
      </c>
      <c r="B47" t="s">
        <v>941</v>
      </c>
      <c r="C47" t="s">
        <v>1952</v>
      </c>
      <c r="D47">
        <v>11</v>
      </c>
    </row>
    <row r="48" spans="1:4" x14ac:dyDescent="0.25">
      <c r="A48" t="s">
        <v>80</v>
      </c>
      <c r="B48" t="s">
        <v>600</v>
      </c>
      <c r="C48" t="s">
        <v>2550</v>
      </c>
      <c r="D48">
        <v>8</v>
      </c>
    </row>
    <row r="49" spans="1:4" x14ac:dyDescent="0.25">
      <c r="A49" t="s">
        <v>80</v>
      </c>
      <c r="B49" t="s">
        <v>876</v>
      </c>
      <c r="C49" t="s">
        <v>1837</v>
      </c>
      <c r="D49">
        <v>6</v>
      </c>
    </row>
    <row r="50" spans="1:4" x14ac:dyDescent="0.25">
      <c r="A50" t="s">
        <v>80</v>
      </c>
      <c r="B50" t="s">
        <v>414</v>
      </c>
      <c r="C50" t="s">
        <v>1160</v>
      </c>
      <c r="D50">
        <v>9</v>
      </c>
    </row>
    <row r="51" spans="1:4" x14ac:dyDescent="0.25">
      <c r="A51" t="s">
        <v>80</v>
      </c>
      <c r="B51" t="s">
        <v>27</v>
      </c>
      <c r="C51" t="s">
        <v>3982</v>
      </c>
      <c r="D51">
        <v>6</v>
      </c>
    </row>
    <row r="52" spans="1:4" x14ac:dyDescent="0.25">
      <c r="A52" t="s">
        <v>80</v>
      </c>
      <c r="B52" t="s">
        <v>611</v>
      </c>
      <c r="C52" t="s">
        <v>2340</v>
      </c>
      <c r="D52">
        <v>4</v>
      </c>
    </row>
    <row r="53" spans="1:4" x14ac:dyDescent="0.25">
      <c r="A53" t="s">
        <v>80</v>
      </c>
      <c r="B53" t="s">
        <v>581</v>
      </c>
      <c r="C53" t="s">
        <v>501</v>
      </c>
      <c r="D53">
        <v>6</v>
      </c>
    </row>
    <row r="54" spans="1:4" x14ac:dyDescent="0.25">
      <c r="A54" t="s">
        <v>80</v>
      </c>
      <c r="B54" t="s">
        <v>1627</v>
      </c>
      <c r="C54" t="s">
        <v>502</v>
      </c>
      <c r="D54">
        <v>4</v>
      </c>
    </row>
    <row r="55" spans="1:4" x14ac:dyDescent="0.25">
      <c r="A55" t="s">
        <v>123</v>
      </c>
      <c r="B55" t="s">
        <v>1680</v>
      </c>
      <c r="C55" t="s">
        <v>1168</v>
      </c>
      <c r="D55">
        <v>7</v>
      </c>
    </row>
    <row r="56" spans="1:4" x14ac:dyDescent="0.25">
      <c r="A56" t="s">
        <v>123</v>
      </c>
      <c r="B56" t="s">
        <v>1849</v>
      </c>
      <c r="C56" t="s">
        <v>1468</v>
      </c>
      <c r="D56">
        <v>9</v>
      </c>
    </row>
    <row r="57" spans="1:4" x14ac:dyDescent="0.25">
      <c r="A57" t="s">
        <v>123</v>
      </c>
      <c r="B57" t="s">
        <v>2405</v>
      </c>
      <c r="C57" t="s">
        <v>1469</v>
      </c>
      <c r="D57">
        <v>11</v>
      </c>
    </row>
    <row r="58" spans="1:4" x14ac:dyDescent="0.25">
      <c r="A58" t="s">
        <v>123</v>
      </c>
      <c r="B58" t="s">
        <v>132</v>
      </c>
      <c r="C58" t="s">
        <v>4282</v>
      </c>
      <c r="D58">
        <v>12</v>
      </c>
    </row>
    <row r="59" spans="1:4" x14ac:dyDescent="0.25">
      <c r="A59" t="s">
        <v>123</v>
      </c>
      <c r="B59" t="s">
        <v>1723</v>
      </c>
      <c r="C59" t="s">
        <v>1470</v>
      </c>
      <c r="D59">
        <v>14</v>
      </c>
    </row>
    <row r="60" spans="1:4" x14ac:dyDescent="0.25">
      <c r="A60" t="s">
        <v>123</v>
      </c>
      <c r="B60" t="s">
        <v>2032</v>
      </c>
      <c r="C60" t="s">
        <v>2886</v>
      </c>
      <c r="D60">
        <v>16</v>
      </c>
    </row>
    <row r="61" spans="1:4" x14ac:dyDescent="0.25">
      <c r="A61" t="s">
        <v>123</v>
      </c>
      <c r="B61" t="s">
        <v>941</v>
      </c>
      <c r="C61" t="s">
        <v>3185</v>
      </c>
      <c r="D61">
        <v>15</v>
      </c>
    </row>
    <row r="62" spans="1:4" x14ac:dyDescent="0.25">
      <c r="A62" t="s">
        <v>123</v>
      </c>
      <c r="B62" t="s">
        <v>943</v>
      </c>
      <c r="C62" t="s">
        <v>1473</v>
      </c>
      <c r="D62">
        <v>13</v>
      </c>
    </row>
    <row r="63" spans="1:4" x14ac:dyDescent="0.25">
      <c r="A63" t="s">
        <v>123</v>
      </c>
      <c r="B63" t="s">
        <v>1503</v>
      </c>
      <c r="C63" t="s">
        <v>1474</v>
      </c>
      <c r="D63">
        <v>15</v>
      </c>
    </row>
    <row r="64" spans="1:4" x14ac:dyDescent="0.25">
      <c r="A64" t="s">
        <v>123</v>
      </c>
      <c r="B64" t="s">
        <v>2120</v>
      </c>
      <c r="C64" t="s">
        <v>2189</v>
      </c>
      <c r="D64">
        <v>13</v>
      </c>
    </row>
    <row r="65" spans="1:4" x14ac:dyDescent="0.25">
      <c r="A65" t="s">
        <v>123</v>
      </c>
      <c r="B65" t="s">
        <v>1073</v>
      </c>
      <c r="C65" t="s">
        <v>1478</v>
      </c>
      <c r="D65">
        <v>15</v>
      </c>
    </row>
    <row r="66" spans="1:4" x14ac:dyDescent="0.25">
      <c r="A66" t="s">
        <v>123</v>
      </c>
      <c r="B66" t="s">
        <v>896</v>
      </c>
      <c r="C66" t="s">
        <v>2946</v>
      </c>
      <c r="D66">
        <v>14</v>
      </c>
    </row>
    <row r="67" spans="1:4" x14ac:dyDescent="0.25">
      <c r="A67" t="s">
        <v>123</v>
      </c>
      <c r="B67" t="s">
        <v>2390</v>
      </c>
      <c r="C67" t="s">
        <v>4413</v>
      </c>
      <c r="D67">
        <v>11</v>
      </c>
    </row>
    <row r="68" spans="1:4" x14ac:dyDescent="0.25">
      <c r="A68" t="s">
        <v>123</v>
      </c>
      <c r="B68" t="s">
        <v>152</v>
      </c>
      <c r="C68" t="s">
        <v>2997</v>
      </c>
      <c r="D68">
        <v>12</v>
      </c>
    </row>
    <row r="70" spans="1:4" x14ac:dyDescent="0.25">
      <c r="A70" s="2" t="s">
        <v>157</v>
      </c>
    </row>
    <row r="71" spans="1:4" x14ac:dyDescent="0.25">
      <c r="A71" t="s">
        <v>158</v>
      </c>
      <c r="D71">
        <f>AVERAGE(D2:D68)</f>
        <v>8.1492537313432845</v>
      </c>
    </row>
    <row r="72" spans="1:4" x14ac:dyDescent="0.25">
      <c r="A72" t="s">
        <v>159</v>
      </c>
      <c r="D72">
        <f>MAX(D2:D68)</f>
        <v>16</v>
      </c>
    </row>
    <row r="73" spans="1:4" x14ac:dyDescent="0.25">
      <c r="A73" t="s">
        <v>160</v>
      </c>
      <c r="D73">
        <f>MIN(D2:D68)</f>
        <v>-2</v>
      </c>
    </row>
    <row r="74" spans="1:4" x14ac:dyDescent="0.25">
      <c r="A74" t="s">
        <v>161</v>
      </c>
      <c r="D74">
        <f>COUNTIF(D2:D68,"&gt;0")</f>
        <v>66</v>
      </c>
    </row>
    <row r="75" spans="1:4" x14ac:dyDescent="0.25">
      <c r="A75" t="s">
        <v>162</v>
      </c>
      <c r="D75">
        <f>COUNTIF(D2:D68,"=0")</f>
        <v>0</v>
      </c>
    </row>
    <row r="76" spans="1:4" x14ac:dyDescent="0.25">
      <c r="A76" t="s">
        <v>4373</v>
      </c>
      <c r="D76">
        <f>COUNTIF(D2:D68,"&lt;0")</f>
        <v>1</v>
      </c>
    </row>
    <row r="78" spans="1:4" x14ac:dyDescent="0.25">
      <c r="A78" s="2" t="s">
        <v>164</v>
      </c>
    </row>
    <row r="79" spans="1:4" x14ac:dyDescent="0.25">
      <c r="A79" t="s">
        <v>165</v>
      </c>
      <c r="D79">
        <f>AVERAGE(D2,D3,D4,D5,D6,D7,D8,D9,D10,D11,D12,D13,D14,D15,D16,D17,D18,D19,D20,D21,D22,D23,D24,D25)</f>
        <v>8.375</v>
      </c>
    </row>
    <row r="80" spans="1:4" x14ac:dyDescent="0.25">
      <c r="A80" t="s">
        <v>166</v>
      </c>
      <c r="D80">
        <f>AVERAGE(D26,D27,D28,D29,D30,D31,D32,D33,D34,D35,D36,D37,D38,D39)</f>
        <v>5</v>
      </c>
    </row>
    <row r="81" spans="1:4" x14ac:dyDescent="0.25">
      <c r="A81" t="s">
        <v>167</v>
      </c>
      <c r="D81">
        <f>AVERAGE(D40,D41,D42,D43,D44,D45,D46,D47,D48,D49,D50,D51,D52,D53,D54)</f>
        <v>6.5333333333333332</v>
      </c>
    </row>
    <row r="82" spans="1:4" x14ac:dyDescent="0.25">
      <c r="A82" t="s">
        <v>168</v>
      </c>
      <c r="D82">
        <f>AVERAGE(D55,D56,D57,D58,D59,D60,D61,D62,D63,D64,D65,D66,D67,D68)</f>
        <v>12.642857142857142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D11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1690</v>
      </c>
    </row>
    <row r="2" spans="1:4" x14ac:dyDescent="0.25">
      <c r="A2" t="s">
        <v>4</v>
      </c>
      <c r="B2" t="s">
        <v>41</v>
      </c>
      <c r="C2" t="s">
        <v>1923</v>
      </c>
      <c r="D2">
        <v>1</v>
      </c>
    </row>
    <row r="3" spans="1:4" x14ac:dyDescent="0.25">
      <c r="A3" t="s">
        <v>4</v>
      </c>
      <c r="B3" t="s">
        <v>41</v>
      </c>
      <c r="C3" t="s">
        <v>6</v>
      </c>
      <c r="D3">
        <v>2</v>
      </c>
    </row>
    <row r="4" spans="1:4" x14ac:dyDescent="0.25">
      <c r="A4" t="s">
        <v>4</v>
      </c>
      <c r="B4" t="s">
        <v>352</v>
      </c>
      <c r="C4" t="s">
        <v>2353</v>
      </c>
      <c r="D4">
        <v>4</v>
      </c>
    </row>
    <row r="5" spans="1:4" x14ac:dyDescent="0.25">
      <c r="A5" t="s">
        <v>4</v>
      </c>
      <c r="B5" t="s">
        <v>716</v>
      </c>
      <c r="C5" t="s">
        <v>308</v>
      </c>
      <c r="D5">
        <v>1</v>
      </c>
    </row>
    <row r="6" spans="1:4" x14ac:dyDescent="0.25">
      <c r="A6" t="s">
        <v>4</v>
      </c>
      <c r="B6" t="s">
        <v>1765</v>
      </c>
      <c r="C6" t="s">
        <v>692</v>
      </c>
      <c r="D6">
        <v>3</v>
      </c>
    </row>
    <row r="7" spans="1:4" x14ac:dyDescent="0.25">
      <c r="A7" t="s">
        <v>4</v>
      </c>
      <c r="B7" t="s">
        <v>9</v>
      </c>
      <c r="C7" t="s">
        <v>1193</v>
      </c>
      <c r="D7">
        <v>1</v>
      </c>
    </row>
    <row r="8" spans="1:4" x14ac:dyDescent="0.25">
      <c r="A8" t="s">
        <v>4</v>
      </c>
      <c r="B8" t="s">
        <v>1408</v>
      </c>
      <c r="C8" t="s">
        <v>1012</v>
      </c>
      <c r="D8">
        <v>4</v>
      </c>
    </row>
    <row r="9" spans="1:4" x14ac:dyDescent="0.25">
      <c r="A9" t="s">
        <v>4</v>
      </c>
      <c r="B9" t="s">
        <v>723</v>
      </c>
      <c r="C9" t="s">
        <v>569</v>
      </c>
      <c r="D9">
        <v>2</v>
      </c>
    </row>
    <row r="10" spans="1:4" x14ac:dyDescent="0.25">
      <c r="A10" t="s">
        <v>4</v>
      </c>
      <c r="B10" t="s">
        <v>1246</v>
      </c>
      <c r="C10" t="s">
        <v>571</v>
      </c>
      <c r="D10">
        <v>0</v>
      </c>
    </row>
    <row r="11" spans="1:4" x14ac:dyDescent="0.25">
      <c r="A11" t="s">
        <v>4</v>
      </c>
      <c r="B11" t="s">
        <v>759</v>
      </c>
      <c r="C11" t="s">
        <v>26</v>
      </c>
      <c r="D11">
        <v>3</v>
      </c>
    </row>
    <row r="12" spans="1:4" x14ac:dyDescent="0.25">
      <c r="A12" t="s">
        <v>4</v>
      </c>
      <c r="B12" t="s">
        <v>1683</v>
      </c>
      <c r="C12" t="s">
        <v>1871</v>
      </c>
      <c r="D12">
        <v>5</v>
      </c>
    </row>
    <row r="13" spans="1:4" x14ac:dyDescent="0.25">
      <c r="A13" t="s">
        <v>4</v>
      </c>
      <c r="B13" t="s">
        <v>804</v>
      </c>
      <c r="C13" t="s">
        <v>1872</v>
      </c>
      <c r="D13">
        <v>2</v>
      </c>
    </row>
    <row r="14" spans="1:4" x14ac:dyDescent="0.25">
      <c r="A14" t="s">
        <v>4</v>
      </c>
      <c r="B14" t="s">
        <v>499</v>
      </c>
      <c r="C14" t="s">
        <v>35</v>
      </c>
      <c r="D14">
        <v>-1</v>
      </c>
    </row>
    <row r="15" spans="1:4" x14ac:dyDescent="0.25">
      <c r="A15" t="s">
        <v>4</v>
      </c>
      <c r="B15" t="s">
        <v>21</v>
      </c>
      <c r="C15" t="s">
        <v>2204</v>
      </c>
      <c r="D15">
        <v>-3</v>
      </c>
    </row>
    <row r="16" spans="1:4" x14ac:dyDescent="0.25">
      <c r="A16" t="s">
        <v>4</v>
      </c>
      <c r="B16" t="s">
        <v>746</v>
      </c>
      <c r="C16" t="s">
        <v>3703</v>
      </c>
      <c r="D16">
        <v>-6</v>
      </c>
    </row>
    <row r="17" spans="1:4" x14ac:dyDescent="0.25">
      <c r="A17" t="s">
        <v>4</v>
      </c>
      <c r="B17" t="s">
        <v>1335</v>
      </c>
      <c r="C17" t="s">
        <v>1506</v>
      </c>
      <c r="D17">
        <v>-5</v>
      </c>
    </row>
    <row r="18" spans="1:4" x14ac:dyDescent="0.25">
      <c r="A18" t="s">
        <v>4</v>
      </c>
      <c r="B18" t="s">
        <v>503</v>
      </c>
      <c r="C18" t="s">
        <v>2700</v>
      </c>
      <c r="D18">
        <v>-6</v>
      </c>
    </row>
    <row r="19" spans="1:4" x14ac:dyDescent="0.25">
      <c r="A19" t="s">
        <v>4</v>
      </c>
      <c r="B19" t="s">
        <v>503</v>
      </c>
      <c r="C19" t="s">
        <v>2432</v>
      </c>
      <c r="D19">
        <v>-7</v>
      </c>
    </row>
    <row r="20" spans="1:4" x14ac:dyDescent="0.25">
      <c r="A20" t="s">
        <v>4</v>
      </c>
      <c r="B20" t="s">
        <v>1045</v>
      </c>
      <c r="C20" t="s">
        <v>2327</v>
      </c>
      <c r="D20">
        <v>-4</v>
      </c>
    </row>
    <row r="21" spans="1:4" x14ac:dyDescent="0.25">
      <c r="A21" t="s">
        <v>4</v>
      </c>
      <c r="B21" t="s">
        <v>389</v>
      </c>
      <c r="C21" t="s">
        <v>3880</v>
      </c>
      <c r="D21">
        <v>-7</v>
      </c>
    </row>
    <row r="22" spans="1:4" x14ac:dyDescent="0.25">
      <c r="A22" t="s">
        <v>4</v>
      </c>
      <c r="B22" t="s">
        <v>550</v>
      </c>
      <c r="C22" t="s">
        <v>1710</v>
      </c>
      <c r="D22">
        <v>-6</v>
      </c>
    </row>
    <row r="23" spans="1:4" x14ac:dyDescent="0.25">
      <c r="A23" t="s">
        <v>4</v>
      </c>
      <c r="B23" t="s">
        <v>550</v>
      </c>
      <c r="C23" t="s">
        <v>3705</v>
      </c>
      <c r="D23">
        <v>-5</v>
      </c>
    </row>
    <row r="24" spans="1:4" x14ac:dyDescent="0.25">
      <c r="A24" t="s">
        <v>4</v>
      </c>
      <c r="B24" t="s">
        <v>673</v>
      </c>
      <c r="C24" t="s">
        <v>798</v>
      </c>
      <c r="D24">
        <v>-7</v>
      </c>
    </row>
    <row r="25" spans="1:4" x14ac:dyDescent="0.25">
      <c r="A25" t="s">
        <v>4</v>
      </c>
      <c r="B25" t="s">
        <v>74</v>
      </c>
      <c r="C25" t="s">
        <v>1713</v>
      </c>
      <c r="D25">
        <v>-5</v>
      </c>
    </row>
    <row r="26" spans="1:4" x14ac:dyDescent="0.25">
      <c r="A26" t="s">
        <v>4</v>
      </c>
      <c r="B26" t="s">
        <v>817</v>
      </c>
      <c r="C26" t="s">
        <v>3555</v>
      </c>
      <c r="D26">
        <v>-7</v>
      </c>
    </row>
    <row r="27" spans="1:4" x14ac:dyDescent="0.25">
      <c r="A27" t="s">
        <v>40</v>
      </c>
      <c r="B27" t="s">
        <v>716</v>
      </c>
      <c r="C27" t="s">
        <v>55</v>
      </c>
      <c r="D27">
        <v>-6</v>
      </c>
    </row>
    <row r="28" spans="1:4" x14ac:dyDescent="0.25">
      <c r="A28" t="s">
        <v>40</v>
      </c>
      <c r="B28" t="s">
        <v>490</v>
      </c>
      <c r="C28" t="s">
        <v>2408</v>
      </c>
      <c r="D28">
        <v>-8</v>
      </c>
    </row>
    <row r="29" spans="1:4" x14ac:dyDescent="0.25">
      <c r="A29" t="s">
        <v>40</v>
      </c>
      <c r="B29" t="s">
        <v>935</v>
      </c>
      <c r="C29" t="s">
        <v>3885</v>
      </c>
      <c r="D29">
        <v>-10</v>
      </c>
    </row>
    <row r="30" spans="1:4" x14ac:dyDescent="0.25">
      <c r="A30" t="s">
        <v>40</v>
      </c>
      <c r="B30" t="s">
        <v>1768</v>
      </c>
      <c r="C30" t="s">
        <v>3557</v>
      </c>
      <c r="D30">
        <v>-8</v>
      </c>
    </row>
    <row r="31" spans="1:4" x14ac:dyDescent="0.25">
      <c r="A31" t="s">
        <v>40</v>
      </c>
      <c r="B31" t="s">
        <v>723</v>
      </c>
      <c r="C31" t="s">
        <v>602</v>
      </c>
      <c r="D31">
        <v>-5</v>
      </c>
    </row>
    <row r="32" spans="1:4" x14ac:dyDescent="0.25">
      <c r="A32" t="s">
        <v>40</v>
      </c>
      <c r="B32" t="s">
        <v>724</v>
      </c>
      <c r="C32" t="s">
        <v>2212</v>
      </c>
      <c r="D32">
        <v>-8</v>
      </c>
    </row>
    <row r="33" spans="1:4" x14ac:dyDescent="0.25">
      <c r="A33" t="s">
        <v>40</v>
      </c>
      <c r="B33" t="s">
        <v>643</v>
      </c>
      <c r="C33" t="s">
        <v>806</v>
      </c>
      <c r="D33">
        <v>-9</v>
      </c>
    </row>
    <row r="34" spans="1:4" x14ac:dyDescent="0.25">
      <c r="A34" t="s">
        <v>40</v>
      </c>
      <c r="B34" t="s">
        <v>643</v>
      </c>
      <c r="C34" t="s">
        <v>4555</v>
      </c>
      <c r="D34">
        <v>-10</v>
      </c>
    </row>
    <row r="35" spans="1:4" x14ac:dyDescent="0.25">
      <c r="A35" t="s">
        <v>40</v>
      </c>
      <c r="B35" t="s">
        <v>1826</v>
      </c>
      <c r="C35" t="s">
        <v>4201</v>
      </c>
      <c r="D35">
        <v>-13</v>
      </c>
    </row>
    <row r="36" spans="1:4" x14ac:dyDescent="0.25">
      <c r="A36" t="s">
        <v>40</v>
      </c>
      <c r="B36" t="s">
        <v>307</v>
      </c>
      <c r="C36" t="s">
        <v>811</v>
      </c>
      <c r="D36">
        <v>-11</v>
      </c>
    </row>
    <row r="37" spans="1:4" x14ac:dyDescent="0.25">
      <c r="A37" t="s">
        <v>40</v>
      </c>
      <c r="B37" t="s">
        <v>572</v>
      </c>
      <c r="C37" t="s">
        <v>2439</v>
      </c>
      <c r="D37">
        <v>-12</v>
      </c>
    </row>
    <row r="38" spans="1:4" x14ac:dyDescent="0.25">
      <c r="A38" t="s">
        <v>40</v>
      </c>
      <c r="B38" t="s">
        <v>572</v>
      </c>
      <c r="C38" t="s">
        <v>4423</v>
      </c>
      <c r="D38">
        <v>-13</v>
      </c>
    </row>
    <row r="39" spans="1:4" x14ac:dyDescent="0.25">
      <c r="A39" t="s">
        <v>40</v>
      </c>
      <c r="B39" t="s">
        <v>1498</v>
      </c>
      <c r="C39" t="s">
        <v>3587</v>
      </c>
      <c r="D39">
        <v>-10</v>
      </c>
    </row>
    <row r="40" spans="1:4" x14ac:dyDescent="0.25">
      <c r="A40" t="s">
        <v>40</v>
      </c>
      <c r="B40" t="s">
        <v>215</v>
      </c>
      <c r="C40" t="s">
        <v>4330</v>
      </c>
      <c r="D40">
        <v>-8</v>
      </c>
    </row>
    <row r="41" spans="1:4" x14ac:dyDescent="0.25">
      <c r="A41" t="s">
        <v>40</v>
      </c>
      <c r="B41" t="s">
        <v>95</v>
      </c>
      <c r="C41" t="s">
        <v>4139</v>
      </c>
      <c r="D41">
        <v>-9</v>
      </c>
    </row>
    <row r="42" spans="1:4" x14ac:dyDescent="0.25">
      <c r="A42" t="s">
        <v>40</v>
      </c>
      <c r="B42" t="s">
        <v>60</v>
      </c>
      <c r="C42" t="s">
        <v>3536</v>
      </c>
      <c r="D42">
        <v>-7</v>
      </c>
    </row>
    <row r="43" spans="1:4" x14ac:dyDescent="0.25">
      <c r="A43" t="s">
        <v>40</v>
      </c>
      <c r="B43" t="s">
        <v>1170</v>
      </c>
      <c r="C43" t="s">
        <v>3973</v>
      </c>
      <c r="D43">
        <v>-8</v>
      </c>
    </row>
    <row r="44" spans="1:4" x14ac:dyDescent="0.25">
      <c r="A44" t="s">
        <v>40</v>
      </c>
      <c r="B44" t="s">
        <v>762</v>
      </c>
      <c r="C44" t="s">
        <v>1833</v>
      </c>
      <c r="D44">
        <v>-5</v>
      </c>
    </row>
    <row r="45" spans="1:4" x14ac:dyDescent="0.25">
      <c r="A45" t="s">
        <v>40</v>
      </c>
      <c r="B45" t="s">
        <v>541</v>
      </c>
      <c r="C45" t="s">
        <v>251</v>
      </c>
      <c r="D45">
        <v>-2</v>
      </c>
    </row>
    <row r="46" spans="1:4" x14ac:dyDescent="0.25">
      <c r="A46" t="s">
        <v>40</v>
      </c>
      <c r="B46" t="s">
        <v>1536</v>
      </c>
      <c r="C46" t="s">
        <v>2489</v>
      </c>
      <c r="D46">
        <v>1</v>
      </c>
    </row>
    <row r="47" spans="1:4" x14ac:dyDescent="0.25">
      <c r="A47" t="s">
        <v>40</v>
      </c>
      <c r="B47" t="s">
        <v>749</v>
      </c>
      <c r="C47" t="s">
        <v>2878</v>
      </c>
      <c r="D47">
        <v>-1</v>
      </c>
    </row>
    <row r="48" spans="1:4" x14ac:dyDescent="0.25">
      <c r="A48" t="s">
        <v>40</v>
      </c>
      <c r="B48" t="s">
        <v>1043</v>
      </c>
      <c r="C48" t="s">
        <v>3975</v>
      </c>
      <c r="D48">
        <v>0</v>
      </c>
    </row>
    <row r="49" spans="1:4" x14ac:dyDescent="0.25">
      <c r="A49" t="s">
        <v>40</v>
      </c>
      <c r="B49" t="s">
        <v>1619</v>
      </c>
      <c r="C49" t="s">
        <v>742</v>
      </c>
      <c r="D49">
        <v>-2</v>
      </c>
    </row>
    <row r="50" spans="1:4" x14ac:dyDescent="0.25">
      <c r="A50" t="s">
        <v>40</v>
      </c>
      <c r="B50" t="s">
        <v>996</v>
      </c>
      <c r="C50" t="s">
        <v>3576</v>
      </c>
      <c r="D50">
        <v>-4</v>
      </c>
    </row>
    <row r="51" spans="1:4" x14ac:dyDescent="0.25">
      <c r="A51" t="s">
        <v>40</v>
      </c>
      <c r="B51" t="s">
        <v>1115</v>
      </c>
      <c r="C51" t="s">
        <v>105</v>
      </c>
      <c r="D51">
        <v>-5</v>
      </c>
    </row>
    <row r="52" spans="1:4" x14ac:dyDescent="0.25">
      <c r="A52" t="s">
        <v>40</v>
      </c>
      <c r="B52" t="s">
        <v>1115</v>
      </c>
      <c r="C52" t="s">
        <v>2417</v>
      </c>
      <c r="D52">
        <v>-6</v>
      </c>
    </row>
    <row r="53" spans="1:4" x14ac:dyDescent="0.25">
      <c r="A53" t="s">
        <v>40</v>
      </c>
      <c r="B53" t="s">
        <v>1568</v>
      </c>
      <c r="C53" t="s">
        <v>2225</v>
      </c>
      <c r="D53">
        <v>-5</v>
      </c>
    </row>
    <row r="54" spans="1:4" x14ac:dyDescent="0.25">
      <c r="A54" t="s">
        <v>80</v>
      </c>
      <c r="B54" t="s">
        <v>242</v>
      </c>
      <c r="C54" t="s">
        <v>4427</v>
      </c>
      <c r="D54">
        <v>-8</v>
      </c>
    </row>
    <row r="55" spans="1:4" x14ac:dyDescent="0.25">
      <c r="A55" t="s">
        <v>80</v>
      </c>
      <c r="B55" t="s">
        <v>355</v>
      </c>
      <c r="C55" t="s">
        <v>4428</v>
      </c>
      <c r="D55">
        <v>-11</v>
      </c>
    </row>
    <row r="56" spans="1:4" x14ac:dyDescent="0.25">
      <c r="A56" t="s">
        <v>80</v>
      </c>
      <c r="B56" t="s">
        <v>800</v>
      </c>
      <c r="C56" t="s">
        <v>4556</v>
      </c>
      <c r="D56">
        <v>-13</v>
      </c>
    </row>
    <row r="57" spans="1:4" x14ac:dyDescent="0.25">
      <c r="A57" t="s">
        <v>80</v>
      </c>
      <c r="B57" t="s">
        <v>1529</v>
      </c>
      <c r="C57" t="s">
        <v>3562</v>
      </c>
      <c r="D57">
        <v>-11</v>
      </c>
    </row>
    <row r="58" spans="1:4" x14ac:dyDescent="0.25">
      <c r="A58" t="s">
        <v>80</v>
      </c>
      <c r="B58" t="s">
        <v>625</v>
      </c>
      <c r="C58" t="s">
        <v>2766</v>
      </c>
      <c r="D58">
        <v>-9</v>
      </c>
    </row>
    <row r="59" spans="1:4" x14ac:dyDescent="0.25">
      <c r="A59" t="s">
        <v>80</v>
      </c>
      <c r="B59" t="s">
        <v>312</v>
      </c>
      <c r="C59" t="s">
        <v>1235</v>
      </c>
      <c r="D59">
        <v>-6</v>
      </c>
    </row>
    <row r="60" spans="1:4" x14ac:dyDescent="0.25">
      <c r="A60" t="s">
        <v>80</v>
      </c>
      <c r="B60" t="s">
        <v>539</v>
      </c>
      <c r="C60" t="s">
        <v>2230</v>
      </c>
      <c r="D60">
        <v>-4</v>
      </c>
    </row>
    <row r="61" spans="1:4" x14ac:dyDescent="0.25">
      <c r="A61" t="s">
        <v>80</v>
      </c>
      <c r="B61" t="s">
        <v>746</v>
      </c>
      <c r="C61" t="s">
        <v>2140</v>
      </c>
      <c r="D61">
        <v>-5</v>
      </c>
    </row>
    <row r="62" spans="1:4" x14ac:dyDescent="0.25">
      <c r="A62" t="s">
        <v>80</v>
      </c>
      <c r="B62" t="s">
        <v>746</v>
      </c>
      <c r="C62" t="s">
        <v>4214</v>
      </c>
      <c r="D62">
        <v>-6</v>
      </c>
    </row>
    <row r="63" spans="1:4" x14ac:dyDescent="0.25">
      <c r="A63" t="s">
        <v>80</v>
      </c>
      <c r="B63" t="s">
        <v>701</v>
      </c>
      <c r="C63" t="s">
        <v>1238</v>
      </c>
      <c r="D63">
        <v>-5</v>
      </c>
    </row>
    <row r="64" spans="1:4" x14ac:dyDescent="0.25">
      <c r="A64" t="s">
        <v>80</v>
      </c>
      <c r="B64" t="s">
        <v>1698</v>
      </c>
      <c r="C64" t="s">
        <v>1239</v>
      </c>
      <c r="D64">
        <v>-8</v>
      </c>
    </row>
    <row r="65" spans="1:4" x14ac:dyDescent="0.25">
      <c r="A65" t="s">
        <v>80</v>
      </c>
      <c r="B65" t="s">
        <v>231</v>
      </c>
      <c r="C65" t="s">
        <v>1777</v>
      </c>
      <c r="D65">
        <v>-7</v>
      </c>
    </row>
    <row r="66" spans="1:4" x14ac:dyDescent="0.25">
      <c r="A66" t="s">
        <v>80</v>
      </c>
      <c r="B66" t="s">
        <v>231</v>
      </c>
      <c r="C66" t="s">
        <v>4065</v>
      </c>
      <c r="D66">
        <v>-6</v>
      </c>
    </row>
    <row r="67" spans="1:4" x14ac:dyDescent="0.25">
      <c r="A67" t="s">
        <v>80</v>
      </c>
      <c r="B67" t="s">
        <v>634</v>
      </c>
      <c r="C67" t="s">
        <v>1538</v>
      </c>
      <c r="D67">
        <v>-5</v>
      </c>
    </row>
    <row r="68" spans="1:4" x14ac:dyDescent="0.25">
      <c r="A68" t="s">
        <v>80</v>
      </c>
      <c r="B68" t="s">
        <v>634</v>
      </c>
      <c r="C68" t="s">
        <v>2768</v>
      </c>
      <c r="D68">
        <v>-4</v>
      </c>
    </row>
    <row r="69" spans="1:4" x14ac:dyDescent="0.25">
      <c r="A69" t="s">
        <v>80</v>
      </c>
      <c r="B69" t="s">
        <v>451</v>
      </c>
      <c r="C69" t="s">
        <v>3977</v>
      </c>
      <c r="D69">
        <v>-5</v>
      </c>
    </row>
    <row r="70" spans="1:4" x14ac:dyDescent="0.25">
      <c r="A70" t="s">
        <v>80</v>
      </c>
      <c r="B70" t="s">
        <v>235</v>
      </c>
      <c r="C70" t="s">
        <v>2236</v>
      </c>
      <c r="D70">
        <v>-6</v>
      </c>
    </row>
    <row r="71" spans="1:4" x14ac:dyDescent="0.25">
      <c r="A71" t="s">
        <v>123</v>
      </c>
      <c r="B71" t="s">
        <v>453</v>
      </c>
      <c r="C71" t="s">
        <v>4557</v>
      </c>
      <c r="D71">
        <v>-9</v>
      </c>
    </row>
    <row r="72" spans="1:4" x14ac:dyDescent="0.25">
      <c r="A72" t="s">
        <v>123</v>
      </c>
      <c r="B72" t="s">
        <v>427</v>
      </c>
      <c r="C72" t="s">
        <v>1782</v>
      </c>
      <c r="D72">
        <v>-11</v>
      </c>
    </row>
    <row r="73" spans="1:4" x14ac:dyDescent="0.25">
      <c r="A73" t="s">
        <v>123</v>
      </c>
      <c r="B73" t="s">
        <v>933</v>
      </c>
      <c r="C73" t="s">
        <v>1245</v>
      </c>
      <c r="D73">
        <v>-12</v>
      </c>
    </row>
    <row r="74" spans="1:4" x14ac:dyDescent="0.25">
      <c r="A74" t="s">
        <v>123</v>
      </c>
      <c r="B74" t="s">
        <v>43</v>
      </c>
      <c r="C74" t="s">
        <v>1784</v>
      </c>
      <c r="D74">
        <v>-11</v>
      </c>
    </row>
    <row r="75" spans="1:4" x14ac:dyDescent="0.25">
      <c r="A75" t="s">
        <v>123</v>
      </c>
      <c r="B75" t="s">
        <v>9</v>
      </c>
      <c r="C75" t="s">
        <v>1786</v>
      </c>
      <c r="D75">
        <v>-13</v>
      </c>
    </row>
    <row r="76" spans="1:4" x14ac:dyDescent="0.25">
      <c r="A76" t="s">
        <v>123</v>
      </c>
      <c r="B76" t="s">
        <v>1246</v>
      </c>
      <c r="C76" t="s">
        <v>1544</v>
      </c>
      <c r="D76">
        <v>-12</v>
      </c>
    </row>
    <row r="77" spans="1:4" x14ac:dyDescent="0.25">
      <c r="A77" t="s">
        <v>123</v>
      </c>
      <c r="B77" t="s">
        <v>1246</v>
      </c>
      <c r="C77" t="s">
        <v>2771</v>
      </c>
      <c r="D77">
        <v>-11</v>
      </c>
    </row>
    <row r="78" spans="1:4" x14ac:dyDescent="0.25">
      <c r="A78" t="s">
        <v>123</v>
      </c>
      <c r="B78" t="s">
        <v>643</v>
      </c>
      <c r="C78" t="s">
        <v>1546</v>
      </c>
      <c r="D78">
        <v>-10</v>
      </c>
    </row>
    <row r="79" spans="1:4" x14ac:dyDescent="0.25">
      <c r="A79" t="s">
        <v>123</v>
      </c>
      <c r="B79" t="s">
        <v>135</v>
      </c>
      <c r="C79" t="s">
        <v>4431</v>
      </c>
      <c r="D79">
        <v>-8</v>
      </c>
    </row>
    <row r="80" spans="1:4" x14ac:dyDescent="0.25">
      <c r="A80" t="s">
        <v>123</v>
      </c>
      <c r="B80" t="s">
        <v>1284</v>
      </c>
      <c r="C80" t="s">
        <v>3994</v>
      </c>
      <c r="D80">
        <v>-9</v>
      </c>
    </row>
    <row r="81" spans="1:4" x14ac:dyDescent="0.25">
      <c r="A81" t="s">
        <v>123</v>
      </c>
      <c r="B81" t="s">
        <v>1284</v>
      </c>
      <c r="C81" t="s">
        <v>145</v>
      </c>
      <c r="D81">
        <v>-10</v>
      </c>
    </row>
    <row r="82" spans="1:4" x14ac:dyDescent="0.25">
      <c r="A82" t="s">
        <v>123</v>
      </c>
      <c r="B82" t="s">
        <v>408</v>
      </c>
      <c r="C82" t="s">
        <v>2621</v>
      </c>
      <c r="D82">
        <v>-8</v>
      </c>
    </row>
    <row r="83" spans="1:4" x14ac:dyDescent="0.25">
      <c r="A83" t="s">
        <v>123</v>
      </c>
      <c r="B83" t="s">
        <v>2032</v>
      </c>
      <c r="C83" t="s">
        <v>2622</v>
      </c>
      <c r="D83">
        <v>-11</v>
      </c>
    </row>
    <row r="84" spans="1:4" x14ac:dyDescent="0.25">
      <c r="A84" t="s">
        <v>123</v>
      </c>
      <c r="B84" t="s">
        <v>1288</v>
      </c>
      <c r="C84" t="s">
        <v>149</v>
      </c>
      <c r="D84">
        <v>-10</v>
      </c>
    </row>
    <row r="85" spans="1:4" x14ac:dyDescent="0.25">
      <c r="A85" t="s">
        <v>123</v>
      </c>
      <c r="B85" t="s">
        <v>1288</v>
      </c>
      <c r="C85" t="s">
        <v>302</v>
      </c>
      <c r="D85">
        <v>-9</v>
      </c>
    </row>
    <row r="86" spans="1:4" x14ac:dyDescent="0.25">
      <c r="A86" t="s">
        <v>123</v>
      </c>
      <c r="B86" t="s">
        <v>1151</v>
      </c>
      <c r="C86" t="s">
        <v>1794</v>
      </c>
      <c r="D86">
        <v>-12</v>
      </c>
    </row>
    <row r="87" spans="1:4" x14ac:dyDescent="0.25">
      <c r="A87" t="s">
        <v>123</v>
      </c>
      <c r="B87" t="s">
        <v>315</v>
      </c>
      <c r="C87" t="s">
        <v>4558</v>
      </c>
      <c r="D87">
        <v>-10</v>
      </c>
    </row>
    <row r="88" spans="1:4" x14ac:dyDescent="0.25">
      <c r="A88" t="s">
        <v>123</v>
      </c>
      <c r="B88" t="s">
        <v>605</v>
      </c>
      <c r="C88" t="s">
        <v>4559</v>
      </c>
      <c r="D88">
        <v>-9</v>
      </c>
    </row>
    <row r="89" spans="1:4" x14ac:dyDescent="0.25">
      <c r="A89" t="s">
        <v>123</v>
      </c>
      <c r="B89" t="s">
        <v>605</v>
      </c>
      <c r="C89" t="s">
        <v>863</v>
      </c>
      <c r="D89">
        <v>-8</v>
      </c>
    </row>
    <row r="90" spans="1:4" x14ac:dyDescent="0.25">
      <c r="A90" t="s">
        <v>123</v>
      </c>
      <c r="B90" t="s">
        <v>629</v>
      </c>
      <c r="C90" t="s">
        <v>864</v>
      </c>
      <c r="D90">
        <v>-5</v>
      </c>
    </row>
    <row r="91" spans="1:4" x14ac:dyDescent="0.25">
      <c r="A91" t="s">
        <v>123</v>
      </c>
      <c r="B91" t="s">
        <v>710</v>
      </c>
      <c r="C91" t="s">
        <v>4180</v>
      </c>
      <c r="D91">
        <v>-7</v>
      </c>
    </row>
    <row r="92" spans="1:4" x14ac:dyDescent="0.25">
      <c r="A92" t="s">
        <v>123</v>
      </c>
      <c r="B92" t="s">
        <v>1988</v>
      </c>
      <c r="C92" t="s">
        <v>4337</v>
      </c>
      <c r="D92">
        <v>-4</v>
      </c>
    </row>
    <row r="93" spans="1:4" x14ac:dyDescent="0.25">
      <c r="A93" t="s">
        <v>123</v>
      </c>
      <c r="B93" t="s">
        <v>33</v>
      </c>
      <c r="C93" t="s">
        <v>2351</v>
      </c>
      <c r="D93">
        <v>-7</v>
      </c>
    </row>
    <row r="94" spans="1:4" x14ac:dyDescent="0.25">
      <c r="A94" t="s">
        <v>123</v>
      </c>
      <c r="B94" t="s">
        <v>301</v>
      </c>
      <c r="C94" t="s">
        <v>548</v>
      </c>
      <c r="D94">
        <v>-4</v>
      </c>
    </row>
    <row r="95" spans="1:4" x14ac:dyDescent="0.25">
      <c r="A95" t="s">
        <v>123</v>
      </c>
      <c r="B95" t="s">
        <v>1568</v>
      </c>
      <c r="C95" t="s">
        <v>2625</v>
      </c>
      <c r="D95">
        <v>-5</v>
      </c>
    </row>
    <row r="96" spans="1:4" x14ac:dyDescent="0.25">
      <c r="A96" t="s">
        <v>123</v>
      </c>
      <c r="B96" t="s">
        <v>1568</v>
      </c>
      <c r="C96" t="s">
        <v>4185</v>
      </c>
      <c r="D96">
        <v>-6</v>
      </c>
    </row>
    <row r="98" spans="1:4" x14ac:dyDescent="0.25">
      <c r="A98" s="2" t="s">
        <v>157</v>
      </c>
    </row>
    <row r="99" spans="1:4" x14ac:dyDescent="0.25">
      <c r="A99" t="s">
        <v>158</v>
      </c>
      <c r="D99">
        <f>AVERAGE(D2:D96)</f>
        <v>-6.0526315789473681</v>
      </c>
    </row>
    <row r="100" spans="1:4" x14ac:dyDescent="0.25">
      <c r="A100" t="s">
        <v>159</v>
      </c>
      <c r="D100">
        <f>MAX(D2:D96)</f>
        <v>5</v>
      </c>
    </row>
    <row r="101" spans="1:4" x14ac:dyDescent="0.25">
      <c r="A101" t="s">
        <v>160</v>
      </c>
      <c r="D101">
        <f>MIN(D2:D96)</f>
        <v>-13</v>
      </c>
    </row>
    <row r="102" spans="1:4" x14ac:dyDescent="0.25">
      <c r="A102" t="s">
        <v>161</v>
      </c>
      <c r="D102">
        <f>COUNTIF(D2:D96,"&gt;0")</f>
        <v>12</v>
      </c>
    </row>
    <row r="103" spans="1:4" x14ac:dyDescent="0.25">
      <c r="A103" t="s">
        <v>162</v>
      </c>
      <c r="D103">
        <f>COUNTIF(D2:D96,"=0")</f>
        <v>2</v>
      </c>
    </row>
    <row r="104" spans="1:4" x14ac:dyDescent="0.25">
      <c r="A104" t="s">
        <v>1740</v>
      </c>
      <c r="D104">
        <f>COUNTIF(D2:D96,"&lt;0")</f>
        <v>81</v>
      </c>
    </row>
    <row r="106" spans="1:4" x14ac:dyDescent="0.25">
      <c r="A106" s="2" t="s">
        <v>164</v>
      </c>
    </row>
    <row r="107" spans="1:4" x14ac:dyDescent="0.25">
      <c r="A107" t="s">
        <v>165</v>
      </c>
      <c r="D107">
        <f>AVERAGE(D2,D3,D4,D5,D6,D7,D8,D9,D10,D11,D12,D13,D14,D15,D16,D17,D18,D19,D20,D21,D22,D23,D24,D25,D26)</f>
        <v>-1.64</v>
      </c>
    </row>
    <row r="108" spans="1:4" x14ac:dyDescent="0.25">
      <c r="A108" t="s">
        <v>166</v>
      </c>
      <c r="D108">
        <f>AVERAGE(D27,D28,D29,D30,D31,D32,D33,D34,D35,D36,D37,D38,D39,D40,D41,D42,D43,D44,D45,D46,D47,D48,D49,D50,D51,D52,D53)</f>
        <v>-6.8148148148148149</v>
      </c>
    </row>
    <row r="109" spans="1:4" x14ac:dyDescent="0.25">
      <c r="A109" t="s">
        <v>167</v>
      </c>
      <c r="D109">
        <f>AVERAGE(D54,D55,D56,D57,D58,D59,D60,D61,D62,D63,D64,D65,D66,D67,D68,D69,D70)</f>
        <v>-7</v>
      </c>
    </row>
    <row r="110" spans="1:4" x14ac:dyDescent="0.25">
      <c r="A110" t="s">
        <v>168</v>
      </c>
      <c r="D110">
        <f>AVERAGE(D71,D72,D73,D74,D75,D76,D77,D78,D79,D80,D81,D82,D83,D84,D85,D86,D87,D88,D89,D90,D91,D92,D93,D94,D95,D96)</f>
        <v>-8.884615384615385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D11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1648</v>
      </c>
      <c r="C2" t="s">
        <v>1923</v>
      </c>
      <c r="D2">
        <v>1</v>
      </c>
    </row>
    <row r="3" spans="1:4" x14ac:dyDescent="0.25">
      <c r="A3" t="s">
        <v>4</v>
      </c>
      <c r="B3" t="s">
        <v>1648</v>
      </c>
      <c r="C3" t="s">
        <v>6</v>
      </c>
      <c r="D3">
        <v>2</v>
      </c>
    </row>
    <row r="4" spans="1:4" x14ac:dyDescent="0.25">
      <c r="A4" t="s">
        <v>4</v>
      </c>
      <c r="B4" t="s">
        <v>1138</v>
      </c>
      <c r="C4" t="s">
        <v>8</v>
      </c>
      <c r="D4">
        <v>0</v>
      </c>
    </row>
    <row r="5" spans="1:4" x14ac:dyDescent="0.25">
      <c r="A5" t="s">
        <v>4</v>
      </c>
      <c r="B5" t="s">
        <v>797</v>
      </c>
      <c r="C5" t="s">
        <v>1347</v>
      </c>
      <c r="D5">
        <v>3</v>
      </c>
    </row>
    <row r="6" spans="1:4" x14ac:dyDescent="0.25">
      <c r="A6" t="s">
        <v>4</v>
      </c>
      <c r="B6" t="s">
        <v>1143</v>
      </c>
      <c r="C6" t="s">
        <v>1106</v>
      </c>
      <c r="D6">
        <v>1</v>
      </c>
    </row>
    <row r="7" spans="1:4" x14ac:dyDescent="0.25">
      <c r="A7" t="s">
        <v>4</v>
      </c>
      <c r="B7" t="s">
        <v>621</v>
      </c>
      <c r="C7" t="s">
        <v>1107</v>
      </c>
      <c r="D7">
        <v>-1</v>
      </c>
    </row>
    <row r="8" spans="1:4" x14ac:dyDescent="0.25">
      <c r="A8" t="s">
        <v>4</v>
      </c>
      <c r="B8" t="s">
        <v>177</v>
      </c>
      <c r="C8" t="s">
        <v>1109</v>
      </c>
      <c r="D8">
        <v>-3</v>
      </c>
    </row>
    <row r="9" spans="1:4" x14ac:dyDescent="0.25">
      <c r="A9" t="s">
        <v>4</v>
      </c>
      <c r="B9" t="s">
        <v>277</v>
      </c>
      <c r="C9" t="s">
        <v>20</v>
      </c>
      <c r="D9">
        <v>0</v>
      </c>
    </row>
    <row r="10" spans="1:4" x14ac:dyDescent="0.25">
      <c r="A10" t="s">
        <v>4</v>
      </c>
      <c r="B10" t="s">
        <v>335</v>
      </c>
      <c r="C10" t="s">
        <v>1353</v>
      </c>
      <c r="D10">
        <v>3</v>
      </c>
    </row>
    <row r="11" spans="1:4" x14ac:dyDescent="0.25">
      <c r="A11" t="s">
        <v>4</v>
      </c>
      <c r="B11" t="s">
        <v>1105</v>
      </c>
      <c r="C11" t="s">
        <v>573</v>
      </c>
      <c r="D11">
        <v>2</v>
      </c>
    </row>
    <row r="12" spans="1:4" x14ac:dyDescent="0.25">
      <c r="A12" t="s">
        <v>4</v>
      </c>
      <c r="B12" t="s">
        <v>651</v>
      </c>
      <c r="C12" t="s">
        <v>574</v>
      </c>
      <c r="D12">
        <v>0</v>
      </c>
    </row>
    <row r="13" spans="1:4" x14ac:dyDescent="0.25">
      <c r="A13" t="s">
        <v>4</v>
      </c>
      <c r="B13" t="s">
        <v>60</v>
      </c>
      <c r="C13" t="s">
        <v>441</v>
      </c>
      <c r="D13">
        <v>-2</v>
      </c>
    </row>
    <row r="14" spans="1:4" x14ac:dyDescent="0.25">
      <c r="A14" t="s">
        <v>4</v>
      </c>
      <c r="B14" t="s">
        <v>874</v>
      </c>
      <c r="C14" t="s">
        <v>2326</v>
      </c>
      <c r="D14">
        <v>-3</v>
      </c>
    </row>
    <row r="15" spans="1:4" x14ac:dyDescent="0.25">
      <c r="A15" t="s">
        <v>4</v>
      </c>
      <c r="B15" t="s">
        <v>539</v>
      </c>
      <c r="C15" t="s">
        <v>1435</v>
      </c>
      <c r="D15">
        <v>-1</v>
      </c>
    </row>
    <row r="16" spans="1:4" x14ac:dyDescent="0.25">
      <c r="A16" t="s">
        <v>4</v>
      </c>
      <c r="B16" t="s">
        <v>541</v>
      </c>
      <c r="C16" t="s">
        <v>921</v>
      </c>
      <c r="D16">
        <v>1</v>
      </c>
    </row>
    <row r="17" spans="1:4" x14ac:dyDescent="0.25">
      <c r="A17" t="s">
        <v>4</v>
      </c>
      <c r="B17" t="s">
        <v>110</v>
      </c>
      <c r="C17" t="s">
        <v>2538</v>
      </c>
      <c r="D17">
        <v>3</v>
      </c>
    </row>
    <row r="18" spans="1:4" x14ac:dyDescent="0.25">
      <c r="A18" t="s">
        <v>4</v>
      </c>
      <c r="B18" t="s">
        <v>288</v>
      </c>
      <c r="C18" t="s">
        <v>707</v>
      </c>
      <c r="D18">
        <v>1</v>
      </c>
    </row>
    <row r="19" spans="1:4" x14ac:dyDescent="0.25">
      <c r="A19" t="s">
        <v>4</v>
      </c>
      <c r="B19" t="s">
        <v>267</v>
      </c>
      <c r="C19" t="s">
        <v>39</v>
      </c>
      <c r="D19">
        <v>-1</v>
      </c>
    </row>
    <row r="20" spans="1:4" x14ac:dyDescent="0.25">
      <c r="A20" t="s">
        <v>4</v>
      </c>
      <c r="B20" t="s">
        <v>152</v>
      </c>
      <c r="C20" t="s">
        <v>1821</v>
      </c>
      <c r="D20">
        <v>-2</v>
      </c>
    </row>
    <row r="21" spans="1:4" x14ac:dyDescent="0.25">
      <c r="A21" t="s">
        <v>4</v>
      </c>
      <c r="B21" t="s">
        <v>294</v>
      </c>
      <c r="C21" t="s">
        <v>2123</v>
      </c>
      <c r="D21">
        <v>-1</v>
      </c>
    </row>
    <row r="22" spans="1:4" x14ac:dyDescent="0.25">
      <c r="A22" t="s">
        <v>4</v>
      </c>
      <c r="B22" t="s">
        <v>294</v>
      </c>
      <c r="C22" t="s">
        <v>585</v>
      </c>
      <c r="D22">
        <v>0</v>
      </c>
    </row>
    <row r="23" spans="1:4" x14ac:dyDescent="0.25">
      <c r="A23" t="s">
        <v>4</v>
      </c>
      <c r="B23" t="s">
        <v>1733</v>
      </c>
      <c r="C23" t="s">
        <v>586</v>
      </c>
      <c r="D23">
        <v>3</v>
      </c>
    </row>
    <row r="24" spans="1:4" x14ac:dyDescent="0.25">
      <c r="A24" t="s">
        <v>4</v>
      </c>
      <c r="B24" t="s">
        <v>38</v>
      </c>
      <c r="C24" t="s">
        <v>587</v>
      </c>
      <c r="D24">
        <v>1</v>
      </c>
    </row>
    <row r="25" spans="1:4" x14ac:dyDescent="0.25">
      <c r="A25" t="s">
        <v>40</v>
      </c>
      <c r="B25" t="s">
        <v>1648</v>
      </c>
      <c r="C25" t="s">
        <v>334</v>
      </c>
      <c r="D25">
        <v>3</v>
      </c>
    </row>
    <row r="26" spans="1:4" x14ac:dyDescent="0.25">
      <c r="A26" t="s">
        <v>40</v>
      </c>
      <c r="B26" t="s">
        <v>565</v>
      </c>
      <c r="C26" t="s">
        <v>212</v>
      </c>
      <c r="D26">
        <v>5</v>
      </c>
    </row>
    <row r="27" spans="1:4" x14ac:dyDescent="0.25">
      <c r="A27" t="s">
        <v>40</v>
      </c>
      <c r="B27" t="s">
        <v>1789</v>
      </c>
      <c r="C27" t="s">
        <v>214</v>
      </c>
      <c r="D27">
        <v>3</v>
      </c>
    </row>
    <row r="28" spans="1:4" x14ac:dyDescent="0.25">
      <c r="A28" t="s">
        <v>40</v>
      </c>
      <c r="B28" t="s">
        <v>1666</v>
      </c>
      <c r="C28" t="s">
        <v>2963</v>
      </c>
      <c r="D28">
        <v>5</v>
      </c>
    </row>
    <row r="29" spans="1:4" x14ac:dyDescent="0.25">
      <c r="A29" t="s">
        <v>40</v>
      </c>
      <c r="B29" t="s">
        <v>1851</v>
      </c>
      <c r="C29" t="s">
        <v>1583</v>
      </c>
      <c r="D29">
        <v>7</v>
      </c>
    </row>
    <row r="30" spans="1:4" x14ac:dyDescent="0.25">
      <c r="A30" t="s">
        <v>40</v>
      </c>
      <c r="B30" t="s">
        <v>800</v>
      </c>
      <c r="C30" t="s">
        <v>1584</v>
      </c>
      <c r="D30">
        <v>5</v>
      </c>
    </row>
    <row r="31" spans="1:4" x14ac:dyDescent="0.25">
      <c r="A31" t="s">
        <v>40</v>
      </c>
      <c r="B31" t="s">
        <v>1771</v>
      </c>
      <c r="C31" t="s">
        <v>1935</v>
      </c>
      <c r="D31">
        <v>8</v>
      </c>
    </row>
    <row r="32" spans="1:4" x14ac:dyDescent="0.25">
      <c r="A32" t="s">
        <v>40</v>
      </c>
      <c r="B32" t="s">
        <v>1495</v>
      </c>
      <c r="C32" t="s">
        <v>3339</v>
      </c>
      <c r="D32">
        <v>6</v>
      </c>
    </row>
    <row r="33" spans="1:4" x14ac:dyDescent="0.25">
      <c r="A33" t="s">
        <v>40</v>
      </c>
      <c r="B33" t="s">
        <v>645</v>
      </c>
      <c r="C33" t="s">
        <v>2529</v>
      </c>
      <c r="D33">
        <v>8</v>
      </c>
    </row>
    <row r="34" spans="1:4" x14ac:dyDescent="0.25">
      <c r="A34" t="s">
        <v>40</v>
      </c>
      <c r="B34" t="s">
        <v>366</v>
      </c>
      <c r="C34" t="s">
        <v>1443</v>
      </c>
      <c r="D34">
        <v>7</v>
      </c>
    </row>
    <row r="35" spans="1:4" x14ac:dyDescent="0.25">
      <c r="A35" t="s">
        <v>40</v>
      </c>
      <c r="B35" t="s">
        <v>366</v>
      </c>
      <c r="C35" t="s">
        <v>2704</v>
      </c>
      <c r="D35">
        <v>6</v>
      </c>
    </row>
    <row r="36" spans="1:4" x14ac:dyDescent="0.25">
      <c r="A36" t="s">
        <v>40</v>
      </c>
      <c r="B36" t="s">
        <v>62</v>
      </c>
      <c r="C36" t="s">
        <v>2161</v>
      </c>
      <c r="D36">
        <v>7</v>
      </c>
    </row>
    <row r="37" spans="1:4" x14ac:dyDescent="0.25">
      <c r="A37" t="s">
        <v>40</v>
      </c>
      <c r="B37" t="s">
        <v>341</v>
      </c>
      <c r="C37" t="s">
        <v>3124</v>
      </c>
      <c r="D37">
        <v>10</v>
      </c>
    </row>
    <row r="38" spans="1:4" x14ac:dyDescent="0.25">
      <c r="A38" t="s">
        <v>40</v>
      </c>
      <c r="B38" t="s">
        <v>812</v>
      </c>
      <c r="C38" t="s">
        <v>3663</v>
      </c>
      <c r="D38">
        <v>11</v>
      </c>
    </row>
    <row r="39" spans="1:4" x14ac:dyDescent="0.25">
      <c r="A39" t="s">
        <v>40</v>
      </c>
      <c r="B39" t="s">
        <v>148</v>
      </c>
      <c r="C39" t="s">
        <v>2164</v>
      </c>
      <c r="D39">
        <v>14</v>
      </c>
    </row>
    <row r="40" spans="1:4" x14ac:dyDescent="0.25">
      <c r="A40" t="s">
        <v>40</v>
      </c>
      <c r="B40" t="s">
        <v>732</v>
      </c>
      <c r="C40" t="s">
        <v>4146</v>
      </c>
      <c r="D40">
        <v>16</v>
      </c>
    </row>
    <row r="41" spans="1:4" x14ac:dyDescent="0.25">
      <c r="A41" t="s">
        <v>40</v>
      </c>
      <c r="B41" t="s">
        <v>552</v>
      </c>
      <c r="C41" t="s">
        <v>3014</v>
      </c>
      <c r="D41">
        <v>13</v>
      </c>
    </row>
    <row r="42" spans="1:4" x14ac:dyDescent="0.25">
      <c r="A42" t="s">
        <v>40</v>
      </c>
      <c r="B42" t="s">
        <v>673</v>
      </c>
      <c r="C42" t="s">
        <v>3015</v>
      </c>
      <c r="D42">
        <v>16</v>
      </c>
    </row>
    <row r="43" spans="1:4" x14ac:dyDescent="0.25">
      <c r="A43" t="s">
        <v>40</v>
      </c>
      <c r="B43" t="s">
        <v>534</v>
      </c>
      <c r="C43" t="s">
        <v>4027</v>
      </c>
      <c r="D43">
        <v>15</v>
      </c>
    </row>
    <row r="44" spans="1:4" x14ac:dyDescent="0.25">
      <c r="A44" t="s">
        <v>40</v>
      </c>
      <c r="B44" t="s">
        <v>1990</v>
      </c>
      <c r="C44" t="s">
        <v>3671</v>
      </c>
      <c r="D44">
        <v>17</v>
      </c>
    </row>
    <row r="45" spans="1:4" x14ac:dyDescent="0.25">
      <c r="A45" t="s">
        <v>40</v>
      </c>
      <c r="B45" t="s">
        <v>451</v>
      </c>
      <c r="C45" t="s">
        <v>4148</v>
      </c>
      <c r="D45">
        <v>20</v>
      </c>
    </row>
    <row r="46" spans="1:4" x14ac:dyDescent="0.25">
      <c r="A46" t="s">
        <v>80</v>
      </c>
      <c r="B46" t="s">
        <v>1541</v>
      </c>
      <c r="C46" t="s">
        <v>3843</v>
      </c>
      <c r="D46">
        <v>21</v>
      </c>
    </row>
    <row r="47" spans="1:4" x14ac:dyDescent="0.25">
      <c r="A47" t="s">
        <v>80</v>
      </c>
      <c r="B47" t="s">
        <v>1541</v>
      </c>
      <c r="C47" t="s">
        <v>4149</v>
      </c>
      <c r="D47">
        <v>22</v>
      </c>
    </row>
    <row r="48" spans="1:4" x14ac:dyDescent="0.25">
      <c r="A48" t="s">
        <v>80</v>
      </c>
      <c r="B48" t="s">
        <v>777</v>
      </c>
      <c r="C48" t="s">
        <v>3127</v>
      </c>
      <c r="D48">
        <v>19</v>
      </c>
    </row>
    <row r="49" spans="1:4" x14ac:dyDescent="0.25">
      <c r="A49" t="s">
        <v>80</v>
      </c>
      <c r="B49" t="s">
        <v>458</v>
      </c>
      <c r="C49" t="s">
        <v>3129</v>
      </c>
      <c r="D49">
        <v>16</v>
      </c>
    </row>
    <row r="50" spans="1:4" x14ac:dyDescent="0.25">
      <c r="A50" t="s">
        <v>80</v>
      </c>
      <c r="B50" t="s">
        <v>1453</v>
      </c>
      <c r="C50" t="s">
        <v>3062</v>
      </c>
      <c r="D50">
        <v>18</v>
      </c>
    </row>
    <row r="51" spans="1:4" x14ac:dyDescent="0.25">
      <c r="A51" t="s">
        <v>80</v>
      </c>
      <c r="B51" t="s">
        <v>250</v>
      </c>
      <c r="C51" t="s">
        <v>2822</v>
      </c>
      <c r="D51">
        <v>17</v>
      </c>
    </row>
    <row r="52" spans="1:4" x14ac:dyDescent="0.25">
      <c r="A52" t="s">
        <v>80</v>
      </c>
      <c r="B52" t="s">
        <v>250</v>
      </c>
      <c r="C52" t="s">
        <v>2787</v>
      </c>
      <c r="D52">
        <v>16</v>
      </c>
    </row>
    <row r="53" spans="1:4" x14ac:dyDescent="0.25">
      <c r="A53" t="s">
        <v>80</v>
      </c>
      <c r="B53" t="s">
        <v>1549</v>
      </c>
      <c r="C53" t="s">
        <v>3064</v>
      </c>
      <c r="D53">
        <v>18</v>
      </c>
    </row>
    <row r="54" spans="1:4" x14ac:dyDescent="0.25">
      <c r="A54" t="s">
        <v>80</v>
      </c>
      <c r="B54" t="s">
        <v>13</v>
      </c>
      <c r="C54" t="s">
        <v>3065</v>
      </c>
      <c r="D54">
        <v>16</v>
      </c>
    </row>
    <row r="55" spans="1:4" x14ac:dyDescent="0.25">
      <c r="A55" t="s">
        <v>80</v>
      </c>
      <c r="B55" t="s">
        <v>54</v>
      </c>
      <c r="C55" t="s">
        <v>3869</v>
      </c>
      <c r="D55">
        <v>19</v>
      </c>
    </row>
    <row r="56" spans="1:4" x14ac:dyDescent="0.25">
      <c r="A56" t="s">
        <v>80</v>
      </c>
      <c r="B56" t="s">
        <v>1432</v>
      </c>
      <c r="C56" t="s">
        <v>2985</v>
      </c>
      <c r="D56">
        <v>16</v>
      </c>
    </row>
    <row r="57" spans="1:4" x14ac:dyDescent="0.25">
      <c r="A57" t="s">
        <v>80</v>
      </c>
      <c r="B57" t="s">
        <v>135</v>
      </c>
      <c r="C57" t="s">
        <v>967</v>
      </c>
      <c r="D57">
        <v>18</v>
      </c>
    </row>
    <row r="58" spans="1:4" x14ac:dyDescent="0.25">
      <c r="A58" t="s">
        <v>80</v>
      </c>
      <c r="B58" t="s">
        <v>1724</v>
      </c>
      <c r="C58" t="s">
        <v>4560</v>
      </c>
      <c r="D58">
        <v>20</v>
      </c>
    </row>
    <row r="59" spans="1:4" x14ac:dyDescent="0.25">
      <c r="A59" t="s">
        <v>80</v>
      </c>
      <c r="B59" t="s">
        <v>1817</v>
      </c>
      <c r="C59" t="s">
        <v>969</v>
      </c>
      <c r="D59">
        <v>19</v>
      </c>
    </row>
    <row r="60" spans="1:4" x14ac:dyDescent="0.25">
      <c r="A60" t="s">
        <v>80</v>
      </c>
      <c r="B60" t="s">
        <v>1817</v>
      </c>
      <c r="C60" t="s">
        <v>3688</v>
      </c>
      <c r="D60">
        <v>18</v>
      </c>
    </row>
    <row r="61" spans="1:4" x14ac:dyDescent="0.25">
      <c r="A61" t="s">
        <v>80</v>
      </c>
      <c r="B61" t="s">
        <v>99</v>
      </c>
      <c r="C61" t="s">
        <v>2671</v>
      </c>
      <c r="D61">
        <v>16</v>
      </c>
    </row>
    <row r="62" spans="1:4" x14ac:dyDescent="0.25">
      <c r="A62" t="s">
        <v>80</v>
      </c>
      <c r="B62" t="s">
        <v>598</v>
      </c>
      <c r="C62" t="s">
        <v>4561</v>
      </c>
      <c r="D62">
        <v>19</v>
      </c>
    </row>
    <row r="63" spans="1:4" x14ac:dyDescent="0.25">
      <c r="A63" t="s">
        <v>80</v>
      </c>
      <c r="B63" t="s">
        <v>1695</v>
      </c>
      <c r="C63" t="s">
        <v>2941</v>
      </c>
      <c r="D63">
        <v>16</v>
      </c>
    </row>
    <row r="64" spans="1:4" x14ac:dyDescent="0.25">
      <c r="A64" t="s">
        <v>80</v>
      </c>
      <c r="B64" t="s">
        <v>743</v>
      </c>
      <c r="C64" t="s">
        <v>976</v>
      </c>
      <c r="D64">
        <v>19</v>
      </c>
    </row>
    <row r="65" spans="1:4" x14ac:dyDescent="0.25">
      <c r="A65" t="s">
        <v>80</v>
      </c>
      <c r="B65" t="s">
        <v>317</v>
      </c>
      <c r="C65" t="s">
        <v>977</v>
      </c>
      <c r="D65">
        <v>21</v>
      </c>
    </row>
    <row r="66" spans="1:4" x14ac:dyDescent="0.25">
      <c r="A66" t="s">
        <v>80</v>
      </c>
      <c r="B66" t="s">
        <v>1129</v>
      </c>
      <c r="C66" t="s">
        <v>4397</v>
      </c>
      <c r="D66">
        <v>19</v>
      </c>
    </row>
    <row r="67" spans="1:4" x14ac:dyDescent="0.25">
      <c r="A67" t="s">
        <v>80</v>
      </c>
      <c r="B67" t="s">
        <v>417</v>
      </c>
      <c r="C67" t="s">
        <v>2091</v>
      </c>
      <c r="D67">
        <v>21</v>
      </c>
    </row>
    <row r="68" spans="1:4" x14ac:dyDescent="0.25">
      <c r="A68" t="s">
        <v>80</v>
      </c>
      <c r="B68" t="s">
        <v>1222</v>
      </c>
      <c r="C68" t="s">
        <v>2092</v>
      </c>
      <c r="D68">
        <v>19</v>
      </c>
    </row>
    <row r="69" spans="1:4" x14ac:dyDescent="0.25">
      <c r="A69" t="s">
        <v>80</v>
      </c>
      <c r="B69" t="s">
        <v>2608</v>
      </c>
      <c r="C69" t="s">
        <v>4472</v>
      </c>
      <c r="D69">
        <v>21</v>
      </c>
    </row>
    <row r="70" spans="1:4" x14ac:dyDescent="0.25">
      <c r="A70" t="s">
        <v>80</v>
      </c>
      <c r="B70" t="s">
        <v>1845</v>
      </c>
      <c r="C70" t="s">
        <v>3187</v>
      </c>
      <c r="D70">
        <v>18</v>
      </c>
    </row>
    <row r="71" spans="1:4" x14ac:dyDescent="0.25">
      <c r="A71" t="s">
        <v>123</v>
      </c>
      <c r="B71" t="s">
        <v>1083</v>
      </c>
      <c r="C71" t="s">
        <v>2094</v>
      </c>
      <c r="D71">
        <v>19</v>
      </c>
    </row>
    <row r="72" spans="1:4" x14ac:dyDescent="0.25">
      <c r="A72" t="s">
        <v>123</v>
      </c>
      <c r="B72" t="s">
        <v>1083</v>
      </c>
      <c r="C72" t="s">
        <v>2095</v>
      </c>
      <c r="D72">
        <v>20</v>
      </c>
    </row>
    <row r="73" spans="1:4" x14ac:dyDescent="0.25">
      <c r="A73" t="s">
        <v>123</v>
      </c>
      <c r="B73" t="s">
        <v>205</v>
      </c>
      <c r="C73" t="s">
        <v>1479</v>
      </c>
      <c r="D73">
        <v>18</v>
      </c>
    </row>
    <row r="74" spans="1:4" x14ac:dyDescent="0.25">
      <c r="A74" t="s">
        <v>123</v>
      </c>
      <c r="B74" t="s">
        <v>205</v>
      </c>
      <c r="C74" t="s">
        <v>2947</v>
      </c>
      <c r="D74">
        <v>17</v>
      </c>
    </row>
    <row r="75" spans="1:4" x14ac:dyDescent="0.25">
      <c r="A75" t="s">
        <v>123</v>
      </c>
      <c r="B75" t="s">
        <v>1010</v>
      </c>
      <c r="C75" t="s">
        <v>2948</v>
      </c>
      <c r="D75">
        <v>20</v>
      </c>
    </row>
    <row r="76" spans="1:4" x14ac:dyDescent="0.25">
      <c r="A76" t="s">
        <v>123</v>
      </c>
      <c r="B76" t="s">
        <v>172</v>
      </c>
      <c r="C76" t="s">
        <v>3446</v>
      </c>
      <c r="D76">
        <v>18</v>
      </c>
    </row>
    <row r="77" spans="1:4" x14ac:dyDescent="0.25">
      <c r="A77" t="s">
        <v>123</v>
      </c>
      <c r="B77" t="s">
        <v>1143</v>
      </c>
      <c r="C77" t="s">
        <v>4226</v>
      </c>
      <c r="D77">
        <v>20</v>
      </c>
    </row>
    <row r="78" spans="1:4" x14ac:dyDescent="0.25">
      <c r="A78" t="s">
        <v>123</v>
      </c>
      <c r="B78" t="s">
        <v>175</v>
      </c>
      <c r="C78" t="s">
        <v>4233</v>
      </c>
      <c r="D78">
        <v>18</v>
      </c>
    </row>
    <row r="79" spans="1:4" x14ac:dyDescent="0.25">
      <c r="A79" t="s">
        <v>123</v>
      </c>
      <c r="B79" t="s">
        <v>1119</v>
      </c>
      <c r="C79" t="s">
        <v>4227</v>
      </c>
      <c r="D79">
        <v>20</v>
      </c>
    </row>
    <row r="80" spans="1:4" x14ac:dyDescent="0.25">
      <c r="A80" t="s">
        <v>123</v>
      </c>
      <c r="B80" t="s">
        <v>431</v>
      </c>
      <c r="C80" t="s">
        <v>4562</v>
      </c>
      <c r="D80">
        <v>18</v>
      </c>
    </row>
    <row r="81" spans="1:4" x14ac:dyDescent="0.25">
      <c r="A81" t="s">
        <v>123</v>
      </c>
      <c r="B81" t="s">
        <v>277</v>
      </c>
      <c r="C81" t="s">
        <v>3192</v>
      </c>
      <c r="D81">
        <v>20</v>
      </c>
    </row>
    <row r="82" spans="1:4" x14ac:dyDescent="0.25">
      <c r="A82" t="s">
        <v>123</v>
      </c>
      <c r="B82" t="s">
        <v>364</v>
      </c>
      <c r="C82" t="s">
        <v>3193</v>
      </c>
      <c r="D82">
        <v>18</v>
      </c>
    </row>
    <row r="83" spans="1:4" x14ac:dyDescent="0.25">
      <c r="A83" t="s">
        <v>123</v>
      </c>
      <c r="B83" t="s">
        <v>135</v>
      </c>
      <c r="C83" t="s">
        <v>3194</v>
      </c>
      <c r="D83">
        <v>20</v>
      </c>
    </row>
    <row r="84" spans="1:4" x14ac:dyDescent="0.25">
      <c r="A84" t="s">
        <v>123</v>
      </c>
      <c r="B84" t="s">
        <v>58</v>
      </c>
      <c r="C84" t="s">
        <v>2682</v>
      </c>
      <c r="D84">
        <v>17</v>
      </c>
    </row>
    <row r="85" spans="1:4" x14ac:dyDescent="0.25">
      <c r="A85" t="s">
        <v>123</v>
      </c>
      <c r="B85" t="s">
        <v>1817</v>
      </c>
      <c r="C85" t="s">
        <v>3711</v>
      </c>
      <c r="D85">
        <v>14</v>
      </c>
    </row>
    <row r="86" spans="1:4" x14ac:dyDescent="0.25">
      <c r="A86" t="s">
        <v>123</v>
      </c>
      <c r="B86" t="s">
        <v>104</v>
      </c>
      <c r="C86" t="s">
        <v>3712</v>
      </c>
      <c r="D86">
        <v>16</v>
      </c>
    </row>
    <row r="87" spans="1:4" x14ac:dyDescent="0.25">
      <c r="A87" t="s">
        <v>123</v>
      </c>
      <c r="B87" t="s">
        <v>701</v>
      </c>
      <c r="C87" t="s">
        <v>4563</v>
      </c>
      <c r="D87">
        <v>14</v>
      </c>
    </row>
    <row r="88" spans="1:4" x14ac:dyDescent="0.25">
      <c r="A88" t="s">
        <v>123</v>
      </c>
      <c r="B88" t="s">
        <v>285</v>
      </c>
      <c r="C88" t="s">
        <v>4415</v>
      </c>
      <c r="D88">
        <v>12</v>
      </c>
    </row>
    <row r="89" spans="1:4" x14ac:dyDescent="0.25">
      <c r="A89" t="s">
        <v>123</v>
      </c>
      <c r="B89" t="s">
        <v>544</v>
      </c>
      <c r="C89" t="s">
        <v>4564</v>
      </c>
      <c r="D89">
        <v>13</v>
      </c>
    </row>
    <row r="90" spans="1:4" x14ac:dyDescent="0.25">
      <c r="A90" t="s">
        <v>123</v>
      </c>
      <c r="B90" t="s">
        <v>414</v>
      </c>
      <c r="C90" t="s">
        <v>4565</v>
      </c>
      <c r="D90">
        <v>11</v>
      </c>
    </row>
    <row r="91" spans="1:4" x14ac:dyDescent="0.25">
      <c r="A91" t="s">
        <v>123</v>
      </c>
      <c r="B91" t="s">
        <v>1750</v>
      </c>
      <c r="C91" t="s">
        <v>1863</v>
      </c>
      <c r="D91">
        <v>10</v>
      </c>
    </row>
    <row r="92" spans="1:4" x14ac:dyDescent="0.25">
      <c r="A92" t="s">
        <v>123</v>
      </c>
      <c r="B92" t="s">
        <v>1750</v>
      </c>
      <c r="C92" t="s">
        <v>2474</v>
      </c>
      <c r="D92">
        <v>9</v>
      </c>
    </row>
    <row r="93" spans="1:4" x14ac:dyDescent="0.25">
      <c r="A93" t="s">
        <v>123</v>
      </c>
      <c r="B93" t="s">
        <v>1750</v>
      </c>
      <c r="C93" t="s">
        <v>1864</v>
      </c>
      <c r="D93">
        <v>8</v>
      </c>
    </row>
    <row r="94" spans="1:4" x14ac:dyDescent="0.25">
      <c r="A94" t="s">
        <v>123</v>
      </c>
      <c r="B94" t="s">
        <v>120</v>
      </c>
      <c r="C94" t="s">
        <v>1866</v>
      </c>
      <c r="D94">
        <v>10</v>
      </c>
    </row>
    <row r="95" spans="1:4" x14ac:dyDescent="0.25">
      <c r="A95" t="s">
        <v>123</v>
      </c>
      <c r="B95" t="s">
        <v>673</v>
      </c>
      <c r="C95" t="s">
        <v>4566</v>
      </c>
      <c r="D95">
        <v>12</v>
      </c>
    </row>
    <row r="96" spans="1:4" x14ac:dyDescent="0.25">
      <c r="A96" t="s">
        <v>123</v>
      </c>
      <c r="B96" t="s">
        <v>483</v>
      </c>
      <c r="C96" t="s">
        <v>4567</v>
      </c>
      <c r="D96">
        <v>14</v>
      </c>
    </row>
    <row r="97" spans="1:4" x14ac:dyDescent="0.25">
      <c r="A97" t="s">
        <v>123</v>
      </c>
      <c r="B97" t="s">
        <v>483</v>
      </c>
      <c r="C97" t="s">
        <v>4568</v>
      </c>
      <c r="D97">
        <v>15</v>
      </c>
    </row>
    <row r="98" spans="1:4" x14ac:dyDescent="0.25">
      <c r="A98" t="s">
        <v>123</v>
      </c>
      <c r="B98" t="s">
        <v>76</v>
      </c>
      <c r="C98" t="s">
        <v>4569</v>
      </c>
      <c r="D98">
        <v>13</v>
      </c>
    </row>
    <row r="100" spans="1:4" x14ac:dyDescent="0.25">
      <c r="A100" s="2" t="s">
        <v>157</v>
      </c>
    </row>
    <row r="101" spans="1:4" x14ac:dyDescent="0.25">
      <c r="A101" t="s">
        <v>158</v>
      </c>
      <c r="D101">
        <f>AVERAGE(D2:D98)</f>
        <v>11.391752577319588</v>
      </c>
    </row>
    <row r="102" spans="1:4" x14ac:dyDescent="0.25">
      <c r="A102" t="s">
        <v>159</v>
      </c>
      <c r="D102">
        <f>MAX(D2:D98)</f>
        <v>22</v>
      </c>
    </row>
    <row r="103" spans="1:4" x14ac:dyDescent="0.25">
      <c r="A103" t="s">
        <v>160</v>
      </c>
      <c r="D103">
        <f>MIN(D2:D98)</f>
        <v>-3</v>
      </c>
    </row>
    <row r="104" spans="1:4" x14ac:dyDescent="0.25">
      <c r="A104" t="s">
        <v>161</v>
      </c>
      <c r="D104">
        <f>COUNTIF(D2:D98,"&gt;0")</f>
        <v>85</v>
      </c>
    </row>
    <row r="105" spans="1:4" x14ac:dyDescent="0.25">
      <c r="A105" t="s">
        <v>162</v>
      </c>
      <c r="D105">
        <f>COUNTIF(D2:D98,"=0")</f>
        <v>4</v>
      </c>
    </row>
    <row r="106" spans="1:4" x14ac:dyDescent="0.25">
      <c r="A106" t="s">
        <v>4343</v>
      </c>
      <c r="D106">
        <f>COUNTIF(D2:D98,"&lt;0")</f>
        <v>8</v>
      </c>
    </row>
    <row r="108" spans="1:4" x14ac:dyDescent="0.25">
      <c r="A108" s="2" t="s">
        <v>164</v>
      </c>
    </row>
    <row r="109" spans="1:4" x14ac:dyDescent="0.25">
      <c r="A109" t="s">
        <v>165</v>
      </c>
      <c r="D109">
        <f>AVERAGE(D2,D3,D4,D5,D6,D7,D8,D9,D10,D11,D12,D13,D14,D15,D16,D17,D18,D19,D20,D21,D22,D23,D24)</f>
        <v>0.30434782608695654</v>
      </c>
    </row>
    <row r="110" spans="1:4" x14ac:dyDescent="0.25">
      <c r="A110" t="s">
        <v>166</v>
      </c>
      <c r="D110">
        <f>AVERAGE(D25,D26,D27,D28,D29,D30,D31,D32,D33,D34,D35,D36,D37,D38,D39,D40,D41,D42,D43,D44,D45)</f>
        <v>9.6190476190476186</v>
      </c>
    </row>
    <row r="111" spans="1:4" x14ac:dyDescent="0.25">
      <c r="A111" t="s">
        <v>167</v>
      </c>
      <c r="D111">
        <f>AVERAGE(D46,D47,D48,D49,D50,D51,D52,D53,D54,D55,D56,D57,D58,D59,D60,D61,D62,D63,D64,D65,D66,D67,D68,D69,D70)</f>
        <v>18.48</v>
      </c>
    </row>
    <row r="112" spans="1:4" x14ac:dyDescent="0.25">
      <c r="A112" t="s">
        <v>168</v>
      </c>
      <c r="D112">
        <f>AVERAGE(D71,D72,D73,D74,D75,D76,D77,D78,D79,D80,D81,D82,D83,D84,D85,D86,D87,D88,D89,D90,D91,D92,D93,D94,D95,D96,D97,D98)</f>
        <v>15.5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D12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4410</v>
      </c>
    </row>
    <row r="2" spans="1:4" x14ac:dyDescent="0.25">
      <c r="A2" t="s">
        <v>4</v>
      </c>
      <c r="B2" t="s">
        <v>81</v>
      </c>
      <c r="C2" t="s">
        <v>6</v>
      </c>
      <c r="D2">
        <v>2</v>
      </c>
    </row>
    <row r="3" spans="1:4" x14ac:dyDescent="0.25">
      <c r="A3" t="s">
        <v>4</v>
      </c>
      <c r="B3" t="s">
        <v>490</v>
      </c>
      <c r="C3" t="s">
        <v>3268</v>
      </c>
      <c r="D3">
        <v>1</v>
      </c>
    </row>
    <row r="4" spans="1:4" x14ac:dyDescent="0.25">
      <c r="A4" t="s">
        <v>4</v>
      </c>
      <c r="B4" t="s">
        <v>490</v>
      </c>
      <c r="C4" t="s">
        <v>8</v>
      </c>
      <c r="D4">
        <v>0</v>
      </c>
    </row>
    <row r="5" spans="1:4" x14ac:dyDescent="0.25">
      <c r="A5" t="s">
        <v>4</v>
      </c>
      <c r="B5" t="s">
        <v>9</v>
      </c>
      <c r="C5" t="s">
        <v>564</v>
      </c>
      <c r="D5">
        <v>2</v>
      </c>
    </row>
    <row r="6" spans="1:4" x14ac:dyDescent="0.25">
      <c r="A6" t="s">
        <v>4</v>
      </c>
      <c r="B6" t="s">
        <v>1851</v>
      </c>
      <c r="C6" t="s">
        <v>12</v>
      </c>
      <c r="D6">
        <v>0</v>
      </c>
    </row>
    <row r="7" spans="1:4" x14ac:dyDescent="0.25">
      <c r="A7" t="s">
        <v>4</v>
      </c>
      <c r="B7" t="s">
        <v>1280</v>
      </c>
      <c r="C7" t="s">
        <v>1106</v>
      </c>
      <c r="D7">
        <v>1</v>
      </c>
    </row>
    <row r="8" spans="1:4" x14ac:dyDescent="0.25">
      <c r="A8" t="s">
        <v>4</v>
      </c>
      <c r="B8" t="s">
        <v>865</v>
      </c>
      <c r="C8" t="s">
        <v>178</v>
      </c>
      <c r="D8">
        <v>2</v>
      </c>
    </row>
    <row r="9" spans="1:4" x14ac:dyDescent="0.25">
      <c r="A9" t="s">
        <v>4</v>
      </c>
      <c r="B9" t="s">
        <v>865</v>
      </c>
      <c r="C9" t="s">
        <v>1348</v>
      </c>
      <c r="D9">
        <v>3</v>
      </c>
    </row>
    <row r="10" spans="1:4" x14ac:dyDescent="0.25">
      <c r="A10" t="s">
        <v>4</v>
      </c>
      <c r="B10" t="s">
        <v>779</v>
      </c>
      <c r="C10" t="s">
        <v>183</v>
      </c>
      <c r="D10">
        <v>6</v>
      </c>
    </row>
    <row r="11" spans="1:4" x14ac:dyDescent="0.25">
      <c r="A11" t="s">
        <v>4</v>
      </c>
      <c r="B11" t="s">
        <v>179</v>
      </c>
      <c r="C11" t="s">
        <v>1351</v>
      </c>
      <c r="D11">
        <v>3</v>
      </c>
    </row>
    <row r="12" spans="1:4" x14ac:dyDescent="0.25">
      <c r="A12" t="s">
        <v>4</v>
      </c>
      <c r="B12" t="s">
        <v>651</v>
      </c>
      <c r="C12" t="s">
        <v>1110</v>
      </c>
      <c r="D12">
        <v>0</v>
      </c>
    </row>
    <row r="13" spans="1:4" x14ac:dyDescent="0.25">
      <c r="A13" t="s">
        <v>4</v>
      </c>
      <c r="B13" t="s">
        <v>2154</v>
      </c>
      <c r="C13" t="s">
        <v>917</v>
      </c>
      <c r="D13">
        <v>2</v>
      </c>
    </row>
    <row r="14" spans="1:4" x14ac:dyDescent="0.25">
      <c r="A14" t="s">
        <v>4</v>
      </c>
      <c r="B14" t="s">
        <v>2154</v>
      </c>
      <c r="C14" t="s">
        <v>918</v>
      </c>
      <c r="D14">
        <v>3</v>
      </c>
    </row>
    <row r="15" spans="1:4" x14ac:dyDescent="0.25">
      <c r="A15" t="s">
        <v>4</v>
      </c>
      <c r="B15" t="s">
        <v>1819</v>
      </c>
      <c r="C15" t="s">
        <v>1818</v>
      </c>
      <c r="D15">
        <v>2</v>
      </c>
    </row>
    <row r="16" spans="1:4" x14ac:dyDescent="0.25">
      <c r="A16" t="s">
        <v>4</v>
      </c>
      <c r="B16" t="s">
        <v>519</v>
      </c>
      <c r="C16" t="s">
        <v>1435</v>
      </c>
      <c r="D16">
        <v>-1</v>
      </c>
    </row>
    <row r="17" spans="1:4" x14ac:dyDescent="0.25">
      <c r="A17" t="s">
        <v>4</v>
      </c>
      <c r="B17" t="s">
        <v>766</v>
      </c>
      <c r="C17" t="s">
        <v>34</v>
      </c>
      <c r="D17">
        <v>0</v>
      </c>
    </row>
    <row r="18" spans="1:4" x14ac:dyDescent="0.25">
      <c r="A18" t="s">
        <v>4</v>
      </c>
      <c r="B18" t="s">
        <v>766</v>
      </c>
      <c r="C18" t="s">
        <v>921</v>
      </c>
      <c r="D18">
        <v>1</v>
      </c>
    </row>
    <row r="19" spans="1:4" x14ac:dyDescent="0.25">
      <c r="A19" t="s">
        <v>4</v>
      </c>
      <c r="B19" t="s">
        <v>544</v>
      </c>
      <c r="C19" t="s">
        <v>705</v>
      </c>
      <c r="D19">
        <v>-1</v>
      </c>
    </row>
    <row r="20" spans="1:4" x14ac:dyDescent="0.25">
      <c r="A20" t="s">
        <v>4</v>
      </c>
      <c r="B20" t="s">
        <v>1073</v>
      </c>
      <c r="C20" t="s">
        <v>707</v>
      </c>
      <c r="D20">
        <v>1</v>
      </c>
    </row>
    <row r="21" spans="1:4" x14ac:dyDescent="0.25">
      <c r="A21" t="s">
        <v>4</v>
      </c>
      <c r="B21" t="s">
        <v>1073</v>
      </c>
      <c r="C21" t="s">
        <v>789</v>
      </c>
      <c r="D21">
        <v>2</v>
      </c>
    </row>
    <row r="22" spans="1:4" x14ac:dyDescent="0.25">
      <c r="A22" t="s">
        <v>4</v>
      </c>
      <c r="B22" t="s">
        <v>667</v>
      </c>
      <c r="C22" t="s">
        <v>790</v>
      </c>
      <c r="D22">
        <v>4</v>
      </c>
    </row>
    <row r="23" spans="1:4" x14ac:dyDescent="0.25">
      <c r="A23" t="s">
        <v>4</v>
      </c>
      <c r="B23" t="s">
        <v>1422</v>
      </c>
      <c r="C23" t="s">
        <v>792</v>
      </c>
      <c r="D23">
        <v>1</v>
      </c>
    </row>
    <row r="24" spans="1:4" x14ac:dyDescent="0.25">
      <c r="A24" t="s">
        <v>4</v>
      </c>
      <c r="B24" t="s">
        <v>448</v>
      </c>
      <c r="C24" t="s">
        <v>925</v>
      </c>
      <c r="D24">
        <v>4</v>
      </c>
    </row>
    <row r="25" spans="1:4" x14ac:dyDescent="0.25">
      <c r="A25" t="s">
        <v>4</v>
      </c>
      <c r="B25" t="s">
        <v>120</v>
      </c>
      <c r="C25" t="s">
        <v>1823</v>
      </c>
      <c r="D25">
        <v>2</v>
      </c>
    </row>
    <row r="26" spans="1:4" x14ac:dyDescent="0.25">
      <c r="A26" t="s">
        <v>4</v>
      </c>
      <c r="B26" t="s">
        <v>554</v>
      </c>
      <c r="C26" t="s">
        <v>1439</v>
      </c>
      <c r="D26">
        <v>4</v>
      </c>
    </row>
    <row r="27" spans="1:4" x14ac:dyDescent="0.25">
      <c r="A27" t="s">
        <v>4</v>
      </c>
      <c r="B27" t="s">
        <v>554</v>
      </c>
      <c r="C27" t="s">
        <v>212</v>
      </c>
      <c r="D27">
        <v>5</v>
      </c>
    </row>
    <row r="28" spans="1:4" x14ac:dyDescent="0.25">
      <c r="A28" t="s">
        <v>4</v>
      </c>
      <c r="B28" t="s">
        <v>770</v>
      </c>
      <c r="C28" t="s">
        <v>214</v>
      </c>
      <c r="D28">
        <v>3</v>
      </c>
    </row>
    <row r="29" spans="1:4" x14ac:dyDescent="0.25">
      <c r="A29" t="s">
        <v>4</v>
      </c>
      <c r="B29" t="s">
        <v>770</v>
      </c>
      <c r="C29" t="s">
        <v>336</v>
      </c>
      <c r="D29">
        <v>2</v>
      </c>
    </row>
    <row r="30" spans="1:4" x14ac:dyDescent="0.25">
      <c r="A30" t="s">
        <v>40</v>
      </c>
      <c r="B30" t="s">
        <v>2151</v>
      </c>
      <c r="C30" t="s">
        <v>338</v>
      </c>
      <c r="D30">
        <v>4</v>
      </c>
    </row>
    <row r="31" spans="1:4" x14ac:dyDescent="0.25">
      <c r="A31" t="s">
        <v>40</v>
      </c>
      <c r="B31" t="s">
        <v>1665</v>
      </c>
      <c r="C31" t="s">
        <v>1753</v>
      </c>
      <c r="D31">
        <v>2</v>
      </c>
    </row>
    <row r="32" spans="1:4" x14ac:dyDescent="0.25">
      <c r="A32" t="s">
        <v>40</v>
      </c>
      <c r="B32" t="s">
        <v>1665</v>
      </c>
      <c r="C32" t="s">
        <v>2125</v>
      </c>
      <c r="D32">
        <v>1</v>
      </c>
    </row>
    <row r="33" spans="1:4" x14ac:dyDescent="0.25">
      <c r="A33" t="s">
        <v>40</v>
      </c>
      <c r="B33" t="s">
        <v>305</v>
      </c>
      <c r="C33" t="s">
        <v>59</v>
      </c>
      <c r="D33">
        <v>-1</v>
      </c>
    </row>
    <row r="34" spans="1:4" x14ac:dyDescent="0.25">
      <c r="A34" t="s">
        <v>40</v>
      </c>
      <c r="B34" t="s">
        <v>1010</v>
      </c>
      <c r="C34" t="s">
        <v>61</v>
      </c>
      <c r="D34">
        <v>-3</v>
      </c>
    </row>
    <row r="35" spans="1:4" x14ac:dyDescent="0.25">
      <c r="A35" t="s">
        <v>40</v>
      </c>
      <c r="B35" t="s">
        <v>51</v>
      </c>
      <c r="C35" t="s">
        <v>63</v>
      </c>
      <c r="D35">
        <v>-1</v>
      </c>
    </row>
    <row r="36" spans="1:4" x14ac:dyDescent="0.25">
      <c r="A36" t="s">
        <v>40</v>
      </c>
      <c r="B36" t="s">
        <v>132</v>
      </c>
      <c r="C36" t="s">
        <v>345</v>
      </c>
      <c r="D36">
        <v>0</v>
      </c>
    </row>
    <row r="37" spans="1:4" x14ac:dyDescent="0.25">
      <c r="A37" t="s">
        <v>40</v>
      </c>
      <c r="B37" t="s">
        <v>132</v>
      </c>
      <c r="C37" t="s">
        <v>725</v>
      </c>
      <c r="D37">
        <v>1</v>
      </c>
    </row>
    <row r="38" spans="1:4" x14ac:dyDescent="0.25">
      <c r="A38" t="s">
        <v>40</v>
      </c>
      <c r="B38" t="s">
        <v>1958</v>
      </c>
      <c r="C38" t="s">
        <v>466</v>
      </c>
      <c r="D38">
        <v>0</v>
      </c>
    </row>
    <row r="39" spans="1:4" x14ac:dyDescent="0.25">
      <c r="A39" t="s">
        <v>40</v>
      </c>
      <c r="B39" t="s">
        <v>1958</v>
      </c>
      <c r="C39" t="s">
        <v>1756</v>
      </c>
      <c r="D39">
        <v>-1</v>
      </c>
    </row>
    <row r="40" spans="1:4" x14ac:dyDescent="0.25">
      <c r="A40" t="s">
        <v>40</v>
      </c>
      <c r="B40" t="s">
        <v>834</v>
      </c>
      <c r="C40" t="s">
        <v>728</v>
      </c>
      <c r="D40">
        <v>2</v>
      </c>
    </row>
    <row r="41" spans="1:4" x14ac:dyDescent="0.25">
      <c r="A41" t="s">
        <v>40</v>
      </c>
      <c r="B41" t="s">
        <v>1227</v>
      </c>
      <c r="C41" t="s">
        <v>2725</v>
      </c>
      <c r="D41">
        <v>-1</v>
      </c>
    </row>
    <row r="42" spans="1:4" x14ac:dyDescent="0.25">
      <c r="A42" t="s">
        <v>40</v>
      </c>
      <c r="B42" t="s">
        <v>95</v>
      </c>
      <c r="C42" t="s">
        <v>2486</v>
      </c>
      <c r="D42">
        <v>1</v>
      </c>
    </row>
    <row r="43" spans="1:4" x14ac:dyDescent="0.25">
      <c r="A43" t="s">
        <v>40</v>
      </c>
      <c r="B43" t="s">
        <v>872</v>
      </c>
      <c r="C43" t="s">
        <v>2269</v>
      </c>
      <c r="D43">
        <v>4</v>
      </c>
    </row>
    <row r="44" spans="1:4" x14ac:dyDescent="0.25">
      <c r="A44" t="s">
        <v>40</v>
      </c>
      <c r="B44" t="s">
        <v>374</v>
      </c>
      <c r="C44" t="s">
        <v>1671</v>
      </c>
      <c r="D44">
        <v>6</v>
      </c>
    </row>
    <row r="45" spans="1:4" x14ac:dyDescent="0.25">
      <c r="A45" t="s">
        <v>40</v>
      </c>
      <c r="B45" t="s">
        <v>440</v>
      </c>
      <c r="C45" t="s">
        <v>1943</v>
      </c>
      <c r="D45">
        <v>9</v>
      </c>
    </row>
    <row r="46" spans="1:4" x14ac:dyDescent="0.25">
      <c r="A46" t="s">
        <v>40</v>
      </c>
      <c r="B46" t="s">
        <v>1396</v>
      </c>
      <c r="C46" t="s">
        <v>3208</v>
      </c>
      <c r="D46">
        <v>7</v>
      </c>
    </row>
    <row r="47" spans="1:4" x14ac:dyDescent="0.25">
      <c r="A47" t="s">
        <v>40</v>
      </c>
      <c r="B47" t="s">
        <v>990</v>
      </c>
      <c r="C47" t="s">
        <v>1676</v>
      </c>
      <c r="D47">
        <v>10</v>
      </c>
    </row>
    <row r="48" spans="1:4" x14ac:dyDescent="0.25">
      <c r="A48" t="s">
        <v>40</v>
      </c>
      <c r="B48" t="s">
        <v>477</v>
      </c>
      <c r="C48" t="s">
        <v>3016</v>
      </c>
      <c r="D48">
        <v>12</v>
      </c>
    </row>
    <row r="49" spans="1:4" x14ac:dyDescent="0.25">
      <c r="A49" t="s">
        <v>40</v>
      </c>
      <c r="B49" t="s">
        <v>1402</v>
      </c>
      <c r="C49" t="s">
        <v>1947</v>
      </c>
      <c r="D49">
        <v>14</v>
      </c>
    </row>
    <row r="50" spans="1:4" x14ac:dyDescent="0.25">
      <c r="A50" t="s">
        <v>40</v>
      </c>
      <c r="B50" t="s">
        <v>72</v>
      </c>
      <c r="C50" t="s">
        <v>2664</v>
      </c>
      <c r="D50">
        <v>17</v>
      </c>
    </row>
    <row r="51" spans="1:4" x14ac:dyDescent="0.25">
      <c r="A51" t="s">
        <v>40</v>
      </c>
      <c r="B51" t="s">
        <v>999</v>
      </c>
      <c r="C51" t="s">
        <v>3129</v>
      </c>
      <c r="D51">
        <v>16</v>
      </c>
    </row>
    <row r="52" spans="1:4" x14ac:dyDescent="0.25">
      <c r="A52" t="s">
        <v>40</v>
      </c>
      <c r="B52" t="s">
        <v>999</v>
      </c>
      <c r="C52" t="s">
        <v>2665</v>
      </c>
      <c r="D52">
        <v>15</v>
      </c>
    </row>
    <row r="53" spans="1:4" x14ac:dyDescent="0.25">
      <c r="A53" t="s">
        <v>40</v>
      </c>
      <c r="B53" t="s">
        <v>33</v>
      </c>
      <c r="C53" t="s">
        <v>2822</v>
      </c>
      <c r="D53">
        <v>17</v>
      </c>
    </row>
    <row r="54" spans="1:4" x14ac:dyDescent="0.25">
      <c r="A54" t="s">
        <v>40</v>
      </c>
      <c r="B54" t="s">
        <v>972</v>
      </c>
      <c r="C54" t="s">
        <v>2787</v>
      </c>
      <c r="D54">
        <v>16</v>
      </c>
    </row>
    <row r="55" spans="1:4" x14ac:dyDescent="0.25">
      <c r="A55" t="s">
        <v>40</v>
      </c>
      <c r="B55" t="s">
        <v>78</v>
      </c>
      <c r="C55" t="s">
        <v>2666</v>
      </c>
      <c r="D55">
        <v>14</v>
      </c>
    </row>
    <row r="56" spans="1:4" x14ac:dyDescent="0.25">
      <c r="A56" t="s">
        <v>80</v>
      </c>
      <c r="B56" t="s">
        <v>907</v>
      </c>
      <c r="C56" t="s">
        <v>1461</v>
      </c>
      <c r="D56">
        <v>12</v>
      </c>
    </row>
    <row r="57" spans="1:4" x14ac:dyDescent="0.25">
      <c r="A57" t="s">
        <v>80</v>
      </c>
      <c r="B57" t="s">
        <v>2421</v>
      </c>
      <c r="C57" t="s">
        <v>4143</v>
      </c>
      <c r="D57">
        <v>14</v>
      </c>
    </row>
    <row r="58" spans="1:4" x14ac:dyDescent="0.25">
      <c r="A58" t="s">
        <v>80</v>
      </c>
      <c r="B58" t="s">
        <v>269</v>
      </c>
      <c r="C58" t="s">
        <v>3686</v>
      </c>
      <c r="D58">
        <v>16</v>
      </c>
    </row>
    <row r="59" spans="1:4" x14ac:dyDescent="0.25">
      <c r="A59" t="s">
        <v>80</v>
      </c>
      <c r="B59" t="s">
        <v>616</v>
      </c>
      <c r="C59" t="s">
        <v>2791</v>
      </c>
      <c r="D59">
        <v>14</v>
      </c>
    </row>
    <row r="60" spans="1:4" x14ac:dyDescent="0.25">
      <c r="A60" t="s">
        <v>80</v>
      </c>
      <c r="B60" t="s">
        <v>693</v>
      </c>
      <c r="C60" t="s">
        <v>968</v>
      </c>
      <c r="D60">
        <v>17</v>
      </c>
    </row>
    <row r="61" spans="1:4" x14ac:dyDescent="0.25">
      <c r="A61" t="s">
        <v>80</v>
      </c>
      <c r="B61" t="s">
        <v>175</v>
      </c>
      <c r="C61" t="s">
        <v>4144</v>
      </c>
      <c r="D61">
        <v>15</v>
      </c>
    </row>
    <row r="62" spans="1:4" x14ac:dyDescent="0.25">
      <c r="A62" t="s">
        <v>80</v>
      </c>
      <c r="B62" t="s">
        <v>1011</v>
      </c>
      <c r="C62" t="s">
        <v>2793</v>
      </c>
      <c r="D62">
        <v>14</v>
      </c>
    </row>
    <row r="63" spans="1:4" x14ac:dyDescent="0.25">
      <c r="A63" t="s">
        <v>80</v>
      </c>
      <c r="B63" t="s">
        <v>1011</v>
      </c>
      <c r="C63" t="s">
        <v>4032</v>
      </c>
      <c r="D63">
        <v>13</v>
      </c>
    </row>
    <row r="64" spans="1:4" x14ac:dyDescent="0.25">
      <c r="A64" t="s">
        <v>80</v>
      </c>
      <c r="B64" t="s">
        <v>1529</v>
      </c>
      <c r="C64" t="s">
        <v>2938</v>
      </c>
      <c r="D64">
        <v>14</v>
      </c>
    </row>
    <row r="65" spans="1:4" x14ac:dyDescent="0.25">
      <c r="A65" t="s">
        <v>80</v>
      </c>
      <c r="B65" t="s">
        <v>1683</v>
      </c>
      <c r="C65" t="s">
        <v>2987</v>
      </c>
      <c r="D65">
        <v>13</v>
      </c>
    </row>
    <row r="66" spans="1:4" x14ac:dyDescent="0.25">
      <c r="A66" t="s">
        <v>80</v>
      </c>
      <c r="B66" t="s">
        <v>213</v>
      </c>
      <c r="C66" t="s">
        <v>2989</v>
      </c>
      <c r="D66">
        <v>11</v>
      </c>
    </row>
    <row r="67" spans="1:4" x14ac:dyDescent="0.25">
      <c r="A67" t="s">
        <v>80</v>
      </c>
      <c r="B67" t="s">
        <v>2080</v>
      </c>
      <c r="C67" t="s">
        <v>3734</v>
      </c>
      <c r="D67">
        <v>14</v>
      </c>
    </row>
    <row r="68" spans="1:4" x14ac:dyDescent="0.25">
      <c r="A68" t="s">
        <v>80</v>
      </c>
      <c r="B68" t="s">
        <v>698</v>
      </c>
      <c r="C68" t="s">
        <v>2868</v>
      </c>
      <c r="D68">
        <v>12</v>
      </c>
    </row>
    <row r="69" spans="1:4" x14ac:dyDescent="0.25">
      <c r="A69" t="s">
        <v>80</v>
      </c>
      <c r="B69" t="s">
        <v>698</v>
      </c>
      <c r="C69" t="s">
        <v>1469</v>
      </c>
      <c r="D69">
        <v>11</v>
      </c>
    </row>
    <row r="70" spans="1:4" x14ac:dyDescent="0.25">
      <c r="A70" t="s">
        <v>80</v>
      </c>
      <c r="B70" t="s">
        <v>1775</v>
      </c>
      <c r="C70" t="s">
        <v>1470</v>
      </c>
      <c r="D70">
        <v>14</v>
      </c>
    </row>
    <row r="71" spans="1:4" x14ac:dyDescent="0.25">
      <c r="A71" t="s">
        <v>80</v>
      </c>
      <c r="B71" t="s">
        <v>435</v>
      </c>
      <c r="C71" t="s">
        <v>2886</v>
      </c>
      <c r="D71">
        <v>16</v>
      </c>
    </row>
    <row r="72" spans="1:4" x14ac:dyDescent="0.25">
      <c r="A72" t="s">
        <v>80</v>
      </c>
      <c r="B72" t="s">
        <v>628</v>
      </c>
      <c r="C72" t="s">
        <v>2887</v>
      </c>
      <c r="D72">
        <v>14</v>
      </c>
    </row>
    <row r="73" spans="1:4" x14ac:dyDescent="0.25">
      <c r="A73" t="s">
        <v>80</v>
      </c>
      <c r="B73" t="s">
        <v>628</v>
      </c>
      <c r="C73" t="s">
        <v>1473</v>
      </c>
      <c r="D73">
        <v>13</v>
      </c>
    </row>
    <row r="74" spans="1:4" x14ac:dyDescent="0.25">
      <c r="A74" t="s">
        <v>80</v>
      </c>
      <c r="B74" t="s">
        <v>1695</v>
      </c>
      <c r="C74" t="s">
        <v>2676</v>
      </c>
      <c r="D74">
        <v>16</v>
      </c>
    </row>
    <row r="75" spans="1:4" x14ac:dyDescent="0.25">
      <c r="A75" t="s">
        <v>80</v>
      </c>
      <c r="B75" t="s">
        <v>104</v>
      </c>
      <c r="C75" t="s">
        <v>3187</v>
      </c>
      <c r="D75">
        <v>18</v>
      </c>
    </row>
    <row r="76" spans="1:4" x14ac:dyDescent="0.25">
      <c r="A76" t="s">
        <v>80</v>
      </c>
      <c r="B76" t="s">
        <v>2562</v>
      </c>
      <c r="C76" t="s">
        <v>3188</v>
      </c>
      <c r="D76">
        <v>15</v>
      </c>
    </row>
    <row r="77" spans="1:4" x14ac:dyDescent="0.25">
      <c r="A77" t="s">
        <v>80</v>
      </c>
      <c r="B77" t="s">
        <v>924</v>
      </c>
      <c r="C77" t="s">
        <v>2947</v>
      </c>
      <c r="D77">
        <v>17</v>
      </c>
    </row>
    <row r="78" spans="1:4" x14ac:dyDescent="0.25">
      <c r="A78" t="s">
        <v>80</v>
      </c>
      <c r="B78" t="s">
        <v>845</v>
      </c>
      <c r="C78" t="s">
        <v>986</v>
      </c>
      <c r="D78">
        <v>19</v>
      </c>
    </row>
    <row r="79" spans="1:4" x14ac:dyDescent="0.25">
      <c r="A79" t="s">
        <v>80</v>
      </c>
      <c r="B79" t="s">
        <v>845</v>
      </c>
      <c r="C79" t="s">
        <v>2948</v>
      </c>
      <c r="D79">
        <v>20</v>
      </c>
    </row>
    <row r="80" spans="1:4" x14ac:dyDescent="0.25">
      <c r="A80" t="s">
        <v>80</v>
      </c>
      <c r="B80" t="s">
        <v>503</v>
      </c>
      <c r="C80" t="s">
        <v>2844</v>
      </c>
      <c r="D80">
        <v>21</v>
      </c>
    </row>
    <row r="81" spans="1:4" x14ac:dyDescent="0.25">
      <c r="A81" t="s">
        <v>80</v>
      </c>
      <c r="B81" t="s">
        <v>417</v>
      </c>
      <c r="C81" t="s">
        <v>2845</v>
      </c>
      <c r="D81">
        <v>19</v>
      </c>
    </row>
    <row r="82" spans="1:4" x14ac:dyDescent="0.25">
      <c r="A82" t="s">
        <v>80</v>
      </c>
      <c r="B82" t="s">
        <v>389</v>
      </c>
      <c r="C82" t="s">
        <v>2846</v>
      </c>
      <c r="D82">
        <v>21</v>
      </c>
    </row>
    <row r="83" spans="1:4" x14ac:dyDescent="0.25">
      <c r="A83" t="s">
        <v>80</v>
      </c>
      <c r="B83" t="s">
        <v>346</v>
      </c>
      <c r="C83" t="s">
        <v>3691</v>
      </c>
      <c r="D83">
        <v>19</v>
      </c>
    </row>
    <row r="84" spans="1:4" x14ac:dyDescent="0.25">
      <c r="A84" t="s">
        <v>123</v>
      </c>
      <c r="B84" t="s">
        <v>1024</v>
      </c>
      <c r="C84" t="s">
        <v>3855</v>
      </c>
      <c r="D84">
        <v>17</v>
      </c>
    </row>
    <row r="85" spans="1:4" x14ac:dyDescent="0.25">
      <c r="A85" t="s">
        <v>123</v>
      </c>
      <c r="B85" t="s">
        <v>689</v>
      </c>
      <c r="C85" t="s">
        <v>3693</v>
      </c>
      <c r="D85">
        <v>19</v>
      </c>
    </row>
    <row r="86" spans="1:4" x14ac:dyDescent="0.25">
      <c r="A86" t="s">
        <v>123</v>
      </c>
      <c r="B86" t="s">
        <v>2443</v>
      </c>
      <c r="C86" t="s">
        <v>4400</v>
      </c>
      <c r="D86">
        <v>17</v>
      </c>
    </row>
    <row r="87" spans="1:4" x14ac:dyDescent="0.25">
      <c r="A87" t="s">
        <v>123</v>
      </c>
      <c r="B87" t="s">
        <v>616</v>
      </c>
      <c r="C87" t="s">
        <v>4447</v>
      </c>
      <c r="D87">
        <v>19</v>
      </c>
    </row>
    <row r="88" spans="1:4" x14ac:dyDescent="0.25">
      <c r="A88" t="s">
        <v>123</v>
      </c>
      <c r="B88" t="s">
        <v>1408</v>
      </c>
      <c r="C88" t="s">
        <v>3194</v>
      </c>
      <c r="D88">
        <v>20</v>
      </c>
    </row>
    <row r="89" spans="1:4" x14ac:dyDescent="0.25">
      <c r="A89" t="s">
        <v>123</v>
      </c>
      <c r="B89" t="s">
        <v>1408</v>
      </c>
      <c r="C89" t="s">
        <v>3857</v>
      </c>
      <c r="D89">
        <v>21</v>
      </c>
    </row>
    <row r="90" spans="1:4" x14ac:dyDescent="0.25">
      <c r="A90" t="s">
        <v>123</v>
      </c>
      <c r="B90" t="s">
        <v>588</v>
      </c>
      <c r="C90" t="s">
        <v>1003</v>
      </c>
      <c r="D90">
        <v>18</v>
      </c>
    </row>
    <row r="91" spans="1:4" x14ac:dyDescent="0.25">
      <c r="A91" t="s">
        <v>123</v>
      </c>
      <c r="B91" t="s">
        <v>132</v>
      </c>
      <c r="C91" t="s">
        <v>2291</v>
      </c>
      <c r="D91">
        <v>16</v>
      </c>
    </row>
    <row r="92" spans="1:4" x14ac:dyDescent="0.25">
      <c r="A92" t="s">
        <v>123</v>
      </c>
      <c r="B92" t="s">
        <v>1755</v>
      </c>
      <c r="C92" t="s">
        <v>2855</v>
      </c>
      <c r="D92">
        <v>19</v>
      </c>
    </row>
    <row r="93" spans="1:4" x14ac:dyDescent="0.25">
      <c r="A93" t="s">
        <v>123</v>
      </c>
      <c r="B93" t="s">
        <v>1432</v>
      </c>
      <c r="C93" t="s">
        <v>2108</v>
      </c>
      <c r="D93">
        <v>21</v>
      </c>
    </row>
    <row r="94" spans="1:4" x14ac:dyDescent="0.25">
      <c r="A94" t="s">
        <v>123</v>
      </c>
      <c r="B94" t="s">
        <v>1231</v>
      </c>
      <c r="C94" t="s">
        <v>4570</v>
      </c>
      <c r="D94">
        <v>19</v>
      </c>
    </row>
    <row r="95" spans="1:4" x14ac:dyDescent="0.25">
      <c r="A95" t="s">
        <v>123</v>
      </c>
      <c r="B95" t="s">
        <v>1108</v>
      </c>
      <c r="C95" t="s">
        <v>4571</v>
      </c>
      <c r="D95">
        <v>21</v>
      </c>
    </row>
    <row r="96" spans="1:4" x14ac:dyDescent="0.25">
      <c r="A96" t="s">
        <v>123</v>
      </c>
      <c r="B96" t="s">
        <v>701</v>
      </c>
      <c r="C96" t="s">
        <v>4572</v>
      </c>
      <c r="D96">
        <v>23</v>
      </c>
    </row>
    <row r="97" spans="1:4" x14ac:dyDescent="0.25">
      <c r="A97" t="s">
        <v>123</v>
      </c>
      <c r="B97" t="s">
        <v>1198</v>
      </c>
      <c r="C97" t="s">
        <v>4573</v>
      </c>
      <c r="D97">
        <v>20</v>
      </c>
    </row>
    <row r="98" spans="1:4" x14ac:dyDescent="0.25">
      <c r="A98" t="s">
        <v>123</v>
      </c>
      <c r="B98" t="s">
        <v>894</v>
      </c>
      <c r="C98" t="s">
        <v>4574</v>
      </c>
      <c r="D98">
        <v>22</v>
      </c>
    </row>
    <row r="99" spans="1:4" x14ac:dyDescent="0.25">
      <c r="A99" t="s">
        <v>123</v>
      </c>
      <c r="B99" t="s">
        <v>1843</v>
      </c>
      <c r="C99" t="s">
        <v>4575</v>
      </c>
      <c r="D99">
        <v>19</v>
      </c>
    </row>
    <row r="100" spans="1:4" x14ac:dyDescent="0.25">
      <c r="A100" t="s">
        <v>123</v>
      </c>
      <c r="B100" t="s">
        <v>1402</v>
      </c>
      <c r="C100" t="s">
        <v>4576</v>
      </c>
      <c r="D100">
        <v>21</v>
      </c>
    </row>
    <row r="101" spans="1:4" x14ac:dyDescent="0.25">
      <c r="A101" t="s">
        <v>123</v>
      </c>
      <c r="B101" t="s">
        <v>120</v>
      </c>
      <c r="C101" t="s">
        <v>4577</v>
      </c>
      <c r="D101">
        <v>20</v>
      </c>
    </row>
    <row r="102" spans="1:4" x14ac:dyDescent="0.25">
      <c r="A102" t="s">
        <v>123</v>
      </c>
      <c r="B102" t="s">
        <v>120</v>
      </c>
      <c r="C102" t="s">
        <v>4578</v>
      </c>
      <c r="D102">
        <v>19</v>
      </c>
    </row>
    <row r="103" spans="1:4" x14ac:dyDescent="0.25">
      <c r="A103" t="s">
        <v>123</v>
      </c>
      <c r="B103" t="s">
        <v>1204</v>
      </c>
      <c r="C103" t="s">
        <v>4579</v>
      </c>
      <c r="D103">
        <v>21</v>
      </c>
    </row>
    <row r="104" spans="1:4" x14ac:dyDescent="0.25">
      <c r="A104" t="s">
        <v>123</v>
      </c>
      <c r="B104" t="s">
        <v>675</v>
      </c>
      <c r="C104" t="s">
        <v>4580</v>
      </c>
      <c r="D104">
        <v>20</v>
      </c>
    </row>
    <row r="105" spans="1:4" x14ac:dyDescent="0.25">
      <c r="A105" t="s">
        <v>123</v>
      </c>
      <c r="B105" t="s">
        <v>675</v>
      </c>
      <c r="C105" t="s">
        <v>4581</v>
      </c>
      <c r="D105">
        <v>19</v>
      </c>
    </row>
    <row r="106" spans="1:4" x14ac:dyDescent="0.25">
      <c r="A106" t="s">
        <v>123</v>
      </c>
      <c r="B106" t="s">
        <v>1990</v>
      </c>
      <c r="C106" t="s">
        <v>4582</v>
      </c>
      <c r="D106">
        <v>20</v>
      </c>
    </row>
    <row r="107" spans="1:4" x14ac:dyDescent="0.25">
      <c r="A107" t="s">
        <v>123</v>
      </c>
      <c r="B107" t="s">
        <v>1990</v>
      </c>
      <c r="C107" t="s">
        <v>4583</v>
      </c>
      <c r="D107">
        <v>21</v>
      </c>
    </row>
    <row r="109" spans="1:4" x14ac:dyDescent="0.25">
      <c r="A109" s="2" t="s">
        <v>157</v>
      </c>
    </row>
    <row r="110" spans="1:4" x14ac:dyDescent="0.25">
      <c r="A110" t="s">
        <v>158</v>
      </c>
      <c r="D110">
        <f>AVERAGE(D2:D107)</f>
        <v>10.556603773584905</v>
      </c>
    </row>
    <row r="111" spans="1:4" x14ac:dyDescent="0.25">
      <c r="A111" t="s">
        <v>159</v>
      </c>
      <c r="D111">
        <f>MAX(D2:D107)</f>
        <v>23</v>
      </c>
    </row>
    <row r="112" spans="1:4" x14ac:dyDescent="0.25">
      <c r="A112" t="s">
        <v>160</v>
      </c>
      <c r="D112">
        <f>MIN(D2:D107)</f>
        <v>-3</v>
      </c>
    </row>
    <row r="113" spans="1:4" x14ac:dyDescent="0.25">
      <c r="A113" t="s">
        <v>161</v>
      </c>
      <c r="D113">
        <f>COUNTIF(D2:D107,"&gt;0")</f>
        <v>93</v>
      </c>
    </row>
    <row r="114" spans="1:4" x14ac:dyDescent="0.25">
      <c r="A114" t="s">
        <v>162</v>
      </c>
      <c r="D114">
        <f>COUNTIF(D2:D107,"=0")</f>
        <v>6</v>
      </c>
    </row>
    <row r="115" spans="1:4" x14ac:dyDescent="0.25">
      <c r="A115" t="s">
        <v>4412</v>
      </c>
      <c r="D115">
        <f>COUNTIF(D2:D107,"&lt;0")</f>
        <v>7</v>
      </c>
    </row>
    <row r="117" spans="1:4" x14ac:dyDescent="0.25">
      <c r="A117" s="2" t="s">
        <v>164</v>
      </c>
    </row>
    <row r="118" spans="1:4" x14ac:dyDescent="0.25">
      <c r="A118" t="s">
        <v>165</v>
      </c>
      <c r="D118">
        <f>AVERAGE(D2,D3,D4,D5,D6,D7,D8,D9,D10,D11,D12,D13,D14,D15,D16,D17,D18,D19,D20,D21,D22,D23,D24,D25,D26,D27,D28,D29)</f>
        <v>1.9285714285714286</v>
      </c>
    </row>
    <row r="119" spans="1:4" x14ac:dyDescent="0.25">
      <c r="A119" t="s">
        <v>166</v>
      </c>
      <c r="D119">
        <f>AVERAGE(D30,D31,D32,D33,D34,D35,D36,D37,D38,D39,D40,D41,D42,D43,D44,D45,D46,D47,D48,D49,D50,D51,D52,D53,D54,D55)</f>
        <v>6.1923076923076925</v>
      </c>
    </row>
    <row r="120" spans="1:4" x14ac:dyDescent="0.25">
      <c r="A120" t="s">
        <v>167</v>
      </c>
      <c r="D120">
        <f>AVERAGE(D56,D57,D58,D59,D60,D61,D62,D63,D64,D65,D66,D67,D68,D69,D70,D71,D72,D73,D74,D75,D76,D77,D78,D79,D80,D81,D82,D83)</f>
        <v>15.428571428571429</v>
      </c>
    </row>
    <row r="121" spans="1:4" x14ac:dyDescent="0.25">
      <c r="A121" t="s">
        <v>168</v>
      </c>
      <c r="D121">
        <f>AVERAGE(D84,D85,D86,D87,D88,D89,D90,D91,D92,D93,D94,D95,D96,D97,D98,D99,D100,D101,D102,D103,D104,D105,D106,D107)</f>
        <v>19.666666666666668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D11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2117</v>
      </c>
    </row>
    <row r="2" spans="1:4" x14ac:dyDescent="0.25">
      <c r="A2" t="s">
        <v>4</v>
      </c>
      <c r="B2" t="s">
        <v>239</v>
      </c>
      <c r="C2" t="s">
        <v>171</v>
      </c>
      <c r="D2">
        <v>3</v>
      </c>
    </row>
    <row r="3" spans="1:4" x14ac:dyDescent="0.25">
      <c r="A3" t="s">
        <v>4</v>
      </c>
      <c r="B3" t="s">
        <v>932</v>
      </c>
      <c r="C3" t="s">
        <v>174</v>
      </c>
      <c r="D3">
        <v>1</v>
      </c>
    </row>
    <row r="4" spans="1:4" x14ac:dyDescent="0.25">
      <c r="A4" t="s">
        <v>4</v>
      </c>
      <c r="B4" t="s">
        <v>1765</v>
      </c>
      <c r="C4" t="s">
        <v>1347</v>
      </c>
      <c r="D4">
        <v>3</v>
      </c>
    </row>
    <row r="5" spans="1:4" x14ac:dyDescent="0.25">
      <c r="A5" t="s">
        <v>4</v>
      </c>
      <c r="B5" t="s">
        <v>935</v>
      </c>
      <c r="C5" t="s">
        <v>176</v>
      </c>
      <c r="D5">
        <v>4</v>
      </c>
    </row>
    <row r="6" spans="1:4" x14ac:dyDescent="0.25">
      <c r="A6" t="s">
        <v>4</v>
      </c>
      <c r="B6" t="s">
        <v>935</v>
      </c>
      <c r="C6" t="s">
        <v>2592</v>
      </c>
      <c r="D6">
        <v>5</v>
      </c>
    </row>
    <row r="7" spans="1:4" x14ac:dyDescent="0.25">
      <c r="A7" t="s">
        <v>4</v>
      </c>
      <c r="B7" t="s">
        <v>723</v>
      </c>
      <c r="C7" t="s">
        <v>432</v>
      </c>
      <c r="D7">
        <v>2</v>
      </c>
    </row>
    <row r="8" spans="1:4" x14ac:dyDescent="0.25">
      <c r="A8" t="s">
        <v>4</v>
      </c>
      <c r="B8" t="s">
        <v>458</v>
      </c>
      <c r="C8" t="s">
        <v>1012</v>
      </c>
      <c r="D8">
        <v>4</v>
      </c>
    </row>
    <row r="9" spans="1:4" x14ac:dyDescent="0.25">
      <c r="A9" t="s">
        <v>4</v>
      </c>
      <c r="B9" t="s">
        <v>1325</v>
      </c>
      <c r="C9" t="s">
        <v>569</v>
      </c>
      <c r="D9">
        <v>2</v>
      </c>
    </row>
    <row r="10" spans="1:4" x14ac:dyDescent="0.25">
      <c r="A10" t="s">
        <v>4</v>
      </c>
      <c r="B10" t="s">
        <v>1146</v>
      </c>
      <c r="C10" t="s">
        <v>784</v>
      </c>
      <c r="D10">
        <v>5</v>
      </c>
    </row>
    <row r="11" spans="1:4" x14ac:dyDescent="0.25">
      <c r="A11" t="s">
        <v>4</v>
      </c>
      <c r="B11" t="s">
        <v>2510</v>
      </c>
      <c r="C11" t="s">
        <v>26</v>
      </c>
      <c r="D11">
        <v>3</v>
      </c>
    </row>
    <row r="12" spans="1:4" x14ac:dyDescent="0.25">
      <c r="A12" t="s">
        <v>4</v>
      </c>
      <c r="B12" t="s">
        <v>433</v>
      </c>
      <c r="C12" t="s">
        <v>2155</v>
      </c>
      <c r="D12">
        <v>0</v>
      </c>
    </row>
    <row r="13" spans="1:4" x14ac:dyDescent="0.25">
      <c r="A13" t="s">
        <v>4</v>
      </c>
      <c r="B13" t="s">
        <v>2431</v>
      </c>
      <c r="C13" t="s">
        <v>1746</v>
      </c>
      <c r="D13">
        <v>-3</v>
      </c>
    </row>
    <row r="14" spans="1:4" x14ac:dyDescent="0.25">
      <c r="A14" t="s">
        <v>4</v>
      </c>
      <c r="B14" t="s">
        <v>2158</v>
      </c>
      <c r="C14" t="s">
        <v>35</v>
      </c>
      <c r="D14">
        <v>-1</v>
      </c>
    </row>
    <row r="15" spans="1:4" x14ac:dyDescent="0.25">
      <c r="A15" t="s">
        <v>4</v>
      </c>
      <c r="B15" t="s">
        <v>1228</v>
      </c>
      <c r="C15" t="s">
        <v>2204</v>
      </c>
      <c r="D15">
        <v>-3</v>
      </c>
    </row>
    <row r="16" spans="1:4" x14ac:dyDescent="0.25">
      <c r="A16" t="s">
        <v>4</v>
      </c>
      <c r="B16" t="s">
        <v>1151</v>
      </c>
      <c r="C16" t="s">
        <v>1505</v>
      </c>
      <c r="D16">
        <v>-2</v>
      </c>
    </row>
    <row r="17" spans="1:4" x14ac:dyDescent="0.25">
      <c r="A17" t="s">
        <v>4</v>
      </c>
      <c r="B17" t="s">
        <v>64</v>
      </c>
      <c r="C17" t="s">
        <v>1820</v>
      </c>
      <c r="D17">
        <v>0</v>
      </c>
    </row>
    <row r="18" spans="1:4" x14ac:dyDescent="0.25">
      <c r="A18" t="s">
        <v>4</v>
      </c>
      <c r="B18" t="s">
        <v>114</v>
      </c>
      <c r="C18" t="s">
        <v>39</v>
      </c>
      <c r="D18">
        <v>-1</v>
      </c>
    </row>
    <row r="19" spans="1:4" x14ac:dyDescent="0.25">
      <c r="A19" t="s">
        <v>4</v>
      </c>
      <c r="B19" t="s">
        <v>116</v>
      </c>
      <c r="C19" t="s">
        <v>1507</v>
      </c>
      <c r="D19">
        <v>-3</v>
      </c>
    </row>
    <row r="20" spans="1:4" x14ac:dyDescent="0.25">
      <c r="A20" t="s">
        <v>4</v>
      </c>
      <c r="B20" t="s">
        <v>27</v>
      </c>
      <c r="C20" t="s">
        <v>2264</v>
      </c>
      <c r="D20">
        <v>-2</v>
      </c>
    </row>
    <row r="21" spans="1:4" x14ac:dyDescent="0.25">
      <c r="A21" t="s">
        <v>4</v>
      </c>
      <c r="B21" t="s">
        <v>198</v>
      </c>
      <c r="C21" t="s">
        <v>2327</v>
      </c>
      <c r="D21">
        <v>-4</v>
      </c>
    </row>
    <row r="22" spans="1:4" x14ac:dyDescent="0.25">
      <c r="A22" t="s">
        <v>4</v>
      </c>
      <c r="B22" t="s">
        <v>581</v>
      </c>
      <c r="C22" t="s">
        <v>454</v>
      </c>
      <c r="D22">
        <v>-2</v>
      </c>
    </row>
    <row r="23" spans="1:4" x14ac:dyDescent="0.25">
      <c r="A23" t="s">
        <v>4</v>
      </c>
      <c r="B23" t="s">
        <v>296</v>
      </c>
      <c r="C23" t="s">
        <v>4474</v>
      </c>
      <c r="D23">
        <v>0</v>
      </c>
    </row>
    <row r="24" spans="1:4" x14ac:dyDescent="0.25">
      <c r="A24" t="s">
        <v>4</v>
      </c>
      <c r="B24" t="s">
        <v>1646</v>
      </c>
      <c r="C24" t="s">
        <v>455</v>
      </c>
      <c r="D24">
        <v>1</v>
      </c>
    </row>
    <row r="25" spans="1:4" x14ac:dyDescent="0.25">
      <c r="A25" t="s">
        <v>4</v>
      </c>
      <c r="B25" t="s">
        <v>1276</v>
      </c>
      <c r="C25" t="s">
        <v>2702</v>
      </c>
      <c r="D25">
        <v>-1</v>
      </c>
    </row>
    <row r="26" spans="1:4" x14ac:dyDescent="0.25">
      <c r="A26" t="s">
        <v>40</v>
      </c>
      <c r="B26" t="s">
        <v>352</v>
      </c>
      <c r="C26" t="s">
        <v>456</v>
      </c>
      <c r="D26">
        <v>-2</v>
      </c>
    </row>
    <row r="27" spans="1:4" x14ac:dyDescent="0.25">
      <c r="A27" t="s">
        <v>40</v>
      </c>
      <c r="B27" t="s">
        <v>2570</v>
      </c>
      <c r="C27" t="s">
        <v>457</v>
      </c>
      <c r="D27">
        <v>0</v>
      </c>
    </row>
    <row r="28" spans="1:4" x14ac:dyDescent="0.25">
      <c r="A28" t="s">
        <v>40</v>
      </c>
      <c r="B28" t="s">
        <v>691</v>
      </c>
      <c r="C28" t="s">
        <v>1124</v>
      </c>
      <c r="D28">
        <v>2</v>
      </c>
    </row>
    <row r="29" spans="1:4" x14ac:dyDescent="0.25">
      <c r="A29" t="s">
        <v>40</v>
      </c>
      <c r="B29" t="s">
        <v>1666</v>
      </c>
      <c r="C29" t="s">
        <v>718</v>
      </c>
      <c r="D29">
        <v>1</v>
      </c>
    </row>
    <row r="30" spans="1:4" x14ac:dyDescent="0.25">
      <c r="A30" t="s">
        <v>40</v>
      </c>
      <c r="B30" t="s">
        <v>87</v>
      </c>
      <c r="C30" t="s">
        <v>3962</v>
      </c>
      <c r="D30">
        <v>-1</v>
      </c>
    </row>
    <row r="31" spans="1:4" x14ac:dyDescent="0.25">
      <c r="A31" t="s">
        <v>40</v>
      </c>
      <c r="B31" t="s">
        <v>865</v>
      </c>
      <c r="C31" t="s">
        <v>342</v>
      </c>
      <c r="D31">
        <v>0</v>
      </c>
    </row>
    <row r="32" spans="1:4" x14ac:dyDescent="0.25">
      <c r="A32" t="s">
        <v>40</v>
      </c>
      <c r="B32" t="s">
        <v>333</v>
      </c>
      <c r="C32" t="s">
        <v>463</v>
      </c>
      <c r="D32">
        <v>-2</v>
      </c>
    </row>
    <row r="33" spans="1:4" x14ac:dyDescent="0.25">
      <c r="A33" t="s">
        <v>40</v>
      </c>
      <c r="B33" t="s">
        <v>1816</v>
      </c>
      <c r="C33" t="s">
        <v>464</v>
      </c>
      <c r="D33">
        <v>0</v>
      </c>
    </row>
    <row r="34" spans="1:4" x14ac:dyDescent="0.25">
      <c r="A34" t="s">
        <v>40</v>
      </c>
      <c r="B34" t="s">
        <v>1105</v>
      </c>
      <c r="C34" t="s">
        <v>63</v>
      </c>
      <c r="D34">
        <v>-1</v>
      </c>
    </row>
    <row r="35" spans="1:4" x14ac:dyDescent="0.25">
      <c r="A35" t="s">
        <v>40</v>
      </c>
      <c r="B35" t="s">
        <v>1105</v>
      </c>
      <c r="C35" t="s">
        <v>65</v>
      </c>
      <c r="D35">
        <v>-2</v>
      </c>
    </row>
    <row r="36" spans="1:4" x14ac:dyDescent="0.25">
      <c r="A36" t="s">
        <v>40</v>
      </c>
      <c r="B36" t="s">
        <v>1598</v>
      </c>
      <c r="C36" t="s">
        <v>1717</v>
      </c>
      <c r="D36">
        <v>-4</v>
      </c>
    </row>
    <row r="37" spans="1:4" x14ac:dyDescent="0.25">
      <c r="A37" t="s">
        <v>40</v>
      </c>
      <c r="B37" t="s">
        <v>1231</v>
      </c>
      <c r="C37" t="s">
        <v>1827</v>
      </c>
      <c r="D37">
        <v>-2</v>
      </c>
    </row>
    <row r="38" spans="1:4" x14ac:dyDescent="0.25">
      <c r="A38" t="s">
        <v>40</v>
      </c>
      <c r="B38" t="s">
        <v>1503</v>
      </c>
      <c r="C38" t="s">
        <v>609</v>
      </c>
      <c r="D38">
        <v>-5</v>
      </c>
    </row>
    <row r="39" spans="1:4" x14ac:dyDescent="0.25">
      <c r="A39" t="s">
        <v>40</v>
      </c>
      <c r="B39" t="s">
        <v>984</v>
      </c>
      <c r="C39" t="s">
        <v>73</v>
      </c>
      <c r="D39">
        <v>-6</v>
      </c>
    </row>
    <row r="40" spans="1:4" x14ac:dyDescent="0.25">
      <c r="A40" t="s">
        <v>40</v>
      </c>
      <c r="B40" t="s">
        <v>702</v>
      </c>
      <c r="C40" t="s">
        <v>1719</v>
      </c>
      <c r="D40">
        <v>-5</v>
      </c>
    </row>
    <row r="41" spans="1:4" x14ac:dyDescent="0.25">
      <c r="A41" t="s">
        <v>40</v>
      </c>
      <c r="B41" t="s">
        <v>317</v>
      </c>
      <c r="C41" t="s">
        <v>2215</v>
      </c>
      <c r="D41">
        <v>-7</v>
      </c>
    </row>
    <row r="42" spans="1:4" x14ac:dyDescent="0.25">
      <c r="A42" t="s">
        <v>40</v>
      </c>
      <c r="B42" t="s">
        <v>288</v>
      </c>
      <c r="C42" t="s">
        <v>3587</v>
      </c>
      <c r="D42">
        <v>-10</v>
      </c>
    </row>
    <row r="43" spans="1:4" x14ac:dyDescent="0.25">
      <c r="A43" t="s">
        <v>40</v>
      </c>
      <c r="B43" t="s">
        <v>788</v>
      </c>
      <c r="C43" t="s">
        <v>4330</v>
      </c>
      <c r="D43">
        <v>-8</v>
      </c>
    </row>
    <row r="44" spans="1:4" x14ac:dyDescent="0.25">
      <c r="A44" t="s">
        <v>40</v>
      </c>
      <c r="B44" t="s">
        <v>31</v>
      </c>
      <c r="C44" t="s">
        <v>615</v>
      </c>
      <c r="D44">
        <v>-7</v>
      </c>
    </row>
    <row r="45" spans="1:4" x14ac:dyDescent="0.25">
      <c r="A45" t="s">
        <v>40</v>
      </c>
      <c r="B45" t="s">
        <v>31</v>
      </c>
      <c r="C45" t="s">
        <v>1832</v>
      </c>
      <c r="D45">
        <v>-6</v>
      </c>
    </row>
    <row r="46" spans="1:4" x14ac:dyDescent="0.25">
      <c r="A46" t="s">
        <v>40</v>
      </c>
      <c r="B46" t="s">
        <v>481</v>
      </c>
      <c r="C46" t="s">
        <v>1520</v>
      </c>
      <c r="D46">
        <v>-5</v>
      </c>
    </row>
    <row r="47" spans="1:4" x14ac:dyDescent="0.25">
      <c r="A47" t="s">
        <v>40</v>
      </c>
      <c r="B47" t="s">
        <v>483</v>
      </c>
      <c r="C47" t="s">
        <v>4449</v>
      </c>
      <c r="D47">
        <v>-6</v>
      </c>
    </row>
    <row r="48" spans="1:4" x14ac:dyDescent="0.25">
      <c r="A48" t="s">
        <v>40</v>
      </c>
      <c r="B48" t="s">
        <v>1135</v>
      </c>
      <c r="C48" t="s">
        <v>2414</v>
      </c>
      <c r="D48">
        <v>-5</v>
      </c>
    </row>
    <row r="49" spans="1:4" x14ac:dyDescent="0.25">
      <c r="A49" t="s">
        <v>80</v>
      </c>
      <c r="B49" t="s">
        <v>1430</v>
      </c>
      <c r="C49" t="s">
        <v>3575</v>
      </c>
      <c r="D49">
        <v>-4</v>
      </c>
    </row>
    <row r="50" spans="1:4" x14ac:dyDescent="0.25">
      <c r="A50" t="s">
        <v>80</v>
      </c>
      <c r="B50" t="s">
        <v>932</v>
      </c>
      <c r="C50" t="s">
        <v>818</v>
      </c>
      <c r="D50">
        <v>-6</v>
      </c>
    </row>
    <row r="51" spans="1:4" x14ac:dyDescent="0.25">
      <c r="A51" t="s">
        <v>80</v>
      </c>
      <c r="B51" t="s">
        <v>859</v>
      </c>
      <c r="C51" t="s">
        <v>820</v>
      </c>
      <c r="D51">
        <v>-8</v>
      </c>
    </row>
    <row r="52" spans="1:4" x14ac:dyDescent="0.25">
      <c r="A52" t="s">
        <v>80</v>
      </c>
      <c r="B52" t="s">
        <v>2152</v>
      </c>
      <c r="C52" t="s">
        <v>821</v>
      </c>
      <c r="D52">
        <v>-7</v>
      </c>
    </row>
    <row r="53" spans="1:4" x14ac:dyDescent="0.25">
      <c r="A53" t="s">
        <v>80</v>
      </c>
      <c r="B53" t="s">
        <v>2152</v>
      </c>
      <c r="C53" t="s">
        <v>622</v>
      </c>
      <c r="D53">
        <v>-6</v>
      </c>
    </row>
    <row r="54" spans="1:4" x14ac:dyDescent="0.25">
      <c r="A54" t="s">
        <v>80</v>
      </c>
      <c r="B54" t="s">
        <v>246</v>
      </c>
      <c r="C54" t="s">
        <v>98</v>
      </c>
      <c r="D54">
        <v>-8</v>
      </c>
    </row>
    <row r="55" spans="1:4" x14ac:dyDescent="0.25">
      <c r="A55" t="s">
        <v>80</v>
      </c>
      <c r="B55" t="s">
        <v>1246</v>
      </c>
      <c r="C55" t="s">
        <v>2566</v>
      </c>
      <c r="D55">
        <v>-7</v>
      </c>
    </row>
    <row r="56" spans="1:4" x14ac:dyDescent="0.25">
      <c r="A56" t="s">
        <v>80</v>
      </c>
      <c r="B56" t="s">
        <v>1246</v>
      </c>
      <c r="C56" t="s">
        <v>100</v>
      </c>
      <c r="D56">
        <v>-6</v>
      </c>
    </row>
    <row r="57" spans="1:4" x14ac:dyDescent="0.25">
      <c r="A57" t="s">
        <v>80</v>
      </c>
      <c r="B57" t="s">
        <v>13</v>
      </c>
      <c r="C57" t="s">
        <v>103</v>
      </c>
      <c r="D57">
        <v>-8</v>
      </c>
    </row>
    <row r="58" spans="1:4" x14ac:dyDescent="0.25">
      <c r="A58" t="s">
        <v>80</v>
      </c>
      <c r="B58" t="s">
        <v>333</v>
      </c>
      <c r="C58" t="s">
        <v>2567</v>
      </c>
      <c r="D58">
        <v>-9</v>
      </c>
    </row>
    <row r="59" spans="1:4" x14ac:dyDescent="0.25">
      <c r="A59" t="s">
        <v>80</v>
      </c>
      <c r="B59" t="s">
        <v>1742</v>
      </c>
      <c r="C59" t="s">
        <v>4584</v>
      </c>
      <c r="D59">
        <v>-12</v>
      </c>
    </row>
    <row r="60" spans="1:4" x14ac:dyDescent="0.25">
      <c r="A60" t="s">
        <v>80</v>
      </c>
      <c r="B60" t="s">
        <v>363</v>
      </c>
      <c r="C60" t="s">
        <v>4168</v>
      </c>
      <c r="D60">
        <v>-11</v>
      </c>
    </row>
    <row r="61" spans="1:4" x14ac:dyDescent="0.25">
      <c r="A61" t="s">
        <v>80</v>
      </c>
      <c r="B61" t="s">
        <v>363</v>
      </c>
      <c r="C61" t="s">
        <v>4210</v>
      </c>
      <c r="D61">
        <v>-10</v>
      </c>
    </row>
    <row r="62" spans="1:4" x14ac:dyDescent="0.25">
      <c r="A62" t="s">
        <v>80</v>
      </c>
      <c r="B62" t="s">
        <v>17</v>
      </c>
      <c r="C62" t="s">
        <v>109</v>
      </c>
      <c r="D62">
        <v>-9</v>
      </c>
    </row>
    <row r="63" spans="1:4" x14ac:dyDescent="0.25">
      <c r="A63" t="s">
        <v>80</v>
      </c>
      <c r="B63" t="s">
        <v>17</v>
      </c>
      <c r="C63" t="s">
        <v>4427</v>
      </c>
      <c r="D63">
        <v>-8</v>
      </c>
    </row>
    <row r="64" spans="1:4" x14ac:dyDescent="0.25">
      <c r="A64" t="s">
        <v>80</v>
      </c>
      <c r="B64" t="s">
        <v>217</v>
      </c>
      <c r="C64" t="s">
        <v>4428</v>
      </c>
      <c r="D64">
        <v>-11</v>
      </c>
    </row>
    <row r="65" spans="1:4" x14ac:dyDescent="0.25">
      <c r="A65" t="s">
        <v>80</v>
      </c>
      <c r="B65" t="s">
        <v>188</v>
      </c>
      <c r="C65" t="s">
        <v>4429</v>
      </c>
      <c r="D65">
        <v>-9</v>
      </c>
    </row>
    <row r="66" spans="1:4" x14ac:dyDescent="0.25">
      <c r="A66" t="s">
        <v>80</v>
      </c>
      <c r="B66" t="s">
        <v>519</v>
      </c>
      <c r="C66" t="s">
        <v>3604</v>
      </c>
      <c r="D66">
        <v>-12</v>
      </c>
    </row>
    <row r="67" spans="1:4" x14ac:dyDescent="0.25">
      <c r="A67" t="s">
        <v>80</v>
      </c>
      <c r="B67" t="s">
        <v>467</v>
      </c>
      <c r="C67" t="s">
        <v>2572</v>
      </c>
      <c r="D67">
        <v>-11</v>
      </c>
    </row>
    <row r="68" spans="1:4" x14ac:dyDescent="0.25">
      <c r="A68" t="s">
        <v>80</v>
      </c>
      <c r="B68" t="s">
        <v>467</v>
      </c>
      <c r="C68" t="s">
        <v>3629</v>
      </c>
      <c r="D68">
        <v>-10</v>
      </c>
    </row>
    <row r="69" spans="1:4" x14ac:dyDescent="0.25">
      <c r="A69" t="s">
        <v>80</v>
      </c>
      <c r="B69" t="s">
        <v>25</v>
      </c>
      <c r="C69" t="s">
        <v>3630</v>
      </c>
      <c r="D69">
        <v>-12</v>
      </c>
    </row>
    <row r="70" spans="1:4" x14ac:dyDescent="0.25">
      <c r="A70" t="s">
        <v>80</v>
      </c>
      <c r="B70" t="s">
        <v>144</v>
      </c>
      <c r="C70" t="s">
        <v>2575</v>
      </c>
      <c r="D70">
        <v>-11</v>
      </c>
    </row>
    <row r="71" spans="1:4" x14ac:dyDescent="0.25">
      <c r="A71" t="s">
        <v>80</v>
      </c>
      <c r="B71" t="s">
        <v>290</v>
      </c>
      <c r="C71" t="s">
        <v>4585</v>
      </c>
      <c r="D71">
        <v>-12</v>
      </c>
    </row>
    <row r="72" spans="1:4" x14ac:dyDescent="0.25">
      <c r="A72" t="s">
        <v>80</v>
      </c>
      <c r="B72" t="s">
        <v>148</v>
      </c>
      <c r="C72" t="s">
        <v>3989</v>
      </c>
      <c r="D72">
        <v>-10</v>
      </c>
    </row>
    <row r="73" spans="1:4" x14ac:dyDescent="0.25">
      <c r="A73" t="s">
        <v>80</v>
      </c>
      <c r="B73" t="s">
        <v>529</v>
      </c>
      <c r="C73" t="s">
        <v>3607</v>
      </c>
      <c r="D73">
        <v>-12</v>
      </c>
    </row>
    <row r="74" spans="1:4" x14ac:dyDescent="0.25">
      <c r="A74" t="s">
        <v>80</v>
      </c>
      <c r="B74" t="s">
        <v>1177</v>
      </c>
      <c r="C74" t="s">
        <v>129</v>
      </c>
      <c r="D74">
        <v>-9</v>
      </c>
    </row>
    <row r="75" spans="1:4" x14ac:dyDescent="0.25">
      <c r="A75" t="s">
        <v>80</v>
      </c>
      <c r="B75" t="s">
        <v>294</v>
      </c>
      <c r="C75" t="s">
        <v>282</v>
      </c>
      <c r="D75">
        <v>-6</v>
      </c>
    </row>
    <row r="76" spans="1:4" x14ac:dyDescent="0.25">
      <c r="A76" t="s">
        <v>80</v>
      </c>
      <c r="B76" t="s">
        <v>322</v>
      </c>
      <c r="C76" t="s">
        <v>846</v>
      </c>
      <c r="D76">
        <v>-4</v>
      </c>
    </row>
    <row r="77" spans="1:4" x14ac:dyDescent="0.25">
      <c r="A77" t="s">
        <v>80</v>
      </c>
      <c r="B77" t="s">
        <v>76</v>
      </c>
      <c r="C77" t="s">
        <v>3202</v>
      </c>
      <c r="D77">
        <v>-5</v>
      </c>
    </row>
    <row r="78" spans="1:4" x14ac:dyDescent="0.25">
      <c r="A78" t="s">
        <v>80</v>
      </c>
      <c r="B78" t="s">
        <v>235</v>
      </c>
      <c r="C78" t="s">
        <v>512</v>
      </c>
      <c r="D78">
        <v>-3</v>
      </c>
    </row>
    <row r="79" spans="1:4" x14ac:dyDescent="0.25">
      <c r="A79" t="s">
        <v>123</v>
      </c>
      <c r="B79" t="s">
        <v>126</v>
      </c>
      <c r="C79" t="s">
        <v>2240</v>
      </c>
      <c r="D79">
        <v>-6</v>
      </c>
    </row>
    <row r="80" spans="1:4" x14ac:dyDescent="0.25">
      <c r="A80" t="s">
        <v>123</v>
      </c>
      <c r="B80" t="s">
        <v>269</v>
      </c>
      <c r="C80" t="s">
        <v>2241</v>
      </c>
      <c r="D80">
        <v>-4</v>
      </c>
    </row>
    <row r="81" spans="1:4" x14ac:dyDescent="0.25">
      <c r="A81" t="s">
        <v>123</v>
      </c>
      <c r="B81" t="s">
        <v>43</v>
      </c>
      <c r="C81" t="s">
        <v>2146</v>
      </c>
      <c r="D81">
        <v>-7</v>
      </c>
    </row>
    <row r="82" spans="1:4" x14ac:dyDescent="0.25">
      <c r="A82" t="s">
        <v>123</v>
      </c>
      <c r="B82" t="s">
        <v>273</v>
      </c>
      <c r="C82" t="s">
        <v>521</v>
      </c>
      <c r="D82">
        <v>-5</v>
      </c>
    </row>
    <row r="83" spans="1:4" x14ac:dyDescent="0.25">
      <c r="A83" t="s">
        <v>123</v>
      </c>
      <c r="B83" t="s">
        <v>1493</v>
      </c>
      <c r="C83" t="s">
        <v>4335</v>
      </c>
      <c r="D83">
        <v>-6</v>
      </c>
    </row>
    <row r="84" spans="1:4" x14ac:dyDescent="0.25">
      <c r="A84" t="s">
        <v>123</v>
      </c>
      <c r="B84" t="s">
        <v>1493</v>
      </c>
      <c r="C84" t="s">
        <v>2972</v>
      </c>
      <c r="D84">
        <v>-7</v>
      </c>
    </row>
    <row r="85" spans="1:4" x14ac:dyDescent="0.25">
      <c r="A85" t="s">
        <v>123</v>
      </c>
      <c r="B85" t="s">
        <v>89</v>
      </c>
      <c r="C85" t="s">
        <v>2345</v>
      </c>
      <c r="D85">
        <v>-5</v>
      </c>
    </row>
    <row r="86" spans="1:4" x14ac:dyDescent="0.25">
      <c r="A86" t="s">
        <v>123</v>
      </c>
      <c r="B86" t="s">
        <v>361</v>
      </c>
      <c r="C86" t="s">
        <v>527</v>
      </c>
      <c r="D86">
        <v>-2</v>
      </c>
    </row>
    <row r="87" spans="1:4" x14ac:dyDescent="0.25">
      <c r="A87" t="s">
        <v>123</v>
      </c>
      <c r="B87" t="s">
        <v>1723</v>
      </c>
      <c r="C87" t="s">
        <v>2316</v>
      </c>
      <c r="D87">
        <v>-4</v>
      </c>
    </row>
    <row r="88" spans="1:4" x14ac:dyDescent="0.25">
      <c r="A88" t="s">
        <v>123</v>
      </c>
      <c r="B88" t="s">
        <v>408</v>
      </c>
      <c r="C88" t="s">
        <v>532</v>
      </c>
      <c r="D88">
        <v>-1</v>
      </c>
    </row>
    <row r="89" spans="1:4" x14ac:dyDescent="0.25">
      <c r="A89" t="s">
        <v>123</v>
      </c>
      <c r="B89" t="s">
        <v>1725</v>
      </c>
      <c r="C89" t="s">
        <v>2149</v>
      </c>
      <c r="D89">
        <v>-2</v>
      </c>
    </row>
    <row r="90" spans="1:4" x14ac:dyDescent="0.25">
      <c r="A90" t="s">
        <v>123</v>
      </c>
      <c r="B90" t="s">
        <v>1725</v>
      </c>
      <c r="C90" t="s">
        <v>4586</v>
      </c>
      <c r="D90">
        <v>-3</v>
      </c>
    </row>
    <row r="91" spans="1:4" x14ac:dyDescent="0.25">
      <c r="A91" t="s">
        <v>123</v>
      </c>
      <c r="B91" t="s">
        <v>101</v>
      </c>
      <c r="C91" t="s">
        <v>2504</v>
      </c>
      <c r="D91">
        <v>-2</v>
      </c>
    </row>
    <row r="92" spans="1:4" x14ac:dyDescent="0.25">
      <c r="A92" t="s">
        <v>123</v>
      </c>
      <c r="B92" t="s">
        <v>663</v>
      </c>
      <c r="C92" t="s">
        <v>4587</v>
      </c>
      <c r="D92">
        <v>-4</v>
      </c>
    </row>
    <row r="93" spans="1:4" x14ac:dyDescent="0.25">
      <c r="A93" t="s">
        <v>123</v>
      </c>
      <c r="B93" t="s">
        <v>984</v>
      </c>
      <c r="C93" t="s">
        <v>2737</v>
      </c>
      <c r="D93">
        <v>-2</v>
      </c>
    </row>
    <row r="94" spans="1:4" x14ac:dyDescent="0.25">
      <c r="A94" t="s">
        <v>123</v>
      </c>
      <c r="B94" t="s">
        <v>984</v>
      </c>
      <c r="C94" t="s">
        <v>4588</v>
      </c>
      <c r="D94">
        <v>-1</v>
      </c>
    </row>
    <row r="95" spans="1:4" x14ac:dyDescent="0.25">
      <c r="A95" t="s">
        <v>123</v>
      </c>
      <c r="B95" t="s">
        <v>605</v>
      </c>
      <c r="C95" t="s">
        <v>866</v>
      </c>
      <c r="D95">
        <v>-3</v>
      </c>
    </row>
    <row r="96" spans="1:4" x14ac:dyDescent="0.25">
      <c r="A96" t="s">
        <v>123</v>
      </c>
      <c r="B96" t="s">
        <v>704</v>
      </c>
      <c r="C96" t="s">
        <v>3965</v>
      </c>
      <c r="D96">
        <v>-1</v>
      </c>
    </row>
    <row r="97" spans="1:4" x14ac:dyDescent="0.25">
      <c r="A97" t="s">
        <v>123</v>
      </c>
      <c r="B97" t="s">
        <v>414</v>
      </c>
      <c r="C97" t="s">
        <v>2709</v>
      </c>
      <c r="D97">
        <v>0</v>
      </c>
    </row>
    <row r="98" spans="1:4" x14ac:dyDescent="0.25">
      <c r="A98" t="s">
        <v>123</v>
      </c>
      <c r="B98" t="s">
        <v>228</v>
      </c>
      <c r="C98" t="s">
        <v>543</v>
      </c>
      <c r="D98">
        <v>1</v>
      </c>
    </row>
    <row r="99" spans="1:4" x14ac:dyDescent="0.25">
      <c r="A99" t="s">
        <v>123</v>
      </c>
      <c r="B99" t="s">
        <v>732</v>
      </c>
      <c r="C99" t="s">
        <v>1628</v>
      </c>
      <c r="D99">
        <v>3</v>
      </c>
    </row>
    <row r="100" spans="1:4" x14ac:dyDescent="0.25">
      <c r="A100" t="s">
        <v>123</v>
      </c>
      <c r="B100" t="s">
        <v>1874</v>
      </c>
      <c r="C100" t="s">
        <v>2469</v>
      </c>
      <c r="D100">
        <v>6</v>
      </c>
    </row>
    <row r="101" spans="1:4" x14ac:dyDescent="0.25">
      <c r="A101" t="s">
        <v>123</v>
      </c>
      <c r="B101" t="s">
        <v>1874</v>
      </c>
      <c r="C101" t="s">
        <v>4220</v>
      </c>
      <c r="D101">
        <v>7</v>
      </c>
    </row>
    <row r="102" spans="1:4" x14ac:dyDescent="0.25">
      <c r="A102" t="s">
        <v>123</v>
      </c>
      <c r="B102" t="s">
        <v>1874</v>
      </c>
      <c r="C102" t="s">
        <v>3076</v>
      </c>
      <c r="D102">
        <v>5</v>
      </c>
    </row>
    <row r="103" spans="1:4" x14ac:dyDescent="0.25">
      <c r="A103" t="s">
        <v>123</v>
      </c>
      <c r="B103" t="s">
        <v>301</v>
      </c>
      <c r="C103" t="s">
        <v>4589</v>
      </c>
      <c r="D103">
        <v>7</v>
      </c>
    </row>
    <row r="105" spans="1:4" x14ac:dyDescent="0.25">
      <c r="A105" s="2" t="s">
        <v>157</v>
      </c>
    </row>
    <row r="106" spans="1:4" x14ac:dyDescent="0.25">
      <c r="A106" t="s">
        <v>158</v>
      </c>
      <c r="D106">
        <f>AVERAGE(D2:D103)</f>
        <v>-3.5490196078431371</v>
      </c>
    </row>
    <row r="107" spans="1:4" x14ac:dyDescent="0.25">
      <c r="A107" t="s">
        <v>159</v>
      </c>
      <c r="D107">
        <f>MAX(D2:D103)</f>
        <v>7</v>
      </c>
    </row>
    <row r="108" spans="1:4" x14ac:dyDescent="0.25">
      <c r="A108" t="s">
        <v>160</v>
      </c>
      <c r="D108">
        <f>MIN(D2:D103)</f>
        <v>-12</v>
      </c>
    </row>
    <row r="109" spans="1:4" x14ac:dyDescent="0.25">
      <c r="A109" t="s">
        <v>161</v>
      </c>
      <c r="D109">
        <f>COUNTIF(D2:D103,"&gt;0")</f>
        <v>19</v>
      </c>
    </row>
    <row r="110" spans="1:4" x14ac:dyDescent="0.25">
      <c r="A110" t="s">
        <v>162</v>
      </c>
      <c r="D110">
        <f>COUNTIF(D2:D103,"=0")</f>
        <v>7</v>
      </c>
    </row>
    <row r="111" spans="1:4" x14ac:dyDescent="0.25">
      <c r="A111" t="s">
        <v>2150</v>
      </c>
      <c r="D111">
        <f>COUNTIF(D2:D103,"&lt;0")</f>
        <v>76</v>
      </c>
    </row>
    <row r="113" spans="1:4" x14ac:dyDescent="0.25">
      <c r="A113" s="2" t="s">
        <v>164</v>
      </c>
    </row>
    <row r="114" spans="1:4" x14ac:dyDescent="0.25">
      <c r="A114" t="s">
        <v>165</v>
      </c>
      <c r="D114">
        <f>AVERAGE(D2,D3,D4,D5,D6,D7,D8,D9,D10,D11,D12,D13,D14,D15,D16,D17,D18,D19,D20,D21,D22,D23,D24,D25)</f>
        <v>0.45833333333333331</v>
      </c>
    </row>
    <row r="115" spans="1:4" x14ac:dyDescent="0.25">
      <c r="A115" t="s">
        <v>166</v>
      </c>
      <c r="D115">
        <f>AVERAGE(D26,D27,D28,D29,D30,D31,D32,D33,D34,D35,D36,D37,D38,D39,D40,D41,D42,D43,D44,D45,D46,D47,D48)</f>
        <v>-3.5217391304347827</v>
      </c>
    </row>
    <row r="116" spans="1:4" x14ac:dyDescent="0.25">
      <c r="A116" t="s">
        <v>167</v>
      </c>
      <c r="D116">
        <f>AVERAGE(D49,D50,D51,D52,D53,D54,D55,D56,D57,D58,D59,D60,D61,D62,D63,D64,D65,D66,D67,D68,D69,D70,D71,D72,D73,D74,D75,D76,D77,D78)</f>
        <v>-8.5333333333333332</v>
      </c>
    </row>
    <row r="117" spans="1:4" x14ac:dyDescent="0.25">
      <c r="A117" t="s">
        <v>168</v>
      </c>
      <c r="D117">
        <f>AVERAGE(D79,D80,D81,D82,D83,D84,D85,D86,D87,D88,D89,D90,D91,D92,D93,D94,D95,D96,D97,D98,D99,D100,D101,D102,D103)</f>
        <v>-1.44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D9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2811</v>
      </c>
    </row>
    <row r="2" spans="1:4" x14ac:dyDescent="0.25">
      <c r="A2" t="s">
        <v>4</v>
      </c>
      <c r="B2" t="s">
        <v>41</v>
      </c>
      <c r="C2" t="s">
        <v>908</v>
      </c>
      <c r="D2">
        <v>-2</v>
      </c>
    </row>
    <row r="3" spans="1:4" x14ac:dyDescent="0.25">
      <c r="A3" t="s">
        <v>4</v>
      </c>
      <c r="B3" t="s">
        <v>1007</v>
      </c>
      <c r="C3" t="s">
        <v>1692</v>
      </c>
      <c r="D3">
        <v>-4</v>
      </c>
    </row>
    <row r="4" spans="1:4" x14ac:dyDescent="0.25">
      <c r="A4" t="s">
        <v>4</v>
      </c>
      <c r="B4" t="s">
        <v>1765</v>
      </c>
      <c r="C4" t="s">
        <v>2045</v>
      </c>
      <c r="D4">
        <v>-1</v>
      </c>
    </row>
    <row r="5" spans="1:4" x14ac:dyDescent="0.25">
      <c r="A5" t="s">
        <v>4</v>
      </c>
      <c r="B5" t="s">
        <v>2443</v>
      </c>
      <c r="C5" t="s">
        <v>911</v>
      </c>
      <c r="D5">
        <v>-4</v>
      </c>
    </row>
    <row r="6" spans="1:4" x14ac:dyDescent="0.25">
      <c r="A6" t="s">
        <v>4</v>
      </c>
      <c r="B6" t="s">
        <v>1431</v>
      </c>
      <c r="C6" t="s">
        <v>16</v>
      </c>
      <c r="D6">
        <v>-1</v>
      </c>
    </row>
    <row r="7" spans="1:4" x14ac:dyDescent="0.25">
      <c r="A7" t="s">
        <v>4</v>
      </c>
      <c r="B7" t="s">
        <v>357</v>
      </c>
      <c r="C7" t="s">
        <v>2153</v>
      </c>
      <c r="D7">
        <v>-3</v>
      </c>
    </row>
    <row r="8" spans="1:4" x14ac:dyDescent="0.25">
      <c r="A8" t="s">
        <v>4</v>
      </c>
      <c r="B8" t="s">
        <v>1529</v>
      </c>
      <c r="C8" t="s">
        <v>1697</v>
      </c>
      <c r="D8">
        <v>-6</v>
      </c>
    </row>
    <row r="9" spans="1:4" x14ac:dyDescent="0.25">
      <c r="A9" t="s">
        <v>4</v>
      </c>
      <c r="B9" t="s">
        <v>572</v>
      </c>
      <c r="C9" t="s">
        <v>4162</v>
      </c>
      <c r="D9">
        <v>-8</v>
      </c>
    </row>
    <row r="10" spans="1:4" x14ac:dyDescent="0.25">
      <c r="A10" t="s">
        <v>4</v>
      </c>
      <c r="B10" t="s">
        <v>648</v>
      </c>
      <c r="C10" t="s">
        <v>3757</v>
      </c>
      <c r="D10">
        <v>-6</v>
      </c>
    </row>
    <row r="11" spans="1:4" x14ac:dyDescent="0.25">
      <c r="A11" t="s">
        <v>4</v>
      </c>
      <c r="B11" t="s">
        <v>2170</v>
      </c>
      <c r="C11" t="s">
        <v>2326</v>
      </c>
      <c r="D11">
        <v>-3</v>
      </c>
    </row>
    <row r="12" spans="1:4" x14ac:dyDescent="0.25">
      <c r="A12" t="s">
        <v>4</v>
      </c>
      <c r="B12" t="s">
        <v>1725</v>
      </c>
      <c r="C12" t="s">
        <v>34</v>
      </c>
      <c r="D12">
        <v>0</v>
      </c>
    </row>
    <row r="13" spans="1:4" x14ac:dyDescent="0.25">
      <c r="A13" t="s">
        <v>4</v>
      </c>
      <c r="B13" t="s">
        <v>628</v>
      </c>
      <c r="C13" t="s">
        <v>2298</v>
      </c>
      <c r="D13">
        <v>-2</v>
      </c>
    </row>
    <row r="14" spans="1:4" x14ac:dyDescent="0.25">
      <c r="A14" t="s">
        <v>4</v>
      </c>
      <c r="B14" t="s">
        <v>539</v>
      </c>
      <c r="C14" t="s">
        <v>1747</v>
      </c>
      <c r="D14">
        <v>0</v>
      </c>
    </row>
    <row r="15" spans="1:4" x14ac:dyDescent="0.25">
      <c r="A15" t="s">
        <v>4</v>
      </c>
      <c r="B15" t="s">
        <v>1016</v>
      </c>
      <c r="C15" t="s">
        <v>708</v>
      </c>
      <c r="D15">
        <v>3</v>
      </c>
    </row>
    <row r="16" spans="1:4" x14ac:dyDescent="0.25">
      <c r="A16" t="s">
        <v>4</v>
      </c>
      <c r="B16" t="s">
        <v>2120</v>
      </c>
      <c r="C16" t="s">
        <v>583</v>
      </c>
      <c r="D16">
        <v>1</v>
      </c>
    </row>
    <row r="17" spans="1:4" x14ac:dyDescent="0.25">
      <c r="A17" t="s">
        <v>4</v>
      </c>
      <c r="B17" t="s">
        <v>288</v>
      </c>
      <c r="C17" t="s">
        <v>791</v>
      </c>
      <c r="D17">
        <v>2</v>
      </c>
    </row>
    <row r="18" spans="1:4" x14ac:dyDescent="0.25">
      <c r="A18" t="s">
        <v>4</v>
      </c>
      <c r="B18" t="s">
        <v>288</v>
      </c>
      <c r="C18" t="s">
        <v>331</v>
      </c>
      <c r="D18">
        <v>3</v>
      </c>
    </row>
    <row r="19" spans="1:4" x14ac:dyDescent="0.25">
      <c r="A19" t="s">
        <v>4</v>
      </c>
      <c r="B19" t="s">
        <v>1335</v>
      </c>
      <c r="C19" t="s">
        <v>711</v>
      </c>
      <c r="D19">
        <v>1</v>
      </c>
    </row>
    <row r="20" spans="1:4" x14ac:dyDescent="0.25">
      <c r="A20" t="s">
        <v>4</v>
      </c>
      <c r="B20" t="s">
        <v>228</v>
      </c>
      <c r="C20" t="s">
        <v>2328</v>
      </c>
      <c r="D20">
        <v>-2</v>
      </c>
    </row>
    <row r="21" spans="1:4" x14ac:dyDescent="0.25">
      <c r="A21" t="s">
        <v>4</v>
      </c>
      <c r="B21" t="s">
        <v>477</v>
      </c>
      <c r="C21" t="s">
        <v>591</v>
      </c>
      <c r="D21">
        <v>1</v>
      </c>
    </row>
    <row r="22" spans="1:4" x14ac:dyDescent="0.25">
      <c r="A22" t="s">
        <v>4</v>
      </c>
      <c r="B22" t="s">
        <v>1177</v>
      </c>
      <c r="C22" t="s">
        <v>592</v>
      </c>
      <c r="D22">
        <v>-2</v>
      </c>
    </row>
    <row r="23" spans="1:4" x14ac:dyDescent="0.25">
      <c r="A23" t="s">
        <v>4</v>
      </c>
      <c r="B23" t="s">
        <v>996</v>
      </c>
      <c r="C23" t="s">
        <v>2331</v>
      </c>
      <c r="D23">
        <v>0</v>
      </c>
    </row>
    <row r="24" spans="1:4" x14ac:dyDescent="0.25">
      <c r="A24" t="s">
        <v>4</v>
      </c>
      <c r="B24" t="s">
        <v>74</v>
      </c>
      <c r="C24" t="s">
        <v>1753</v>
      </c>
      <c r="D24">
        <v>2</v>
      </c>
    </row>
    <row r="25" spans="1:4" x14ac:dyDescent="0.25">
      <c r="A25" t="s">
        <v>4</v>
      </c>
      <c r="B25" t="s">
        <v>817</v>
      </c>
      <c r="C25" t="s">
        <v>2125</v>
      </c>
      <c r="D25">
        <v>1</v>
      </c>
    </row>
    <row r="26" spans="1:4" x14ac:dyDescent="0.25">
      <c r="A26" t="s">
        <v>4</v>
      </c>
      <c r="B26" t="s">
        <v>817</v>
      </c>
      <c r="C26" t="s">
        <v>342</v>
      </c>
      <c r="D26">
        <v>0</v>
      </c>
    </row>
    <row r="27" spans="1:4" x14ac:dyDescent="0.25">
      <c r="A27" t="s">
        <v>40</v>
      </c>
      <c r="B27" t="s">
        <v>795</v>
      </c>
      <c r="C27" t="s">
        <v>1126</v>
      </c>
      <c r="D27">
        <v>3</v>
      </c>
    </row>
    <row r="28" spans="1:4" x14ac:dyDescent="0.25">
      <c r="A28" t="s">
        <v>40</v>
      </c>
      <c r="B28" t="s">
        <v>1138</v>
      </c>
      <c r="C28" t="s">
        <v>1128</v>
      </c>
      <c r="D28">
        <v>1</v>
      </c>
    </row>
    <row r="29" spans="1:4" x14ac:dyDescent="0.25">
      <c r="A29" t="s">
        <v>40</v>
      </c>
      <c r="B29" t="s">
        <v>2570</v>
      </c>
      <c r="C29" t="s">
        <v>1131</v>
      </c>
      <c r="D29">
        <v>3</v>
      </c>
    </row>
    <row r="30" spans="1:4" x14ac:dyDescent="0.25">
      <c r="A30" t="s">
        <v>40</v>
      </c>
      <c r="B30" t="s">
        <v>329</v>
      </c>
      <c r="C30" t="s">
        <v>1444</v>
      </c>
      <c r="D30">
        <v>5</v>
      </c>
    </row>
    <row r="31" spans="1:4" x14ac:dyDescent="0.25">
      <c r="A31" t="s">
        <v>40</v>
      </c>
      <c r="B31" t="s">
        <v>1754</v>
      </c>
      <c r="C31" t="s">
        <v>1937</v>
      </c>
      <c r="D31">
        <v>8</v>
      </c>
    </row>
    <row r="32" spans="1:4" x14ac:dyDescent="0.25">
      <c r="A32" t="s">
        <v>40</v>
      </c>
      <c r="B32" t="s">
        <v>779</v>
      </c>
      <c r="C32" t="s">
        <v>1938</v>
      </c>
      <c r="D32">
        <v>7</v>
      </c>
    </row>
    <row r="33" spans="1:4" x14ac:dyDescent="0.25">
      <c r="A33" t="s">
        <v>40</v>
      </c>
      <c r="B33" t="s">
        <v>1693</v>
      </c>
      <c r="C33" t="s">
        <v>3682</v>
      </c>
      <c r="D33">
        <v>5</v>
      </c>
    </row>
    <row r="34" spans="1:4" x14ac:dyDescent="0.25">
      <c r="A34" t="s">
        <v>40</v>
      </c>
      <c r="B34" t="s">
        <v>517</v>
      </c>
      <c r="C34" t="s">
        <v>1590</v>
      </c>
      <c r="D34">
        <v>7</v>
      </c>
    </row>
    <row r="35" spans="1:4" x14ac:dyDescent="0.25">
      <c r="A35" t="s">
        <v>40</v>
      </c>
      <c r="B35" t="s">
        <v>1816</v>
      </c>
      <c r="C35" t="s">
        <v>946</v>
      </c>
      <c r="D35">
        <v>9</v>
      </c>
    </row>
    <row r="36" spans="1:4" x14ac:dyDescent="0.25">
      <c r="A36" t="s">
        <v>40</v>
      </c>
      <c r="B36" t="s">
        <v>698</v>
      </c>
      <c r="C36" t="s">
        <v>1671</v>
      </c>
      <c r="D36">
        <v>6</v>
      </c>
    </row>
    <row r="37" spans="1:4" x14ac:dyDescent="0.25">
      <c r="A37" t="s">
        <v>40</v>
      </c>
      <c r="B37" t="s">
        <v>499</v>
      </c>
      <c r="C37" t="s">
        <v>1943</v>
      </c>
      <c r="D37">
        <v>9</v>
      </c>
    </row>
    <row r="38" spans="1:4" x14ac:dyDescent="0.25">
      <c r="A38" t="s">
        <v>40</v>
      </c>
      <c r="B38" t="s">
        <v>661</v>
      </c>
      <c r="C38" t="s">
        <v>2784</v>
      </c>
      <c r="D38">
        <v>12</v>
      </c>
    </row>
    <row r="39" spans="1:4" x14ac:dyDescent="0.25">
      <c r="A39" t="s">
        <v>40</v>
      </c>
      <c r="B39" t="s">
        <v>729</v>
      </c>
      <c r="C39" t="s">
        <v>1676</v>
      </c>
      <c r="D39">
        <v>10</v>
      </c>
    </row>
    <row r="40" spans="1:4" x14ac:dyDescent="0.25">
      <c r="A40" t="s">
        <v>40</v>
      </c>
      <c r="B40" t="s">
        <v>746</v>
      </c>
      <c r="C40" t="s">
        <v>2271</v>
      </c>
      <c r="D40">
        <v>11</v>
      </c>
    </row>
    <row r="41" spans="1:4" x14ac:dyDescent="0.25">
      <c r="A41" t="s">
        <v>40</v>
      </c>
      <c r="B41" t="s">
        <v>1698</v>
      </c>
      <c r="C41" t="s">
        <v>1947</v>
      </c>
      <c r="D41">
        <v>14</v>
      </c>
    </row>
    <row r="42" spans="1:4" x14ac:dyDescent="0.25">
      <c r="A42" t="s">
        <v>40</v>
      </c>
      <c r="B42" t="s">
        <v>192</v>
      </c>
      <c r="C42" t="s">
        <v>1948</v>
      </c>
      <c r="D42">
        <v>15</v>
      </c>
    </row>
    <row r="43" spans="1:4" x14ac:dyDescent="0.25">
      <c r="A43" t="s">
        <v>40</v>
      </c>
      <c r="B43" t="s">
        <v>114</v>
      </c>
      <c r="C43" t="s">
        <v>1949</v>
      </c>
      <c r="D43">
        <v>16</v>
      </c>
    </row>
    <row r="44" spans="1:4" x14ac:dyDescent="0.25">
      <c r="A44" t="s">
        <v>40</v>
      </c>
      <c r="B44" t="s">
        <v>114</v>
      </c>
      <c r="C44" t="s">
        <v>2664</v>
      </c>
      <c r="D44">
        <v>17</v>
      </c>
    </row>
    <row r="45" spans="1:4" x14ac:dyDescent="0.25">
      <c r="A45" t="s">
        <v>40</v>
      </c>
      <c r="B45" t="s">
        <v>1043</v>
      </c>
      <c r="C45" t="s">
        <v>3129</v>
      </c>
      <c r="D45">
        <v>16</v>
      </c>
    </row>
    <row r="46" spans="1:4" x14ac:dyDescent="0.25">
      <c r="A46" t="s">
        <v>40</v>
      </c>
      <c r="B46" t="s">
        <v>267</v>
      </c>
      <c r="C46" t="s">
        <v>3062</v>
      </c>
      <c r="D46">
        <v>18</v>
      </c>
    </row>
    <row r="47" spans="1:4" x14ac:dyDescent="0.25">
      <c r="A47" t="s">
        <v>40</v>
      </c>
      <c r="B47" t="s">
        <v>1112</v>
      </c>
      <c r="C47" t="s">
        <v>2787</v>
      </c>
      <c r="D47">
        <v>16</v>
      </c>
    </row>
    <row r="48" spans="1:4" x14ac:dyDescent="0.25">
      <c r="A48" t="s">
        <v>40</v>
      </c>
      <c r="B48" t="s">
        <v>1050</v>
      </c>
      <c r="C48" t="s">
        <v>2666</v>
      </c>
      <c r="D48">
        <v>14</v>
      </c>
    </row>
    <row r="49" spans="1:4" x14ac:dyDescent="0.25">
      <c r="A49" t="s">
        <v>40</v>
      </c>
      <c r="B49" t="s">
        <v>233</v>
      </c>
      <c r="C49" t="s">
        <v>3017</v>
      </c>
      <c r="D49">
        <v>15</v>
      </c>
    </row>
    <row r="50" spans="1:4" x14ac:dyDescent="0.25">
      <c r="A50" t="s">
        <v>40</v>
      </c>
      <c r="B50" t="s">
        <v>233</v>
      </c>
      <c r="C50" t="s">
        <v>3065</v>
      </c>
      <c r="D50">
        <v>16</v>
      </c>
    </row>
    <row r="51" spans="1:4" x14ac:dyDescent="0.25">
      <c r="A51" t="s">
        <v>40</v>
      </c>
      <c r="B51" t="s">
        <v>233</v>
      </c>
      <c r="C51" t="s">
        <v>2788</v>
      </c>
      <c r="D51">
        <v>17</v>
      </c>
    </row>
    <row r="52" spans="1:4" x14ac:dyDescent="0.25">
      <c r="A52" t="s">
        <v>80</v>
      </c>
      <c r="B52" t="s">
        <v>126</v>
      </c>
      <c r="C52" t="s">
        <v>3869</v>
      </c>
      <c r="D52">
        <v>19</v>
      </c>
    </row>
    <row r="53" spans="1:4" x14ac:dyDescent="0.25">
      <c r="A53" t="s">
        <v>80</v>
      </c>
      <c r="B53" t="s">
        <v>1267</v>
      </c>
      <c r="C53" t="s">
        <v>965</v>
      </c>
      <c r="D53">
        <v>17</v>
      </c>
    </row>
    <row r="54" spans="1:4" x14ac:dyDescent="0.25">
      <c r="A54" t="s">
        <v>80</v>
      </c>
      <c r="B54" t="s">
        <v>9</v>
      </c>
      <c r="C54" t="s">
        <v>4071</v>
      </c>
      <c r="D54">
        <v>20</v>
      </c>
    </row>
    <row r="55" spans="1:4" x14ac:dyDescent="0.25">
      <c r="A55" t="s">
        <v>80</v>
      </c>
      <c r="B55" t="s">
        <v>11</v>
      </c>
      <c r="C55" t="s">
        <v>3346</v>
      </c>
      <c r="D55">
        <v>18</v>
      </c>
    </row>
    <row r="56" spans="1:4" x14ac:dyDescent="0.25">
      <c r="A56" t="s">
        <v>80</v>
      </c>
      <c r="B56" t="s">
        <v>1143</v>
      </c>
      <c r="C56" t="s">
        <v>3135</v>
      </c>
      <c r="D56">
        <v>21</v>
      </c>
    </row>
    <row r="57" spans="1:4" x14ac:dyDescent="0.25">
      <c r="A57" t="s">
        <v>80</v>
      </c>
      <c r="B57" t="s">
        <v>333</v>
      </c>
      <c r="C57" t="s">
        <v>3848</v>
      </c>
      <c r="D57">
        <v>24</v>
      </c>
    </row>
    <row r="58" spans="1:4" x14ac:dyDescent="0.25">
      <c r="A58" t="s">
        <v>80</v>
      </c>
      <c r="B58" t="s">
        <v>834</v>
      </c>
      <c r="C58" t="s">
        <v>2833</v>
      </c>
      <c r="D58">
        <v>26</v>
      </c>
    </row>
    <row r="59" spans="1:4" x14ac:dyDescent="0.25">
      <c r="A59" t="s">
        <v>80</v>
      </c>
      <c r="B59" t="s">
        <v>834</v>
      </c>
      <c r="C59" t="s">
        <v>3251</v>
      </c>
      <c r="D59">
        <v>27</v>
      </c>
    </row>
    <row r="60" spans="1:4" x14ac:dyDescent="0.25">
      <c r="A60" t="s">
        <v>80</v>
      </c>
      <c r="B60" t="s">
        <v>184</v>
      </c>
      <c r="C60" t="s">
        <v>4590</v>
      </c>
      <c r="D60">
        <v>30</v>
      </c>
    </row>
    <row r="61" spans="1:4" x14ac:dyDescent="0.25">
      <c r="A61" t="s">
        <v>80</v>
      </c>
      <c r="B61" t="s">
        <v>1228</v>
      </c>
      <c r="C61" t="s">
        <v>4262</v>
      </c>
      <c r="D61">
        <v>27</v>
      </c>
    </row>
    <row r="62" spans="1:4" x14ac:dyDescent="0.25">
      <c r="A62" t="s">
        <v>80</v>
      </c>
      <c r="B62" t="s">
        <v>598</v>
      </c>
      <c r="C62" t="s">
        <v>1412</v>
      </c>
      <c r="D62">
        <v>29</v>
      </c>
    </row>
    <row r="63" spans="1:4" x14ac:dyDescent="0.25">
      <c r="A63" t="s">
        <v>80</v>
      </c>
      <c r="B63" t="s">
        <v>1503</v>
      </c>
      <c r="C63" t="s">
        <v>2024</v>
      </c>
      <c r="D63">
        <v>31</v>
      </c>
    </row>
    <row r="64" spans="1:4" x14ac:dyDescent="0.25">
      <c r="A64" t="s">
        <v>80</v>
      </c>
      <c r="B64" t="s">
        <v>1038</v>
      </c>
      <c r="C64" t="s">
        <v>4020</v>
      </c>
      <c r="D64">
        <v>28</v>
      </c>
    </row>
    <row r="65" spans="1:4" x14ac:dyDescent="0.25">
      <c r="A65" t="s">
        <v>80</v>
      </c>
      <c r="B65" t="s">
        <v>631</v>
      </c>
      <c r="C65" t="s">
        <v>4021</v>
      </c>
      <c r="D65">
        <v>29</v>
      </c>
    </row>
    <row r="66" spans="1:4" x14ac:dyDescent="0.25">
      <c r="A66" t="s">
        <v>80</v>
      </c>
      <c r="B66" t="s">
        <v>631</v>
      </c>
      <c r="C66" t="s">
        <v>1416</v>
      </c>
      <c r="D66">
        <v>30</v>
      </c>
    </row>
    <row r="67" spans="1:4" x14ac:dyDescent="0.25">
      <c r="A67" t="s">
        <v>80</v>
      </c>
      <c r="B67" t="s">
        <v>389</v>
      </c>
      <c r="C67" t="s">
        <v>2027</v>
      </c>
      <c r="D67">
        <v>28</v>
      </c>
    </row>
    <row r="68" spans="1:4" x14ac:dyDescent="0.25">
      <c r="A68" t="s">
        <v>80</v>
      </c>
      <c r="B68" t="s">
        <v>634</v>
      </c>
      <c r="C68" t="s">
        <v>4033</v>
      </c>
      <c r="D68">
        <v>26</v>
      </c>
    </row>
    <row r="69" spans="1:4" x14ac:dyDescent="0.25">
      <c r="A69" t="s">
        <v>123</v>
      </c>
      <c r="B69" t="s">
        <v>487</v>
      </c>
      <c r="C69" t="s">
        <v>4079</v>
      </c>
      <c r="D69">
        <v>24</v>
      </c>
    </row>
    <row r="70" spans="1:4" x14ac:dyDescent="0.25">
      <c r="A70" t="s">
        <v>123</v>
      </c>
      <c r="B70" t="s">
        <v>244</v>
      </c>
      <c r="C70" t="s">
        <v>3149</v>
      </c>
      <c r="D70">
        <v>26</v>
      </c>
    </row>
    <row r="71" spans="1:4" x14ac:dyDescent="0.25">
      <c r="A71" t="s">
        <v>123</v>
      </c>
      <c r="B71" t="s">
        <v>1190</v>
      </c>
      <c r="C71" t="s">
        <v>4591</v>
      </c>
      <c r="D71">
        <v>28</v>
      </c>
    </row>
    <row r="72" spans="1:4" x14ac:dyDescent="0.25">
      <c r="A72" t="s">
        <v>123</v>
      </c>
      <c r="B72" t="s">
        <v>1029</v>
      </c>
      <c r="C72" t="s">
        <v>1342</v>
      </c>
      <c r="D72">
        <v>31</v>
      </c>
    </row>
    <row r="73" spans="1:4" x14ac:dyDescent="0.25">
      <c r="A73" t="s">
        <v>123</v>
      </c>
      <c r="B73" t="s">
        <v>1169</v>
      </c>
      <c r="C73" t="s">
        <v>4592</v>
      </c>
      <c r="D73">
        <v>33</v>
      </c>
    </row>
    <row r="74" spans="1:4" x14ac:dyDescent="0.25">
      <c r="A74" t="s">
        <v>123</v>
      </c>
      <c r="B74" t="s">
        <v>494</v>
      </c>
      <c r="C74" t="s">
        <v>4593</v>
      </c>
      <c r="D74">
        <v>34</v>
      </c>
    </row>
    <row r="75" spans="1:4" x14ac:dyDescent="0.25">
      <c r="A75" t="s">
        <v>123</v>
      </c>
      <c r="B75" t="s">
        <v>494</v>
      </c>
      <c r="C75" t="s">
        <v>4594</v>
      </c>
      <c r="D75">
        <v>35</v>
      </c>
    </row>
    <row r="76" spans="1:4" x14ac:dyDescent="0.25">
      <c r="A76" t="s">
        <v>123</v>
      </c>
      <c r="B76" t="s">
        <v>834</v>
      </c>
      <c r="C76" t="s">
        <v>4381</v>
      </c>
      <c r="D76">
        <v>33</v>
      </c>
    </row>
    <row r="77" spans="1:4" x14ac:dyDescent="0.25">
      <c r="A77" t="s">
        <v>123</v>
      </c>
      <c r="B77" t="s">
        <v>1475</v>
      </c>
      <c r="C77" t="s">
        <v>4595</v>
      </c>
      <c r="D77">
        <v>36</v>
      </c>
    </row>
    <row r="78" spans="1:4" x14ac:dyDescent="0.25">
      <c r="A78" t="s">
        <v>123</v>
      </c>
      <c r="B78" t="s">
        <v>1198</v>
      </c>
      <c r="C78" t="s">
        <v>3530</v>
      </c>
      <c r="D78">
        <v>39</v>
      </c>
    </row>
    <row r="79" spans="1:4" x14ac:dyDescent="0.25">
      <c r="A79" t="s">
        <v>123</v>
      </c>
      <c r="B79" t="s">
        <v>110</v>
      </c>
      <c r="C79" t="s">
        <v>4596</v>
      </c>
      <c r="D79">
        <v>36</v>
      </c>
    </row>
    <row r="80" spans="1:4" x14ac:dyDescent="0.25">
      <c r="A80" t="s">
        <v>123</v>
      </c>
      <c r="B80" t="s">
        <v>704</v>
      </c>
      <c r="C80" t="s">
        <v>4597</v>
      </c>
      <c r="D80">
        <v>38</v>
      </c>
    </row>
    <row r="81" spans="1:4" x14ac:dyDescent="0.25">
      <c r="A81" t="s">
        <v>123</v>
      </c>
      <c r="B81" t="s">
        <v>546</v>
      </c>
      <c r="C81" t="s">
        <v>4598</v>
      </c>
      <c r="D81">
        <v>36</v>
      </c>
    </row>
    <row r="82" spans="1:4" x14ac:dyDescent="0.25">
      <c r="A82" t="s">
        <v>123</v>
      </c>
      <c r="B82" t="s">
        <v>579</v>
      </c>
      <c r="C82" t="s">
        <v>4599</v>
      </c>
      <c r="D82">
        <v>38</v>
      </c>
    </row>
    <row r="83" spans="1:4" x14ac:dyDescent="0.25">
      <c r="A83" t="s">
        <v>123</v>
      </c>
      <c r="B83" t="s">
        <v>1177</v>
      </c>
      <c r="C83" t="s">
        <v>4600</v>
      </c>
      <c r="D83">
        <v>36</v>
      </c>
    </row>
    <row r="84" spans="1:4" x14ac:dyDescent="0.25">
      <c r="A84" t="s">
        <v>123</v>
      </c>
      <c r="B84" t="s">
        <v>1484</v>
      </c>
      <c r="C84" t="s">
        <v>4601</v>
      </c>
      <c r="D84">
        <v>38</v>
      </c>
    </row>
    <row r="85" spans="1:4" x14ac:dyDescent="0.25">
      <c r="A85" t="s">
        <v>123</v>
      </c>
      <c r="B85" t="s">
        <v>154</v>
      </c>
      <c r="C85" t="s">
        <v>4602</v>
      </c>
      <c r="D85">
        <v>35</v>
      </c>
    </row>
    <row r="87" spans="1:4" x14ac:dyDescent="0.25">
      <c r="A87" s="2" t="s">
        <v>157</v>
      </c>
    </row>
    <row r="88" spans="1:4" x14ac:dyDescent="0.25">
      <c r="A88" t="s">
        <v>158</v>
      </c>
      <c r="D88">
        <f>AVERAGE(D2:D85)</f>
        <v>14.833333333333334</v>
      </c>
    </row>
    <row r="89" spans="1:4" x14ac:dyDescent="0.25">
      <c r="A89" t="s">
        <v>159</v>
      </c>
      <c r="D89">
        <f>MAX(D2:D85)</f>
        <v>39</v>
      </c>
    </row>
    <row r="90" spans="1:4" x14ac:dyDescent="0.25">
      <c r="A90" t="s">
        <v>160</v>
      </c>
      <c r="D90">
        <f>MIN(D2:D85)</f>
        <v>-8</v>
      </c>
    </row>
    <row r="91" spans="1:4" x14ac:dyDescent="0.25">
      <c r="A91" t="s">
        <v>161</v>
      </c>
      <c r="D91">
        <f>COUNTIF(D2:D85,"&gt;0")</f>
        <v>67</v>
      </c>
    </row>
    <row r="92" spans="1:4" x14ac:dyDescent="0.25">
      <c r="A92" t="s">
        <v>162</v>
      </c>
      <c r="D92">
        <f>COUNTIF(D2:D85,"=0")</f>
        <v>4</v>
      </c>
    </row>
    <row r="93" spans="1:4" x14ac:dyDescent="0.25">
      <c r="A93" t="s">
        <v>2857</v>
      </c>
      <c r="D93">
        <f>COUNTIF(D2:D85,"&lt;0")</f>
        <v>13</v>
      </c>
    </row>
    <row r="95" spans="1:4" x14ac:dyDescent="0.25">
      <c r="A95" s="2" t="s">
        <v>164</v>
      </c>
    </row>
    <row r="96" spans="1:4" x14ac:dyDescent="0.25">
      <c r="A96" t="s">
        <v>165</v>
      </c>
      <c r="D96">
        <f>AVERAGE(D2,D3,D4,D5,D6,D7,D8,D9,D10,D11,D12,D13,D14,D15,D16,D17,D18,D19,D20,D21,D22,D23,D24,D25,D26)</f>
        <v>-1.2</v>
      </c>
    </row>
    <row r="97" spans="1:4" x14ac:dyDescent="0.25">
      <c r="A97" t="s">
        <v>166</v>
      </c>
      <c r="D97">
        <f>AVERAGE(D27,D28,D29,D30,D31,D32,D33,D34,D35,D36,D37,D38,D39,D40,D41,D42,D43,D44,D45,D46,D47,D48,D49,D50,D51)</f>
        <v>10.8</v>
      </c>
    </row>
    <row r="98" spans="1:4" x14ac:dyDescent="0.25">
      <c r="A98" t="s">
        <v>167</v>
      </c>
      <c r="D98">
        <f>AVERAGE(D52,D53,D54,D55,D56,D57,D58,D59,D60,D61,D62,D63,D64,D65,D66,D67,D68)</f>
        <v>25.294117647058822</v>
      </c>
    </row>
    <row r="99" spans="1:4" x14ac:dyDescent="0.25">
      <c r="A99" t="s">
        <v>168</v>
      </c>
      <c r="D99">
        <f>AVERAGE(D69,D70,D71,D72,D73,D74,D75,D76,D77,D78,D79,D80,D81,D82,D83,D84,D85)</f>
        <v>33.882352941176471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D10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1571</v>
      </c>
    </row>
    <row r="2" spans="1:4" x14ac:dyDescent="0.25">
      <c r="A2" t="s">
        <v>4</v>
      </c>
      <c r="B2" t="s">
        <v>1664</v>
      </c>
      <c r="C2" t="s">
        <v>6</v>
      </c>
      <c r="D2">
        <v>2</v>
      </c>
    </row>
    <row r="3" spans="1:4" x14ac:dyDescent="0.25">
      <c r="A3" t="s">
        <v>4</v>
      </c>
      <c r="B3" t="s">
        <v>1765</v>
      </c>
      <c r="C3" t="s">
        <v>3268</v>
      </c>
      <c r="D3">
        <v>1</v>
      </c>
    </row>
    <row r="4" spans="1:4" x14ac:dyDescent="0.25">
      <c r="A4" t="s">
        <v>4</v>
      </c>
      <c r="B4" t="s">
        <v>1765</v>
      </c>
      <c r="C4" t="s">
        <v>8</v>
      </c>
      <c r="D4">
        <v>0</v>
      </c>
    </row>
    <row r="5" spans="1:4" x14ac:dyDescent="0.25">
      <c r="A5" t="s">
        <v>4</v>
      </c>
      <c r="B5" t="s">
        <v>1666</v>
      </c>
      <c r="C5" t="s">
        <v>1869</v>
      </c>
      <c r="D5">
        <v>-3</v>
      </c>
    </row>
    <row r="6" spans="1:4" x14ac:dyDescent="0.25">
      <c r="A6" t="s">
        <v>4</v>
      </c>
      <c r="B6" t="s">
        <v>172</v>
      </c>
      <c r="C6" t="s">
        <v>910</v>
      </c>
      <c r="D6">
        <v>-2</v>
      </c>
    </row>
    <row r="7" spans="1:4" x14ac:dyDescent="0.25">
      <c r="A7" t="s">
        <v>4</v>
      </c>
      <c r="B7" t="s">
        <v>172</v>
      </c>
      <c r="C7" t="s">
        <v>309</v>
      </c>
      <c r="D7">
        <v>-1</v>
      </c>
    </row>
    <row r="8" spans="1:4" x14ac:dyDescent="0.25">
      <c r="A8" t="s">
        <v>4</v>
      </c>
      <c r="B8" t="s">
        <v>261</v>
      </c>
      <c r="C8" t="s">
        <v>14</v>
      </c>
      <c r="D8">
        <v>-3</v>
      </c>
    </row>
    <row r="9" spans="1:4" x14ac:dyDescent="0.25">
      <c r="A9" t="s">
        <v>4</v>
      </c>
      <c r="B9" t="s">
        <v>411</v>
      </c>
      <c r="C9" t="s">
        <v>16</v>
      </c>
      <c r="D9">
        <v>-1</v>
      </c>
    </row>
    <row r="10" spans="1:4" x14ac:dyDescent="0.25">
      <c r="A10" t="s">
        <v>4</v>
      </c>
      <c r="B10" t="s">
        <v>667</v>
      </c>
      <c r="C10" t="s">
        <v>567</v>
      </c>
      <c r="D10">
        <v>0</v>
      </c>
    </row>
    <row r="11" spans="1:4" x14ac:dyDescent="0.25">
      <c r="A11" t="s">
        <v>4</v>
      </c>
      <c r="B11" t="s">
        <v>667</v>
      </c>
      <c r="C11" t="s">
        <v>696</v>
      </c>
      <c r="D11">
        <v>1</v>
      </c>
    </row>
    <row r="12" spans="1:4" x14ac:dyDescent="0.25">
      <c r="A12" t="s">
        <v>4</v>
      </c>
      <c r="B12" t="s">
        <v>473</v>
      </c>
      <c r="C12" t="s">
        <v>697</v>
      </c>
      <c r="D12">
        <v>-1</v>
      </c>
    </row>
    <row r="13" spans="1:4" x14ac:dyDescent="0.25">
      <c r="A13" t="s">
        <v>4</v>
      </c>
      <c r="B13" t="s">
        <v>1843</v>
      </c>
      <c r="C13" t="s">
        <v>571</v>
      </c>
      <c r="D13">
        <v>0</v>
      </c>
    </row>
    <row r="14" spans="1:4" x14ac:dyDescent="0.25">
      <c r="A14" t="s">
        <v>4</v>
      </c>
      <c r="B14" t="s">
        <v>1843</v>
      </c>
      <c r="C14" t="s">
        <v>699</v>
      </c>
      <c r="D14">
        <v>1</v>
      </c>
    </row>
    <row r="15" spans="1:4" x14ac:dyDescent="0.25">
      <c r="A15" t="s">
        <v>4</v>
      </c>
      <c r="B15" t="s">
        <v>29</v>
      </c>
      <c r="C15" t="s">
        <v>1110</v>
      </c>
      <c r="D15">
        <v>0</v>
      </c>
    </row>
    <row r="16" spans="1:4" x14ac:dyDescent="0.25">
      <c r="A16" t="s">
        <v>4</v>
      </c>
      <c r="B16" t="s">
        <v>29</v>
      </c>
      <c r="C16" t="s">
        <v>2202</v>
      </c>
      <c r="D16">
        <v>-1</v>
      </c>
    </row>
    <row r="17" spans="1:4" x14ac:dyDescent="0.25">
      <c r="A17" t="s">
        <v>4</v>
      </c>
      <c r="B17" t="s">
        <v>1484</v>
      </c>
      <c r="C17" t="s">
        <v>1818</v>
      </c>
      <c r="D17">
        <v>2</v>
      </c>
    </row>
    <row r="18" spans="1:4" x14ac:dyDescent="0.25">
      <c r="A18" t="s">
        <v>4</v>
      </c>
      <c r="B18" t="s">
        <v>233</v>
      </c>
      <c r="C18" t="s">
        <v>919</v>
      </c>
      <c r="D18">
        <v>1</v>
      </c>
    </row>
    <row r="19" spans="1:4" x14ac:dyDescent="0.25">
      <c r="A19" t="s">
        <v>4</v>
      </c>
      <c r="B19" t="s">
        <v>1809</v>
      </c>
      <c r="C19" t="s">
        <v>1435</v>
      </c>
      <c r="D19">
        <v>-1</v>
      </c>
    </row>
    <row r="20" spans="1:4" x14ac:dyDescent="0.25">
      <c r="A20" t="s">
        <v>4</v>
      </c>
      <c r="B20" t="s">
        <v>1627</v>
      </c>
      <c r="C20" t="s">
        <v>1504</v>
      </c>
      <c r="D20">
        <v>-4</v>
      </c>
    </row>
    <row r="21" spans="1:4" x14ac:dyDescent="0.25">
      <c r="A21" t="s">
        <v>40</v>
      </c>
      <c r="B21" t="s">
        <v>819</v>
      </c>
      <c r="C21" t="s">
        <v>1705</v>
      </c>
      <c r="D21">
        <v>-6</v>
      </c>
    </row>
    <row r="22" spans="1:4" x14ac:dyDescent="0.25">
      <c r="A22" t="s">
        <v>40</v>
      </c>
      <c r="B22" t="s">
        <v>2151</v>
      </c>
      <c r="C22" t="s">
        <v>3614</v>
      </c>
      <c r="D22">
        <v>-8</v>
      </c>
    </row>
    <row r="23" spans="1:4" x14ac:dyDescent="0.25">
      <c r="A23" t="s">
        <v>40</v>
      </c>
      <c r="B23" t="s">
        <v>719</v>
      </c>
      <c r="C23" t="s">
        <v>2701</v>
      </c>
      <c r="D23">
        <v>-5</v>
      </c>
    </row>
    <row r="24" spans="1:4" x14ac:dyDescent="0.25">
      <c r="A24" t="s">
        <v>40</v>
      </c>
      <c r="B24" t="s">
        <v>1027</v>
      </c>
      <c r="C24" t="s">
        <v>2403</v>
      </c>
      <c r="D24">
        <v>-8</v>
      </c>
    </row>
    <row r="25" spans="1:4" x14ac:dyDescent="0.25">
      <c r="A25" t="s">
        <v>40</v>
      </c>
      <c r="B25" t="s">
        <v>1529</v>
      </c>
      <c r="C25" t="s">
        <v>46</v>
      </c>
      <c r="D25">
        <v>-5</v>
      </c>
    </row>
    <row r="26" spans="1:4" x14ac:dyDescent="0.25">
      <c r="A26" t="s">
        <v>40</v>
      </c>
      <c r="B26" t="s">
        <v>497</v>
      </c>
      <c r="C26" t="s">
        <v>796</v>
      </c>
      <c r="D26">
        <v>-4</v>
      </c>
    </row>
    <row r="27" spans="1:4" x14ac:dyDescent="0.25">
      <c r="A27" t="s">
        <v>40</v>
      </c>
      <c r="B27" t="s">
        <v>58</v>
      </c>
      <c r="C27" t="s">
        <v>798</v>
      </c>
      <c r="D27">
        <v>-7</v>
      </c>
    </row>
    <row r="28" spans="1:4" x14ac:dyDescent="0.25">
      <c r="A28" t="s">
        <v>40</v>
      </c>
      <c r="B28" t="s">
        <v>17</v>
      </c>
      <c r="C28" t="s">
        <v>799</v>
      </c>
      <c r="D28">
        <v>-4</v>
      </c>
    </row>
    <row r="29" spans="1:4" x14ac:dyDescent="0.25">
      <c r="A29" t="s">
        <v>40</v>
      </c>
      <c r="B29" t="s">
        <v>184</v>
      </c>
      <c r="C29" t="s">
        <v>801</v>
      </c>
      <c r="D29">
        <v>-7</v>
      </c>
    </row>
    <row r="30" spans="1:4" x14ac:dyDescent="0.25">
      <c r="A30" t="s">
        <v>40</v>
      </c>
      <c r="B30" t="s">
        <v>663</v>
      </c>
      <c r="C30" t="s">
        <v>4222</v>
      </c>
      <c r="D30">
        <v>-6</v>
      </c>
    </row>
    <row r="31" spans="1:4" x14ac:dyDescent="0.25">
      <c r="A31" t="s">
        <v>40</v>
      </c>
      <c r="B31" t="s">
        <v>663</v>
      </c>
      <c r="C31" t="s">
        <v>461</v>
      </c>
      <c r="D31">
        <v>-5</v>
      </c>
    </row>
    <row r="32" spans="1:4" x14ac:dyDescent="0.25">
      <c r="A32" t="s">
        <v>40</v>
      </c>
      <c r="B32" t="s">
        <v>663</v>
      </c>
      <c r="C32" t="s">
        <v>599</v>
      </c>
      <c r="D32">
        <v>-4</v>
      </c>
    </row>
    <row r="33" spans="1:4" x14ac:dyDescent="0.25">
      <c r="A33" t="s">
        <v>40</v>
      </c>
      <c r="B33" t="s">
        <v>376</v>
      </c>
      <c r="C33" t="s">
        <v>1662</v>
      </c>
      <c r="D33">
        <v>-6</v>
      </c>
    </row>
    <row r="34" spans="1:4" x14ac:dyDescent="0.25">
      <c r="A34" t="s">
        <v>40</v>
      </c>
      <c r="B34" t="s">
        <v>984</v>
      </c>
      <c r="C34" t="s">
        <v>1663</v>
      </c>
      <c r="D34">
        <v>-3</v>
      </c>
    </row>
    <row r="35" spans="1:4" x14ac:dyDescent="0.25">
      <c r="A35" t="s">
        <v>40</v>
      </c>
      <c r="B35" t="s">
        <v>1396</v>
      </c>
      <c r="C35" t="s">
        <v>1716</v>
      </c>
      <c r="D35">
        <v>-4</v>
      </c>
    </row>
    <row r="36" spans="1:4" x14ac:dyDescent="0.25">
      <c r="A36" t="s">
        <v>40</v>
      </c>
      <c r="B36" t="s">
        <v>611</v>
      </c>
      <c r="C36" t="s">
        <v>606</v>
      </c>
      <c r="D36">
        <v>-6</v>
      </c>
    </row>
    <row r="37" spans="1:4" x14ac:dyDescent="0.25">
      <c r="A37" t="s">
        <v>40</v>
      </c>
      <c r="B37" t="s">
        <v>2390</v>
      </c>
      <c r="C37" t="s">
        <v>2333</v>
      </c>
      <c r="D37">
        <v>-4</v>
      </c>
    </row>
    <row r="38" spans="1:4" x14ac:dyDescent="0.25">
      <c r="A38" t="s">
        <v>40</v>
      </c>
      <c r="B38" t="s">
        <v>1204</v>
      </c>
      <c r="C38" t="s">
        <v>2213</v>
      </c>
      <c r="D38">
        <v>-7</v>
      </c>
    </row>
    <row r="39" spans="1:4" x14ac:dyDescent="0.25">
      <c r="A39" t="s">
        <v>40</v>
      </c>
      <c r="B39" t="s">
        <v>999</v>
      </c>
      <c r="C39" t="s">
        <v>1719</v>
      </c>
      <c r="D39">
        <v>-5</v>
      </c>
    </row>
    <row r="40" spans="1:4" x14ac:dyDescent="0.25">
      <c r="A40" t="s">
        <v>40</v>
      </c>
      <c r="B40" t="s">
        <v>1135</v>
      </c>
      <c r="C40" t="s">
        <v>2876</v>
      </c>
      <c r="D40">
        <v>-3</v>
      </c>
    </row>
    <row r="41" spans="1:4" x14ac:dyDescent="0.25">
      <c r="A41" t="s">
        <v>80</v>
      </c>
      <c r="B41" t="s">
        <v>237</v>
      </c>
      <c r="C41" t="s">
        <v>2216</v>
      </c>
      <c r="D41">
        <v>-5</v>
      </c>
    </row>
    <row r="42" spans="1:4" x14ac:dyDescent="0.25">
      <c r="A42" t="s">
        <v>80</v>
      </c>
      <c r="B42" t="s">
        <v>1024</v>
      </c>
      <c r="C42" t="s">
        <v>236</v>
      </c>
      <c r="D42">
        <v>-4</v>
      </c>
    </row>
    <row r="43" spans="1:4" x14ac:dyDescent="0.25">
      <c r="A43" t="s">
        <v>80</v>
      </c>
      <c r="B43" t="s">
        <v>1024</v>
      </c>
      <c r="C43" t="s">
        <v>2217</v>
      </c>
      <c r="D43">
        <v>-3</v>
      </c>
    </row>
    <row r="44" spans="1:4" x14ac:dyDescent="0.25">
      <c r="A44" t="s">
        <v>80</v>
      </c>
      <c r="B44" t="s">
        <v>128</v>
      </c>
      <c r="C44" t="s">
        <v>2133</v>
      </c>
      <c r="D44">
        <v>-5</v>
      </c>
    </row>
    <row r="45" spans="1:4" x14ac:dyDescent="0.25">
      <c r="A45" t="s">
        <v>80</v>
      </c>
      <c r="B45" t="s">
        <v>2405</v>
      </c>
      <c r="C45" t="s">
        <v>3973</v>
      </c>
      <c r="D45">
        <v>-8</v>
      </c>
    </row>
    <row r="46" spans="1:4" x14ac:dyDescent="0.25">
      <c r="A46" t="s">
        <v>80</v>
      </c>
      <c r="B46" t="s">
        <v>1246</v>
      </c>
      <c r="C46" t="s">
        <v>3591</v>
      </c>
      <c r="D46">
        <v>-10</v>
      </c>
    </row>
    <row r="47" spans="1:4" x14ac:dyDescent="0.25">
      <c r="A47" t="s">
        <v>80</v>
      </c>
      <c r="B47" t="s">
        <v>759</v>
      </c>
      <c r="C47" t="s">
        <v>2220</v>
      </c>
      <c r="D47">
        <v>-8</v>
      </c>
    </row>
    <row r="48" spans="1:4" x14ac:dyDescent="0.25">
      <c r="A48" t="s">
        <v>80</v>
      </c>
      <c r="B48" t="s">
        <v>1146</v>
      </c>
      <c r="C48" t="s">
        <v>2221</v>
      </c>
      <c r="D48">
        <v>-10</v>
      </c>
    </row>
    <row r="49" spans="1:4" x14ac:dyDescent="0.25">
      <c r="A49" t="s">
        <v>80</v>
      </c>
      <c r="B49" t="s">
        <v>254</v>
      </c>
      <c r="C49" t="s">
        <v>3594</v>
      </c>
      <c r="D49">
        <v>-13</v>
      </c>
    </row>
    <row r="50" spans="1:4" x14ac:dyDescent="0.25">
      <c r="A50" t="s">
        <v>80</v>
      </c>
      <c r="B50" t="s">
        <v>651</v>
      </c>
      <c r="C50" t="s">
        <v>4518</v>
      </c>
      <c r="D50">
        <v>-15</v>
      </c>
    </row>
    <row r="51" spans="1:4" x14ac:dyDescent="0.25">
      <c r="A51" t="s">
        <v>80</v>
      </c>
      <c r="B51" t="s">
        <v>1598</v>
      </c>
      <c r="C51" t="s">
        <v>3597</v>
      </c>
      <c r="D51">
        <v>-13</v>
      </c>
    </row>
    <row r="52" spans="1:4" x14ac:dyDescent="0.25">
      <c r="A52" t="s">
        <v>80</v>
      </c>
      <c r="B52" t="s">
        <v>60</v>
      </c>
      <c r="C52" t="s">
        <v>3912</v>
      </c>
      <c r="D52">
        <v>-16</v>
      </c>
    </row>
    <row r="53" spans="1:4" x14ac:dyDescent="0.25">
      <c r="A53" t="s">
        <v>80</v>
      </c>
      <c r="B53" t="s">
        <v>661</v>
      </c>
      <c r="C53" t="s">
        <v>4114</v>
      </c>
      <c r="D53">
        <v>-14</v>
      </c>
    </row>
    <row r="54" spans="1:4" x14ac:dyDescent="0.25">
      <c r="A54" t="s">
        <v>80</v>
      </c>
      <c r="B54" t="s">
        <v>2629</v>
      </c>
      <c r="C54" t="s">
        <v>4305</v>
      </c>
      <c r="D54">
        <v>-12</v>
      </c>
    </row>
    <row r="55" spans="1:4" x14ac:dyDescent="0.25">
      <c r="A55" t="s">
        <v>80</v>
      </c>
      <c r="B55" t="s">
        <v>1536</v>
      </c>
      <c r="C55" t="s">
        <v>4169</v>
      </c>
      <c r="D55">
        <v>-14</v>
      </c>
    </row>
    <row r="56" spans="1:4" x14ac:dyDescent="0.25">
      <c r="A56" t="s">
        <v>80</v>
      </c>
      <c r="B56" t="s">
        <v>1153</v>
      </c>
      <c r="C56" t="s">
        <v>4428</v>
      </c>
      <c r="D56">
        <v>-11</v>
      </c>
    </row>
    <row r="57" spans="1:4" x14ac:dyDescent="0.25">
      <c r="A57" t="s">
        <v>80</v>
      </c>
      <c r="B57" t="s">
        <v>671</v>
      </c>
      <c r="C57" t="s">
        <v>4603</v>
      </c>
      <c r="D57">
        <v>-12</v>
      </c>
    </row>
    <row r="58" spans="1:4" x14ac:dyDescent="0.25">
      <c r="A58" t="s">
        <v>80</v>
      </c>
      <c r="B58" t="s">
        <v>671</v>
      </c>
      <c r="C58" t="s">
        <v>4556</v>
      </c>
      <c r="D58">
        <v>-13</v>
      </c>
    </row>
    <row r="59" spans="1:4" x14ac:dyDescent="0.25">
      <c r="A59" t="s">
        <v>80</v>
      </c>
      <c r="B59" t="s">
        <v>152</v>
      </c>
      <c r="C59" t="s">
        <v>3920</v>
      </c>
      <c r="D59">
        <v>-15</v>
      </c>
    </row>
    <row r="60" spans="1:4" x14ac:dyDescent="0.25">
      <c r="A60" t="s">
        <v>80</v>
      </c>
      <c r="B60" t="s">
        <v>927</v>
      </c>
      <c r="C60" t="s">
        <v>4213</v>
      </c>
      <c r="D60">
        <v>-13</v>
      </c>
    </row>
    <row r="61" spans="1:4" x14ac:dyDescent="0.25">
      <c r="A61" t="s">
        <v>80</v>
      </c>
      <c r="B61" t="s">
        <v>793</v>
      </c>
      <c r="C61" t="s">
        <v>4604</v>
      </c>
      <c r="D61">
        <v>-11</v>
      </c>
    </row>
    <row r="62" spans="1:4" x14ac:dyDescent="0.25">
      <c r="A62" t="s">
        <v>80</v>
      </c>
      <c r="B62" t="s">
        <v>396</v>
      </c>
      <c r="C62" t="s">
        <v>3630</v>
      </c>
      <c r="D62">
        <v>-12</v>
      </c>
    </row>
    <row r="63" spans="1:4" x14ac:dyDescent="0.25">
      <c r="A63" t="s">
        <v>80</v>
      </c>
      <c r="B63" t="s">
        <v>396</v>
      </c>
      <c r="C63" t="s">
        <v>4254</v>
      </c>
      <c r="D63">
        <v>-13</v>
      </c>
    </row>
    <row r="64" spans="1:4" x14ac:dyDescent="0.25">
      <c r="A64" t="s">
        <v>80</v>
      </c>
      <c r="B64" t="s">
        <v>78</v>
      </c>
      <c r="C64" t="s">
        <v>4585</v>
      </c>
      <c r="D64">
        <v>-12</v>
      </c>
    </row>
    <row r="65" spans="1:4" x14ac:dyDescent="0.25">
      <c r="A65" t="s">
        <v>80</v>
      </c>
      <c r="B65" t="s">
        <v>78</v>
      </c>
      <c r="C65" t="s">
        <v>3988</v>
      </c>
      <c r="D65">
        <v>-11</v>
      </c>
    </row>
    <row r="66" spans="1:4" x14ac:dyDescent="0.25">
      <c r="A66" t="s">
        <v>123</v>
      </c>
      <c r="B66" t="s">
        <v>352</v>
      </c>
      <c r="C66" t="s">
        <v>2966</v>
      </c>
      <c r="D66">
        <v>-8</v>
      </c>
    </row>
    <row r="67" spans="1:4" x14ac:dyDescent="0.25">
      <c r="A67" t="s">
        <v>123</v>
      </c>
      <c r="B67" t="s">
        <v>427</v>
      </c>
      <c r="C67" t="s">
        <v>2234</v>
      </c>
      <c r="D67">
        <v>-5</v>
      </c>
    </row>
    <row r="68" spans="1:4" x14ac:dyDescent="0.25">
      <c r="A68" t="s">
        <v>123</v>
      </c>
      <c r="B68" t="s">
        <v>1210</v>
      </c>
      <c r="C68" t="s">
        <v>4065</v>
      </c>
      <c r="D68">
        <v>-6</v>
      </c>
    </row>
    <row r="69" spans="1:4" x14ac:dyDescent="0.25">
      <c r="A69" t="s">
        <v>123</v>
      </c>
      <c r="B69" t="s">
        <v>246</v>
      </c>
      <c r="C69" t="s">
        <v>1538</v>
      </c>
      <c r="D69">
        <v>-5</v>
      </c>
    </row>
    <row r="70" spans="1:4" x14ac:dyDescent="0.25">
      <c r="A70" t="s">
        <v>123</v>
      </c>
      <c r="B70" t="s">
        <v>590</v>
      </c>
      <c r="C70" t="s">
        <v>3201</v>
      </c>
      <c r="D70">
        <v>-3</v>
      </c>
    </row>
    <row r="71" spans="1:4" x14ac:dyDescent="0.25">
      <c r="A71" t="s">
        <v>123</v>
      </c>
      <c r="B71" t="s">
        <v>1742</v>
      </c>
      <c r="C71" t="s">
        <v>3085</v>
      </c>
      <c r="D71">
        <v>-2</v>
      </c>
    </row>
    <row r="72" spans="1:4" x14ac:dyDescent="0.25">
      <c r="A72" t="s">
        <v>123</v>
      </c>
      <c r="B72" t="s">
        <v>517</v>
      </c>
      <c r="C72" t="s">
        <v>1175</v>
      </c>
      <c r="D72">
        <v>1</v>
      </c>
    </row>
    <row r="73" spans="1:4" x14ac:dyDescent="0.25">
      <c r="A73" t="s">
        <v>123</v>
      </c>
      <c r="B73" t="s">
        <v>437</v>
      </c>
      <c r="C73" t="s">
        <v>513</v>
      </c>
      <c r="D73">
        <v>-1</v>
      </c>
    </row>
    <row r="74" spans="1:4" x14ac:dyDescent="0.25">
      <c r="A74" t="s">
        <v>123</v>
      </c>
      <c r="B74" t="s">
        <v>1016</v>
      </c>
      <c r="C74" t="s">
        <v>515</v>
      </c>
      <c r="D74">
        <v>-3</v>
      </c>
    </row>
    <row r="75" spans="1:4" x14ac:dyDescent="0.25">
      <c r="A75" t="s">
        <v>123</v>
      </c>
      <c r="B75" t="s">
        <v>1536</v>
      </c>
      <c r="C75" t="s">
        <v>516</v>
      </c>
      <c r="D75">
        <v>-1</v>
      </c>
    </row>
    <row r="76" spans="1:4" x14ac:dyDescent="0.25">
      <c r="A76" t="s">
        <v>123</v>
      </c>
      <c r="B76" t="s">
        <v>1700</v>
      </c>
      <c r="C76" t="s">
        <v>3034</v>
      </c>
      <c r="D76">
        <v>-2</v>
      </c>
    </row>
    <row r="77" spans="1:4" x14ac:dyDescent="0.25">
      <c r="A77" t="s">
        <v>123</v>
      </c>
      <c r="B77" t="s">
        <v>704</v>
      </c>
      <c r="C77" t="s">
        <v>659</v>
      </c>
      <c r="D77">
        <v>0</v>
      </c>
    </row>
    <row r="78" spans="1:4" x14ac:dyDescent="0.25">
      <c r="A78" t="s">
        <v>123</v>
      </c>
      <c r="B78" t="s">
        <v>1402</v>
      </c>
      <c r="C78" t="s">
        <v>2343</v>
      </c>
      <c r="D78">
        <v>-2</v>
      </c>
    </row>
    <row r="79" spans="1:4" x14ac:dyDescent="0.25">
      <c r="A79" t="s">
        <v>123</v>
      </c>
      <c r="B79" t="s">
        <v>552</v>
      </c>
      <c r="C79" t="s">
        <v>662</v>
      </c>
      <c r="D79">
        <v>-1</v>
      </c>
    </row>
    <row r="80" spans="1:4" x14ac:dyDescent="0.25">
      <c r="A80" t="s">
        <v>123</v>
      </c>
      <c r="B80" t="s">
        <v>552</v>
      </c>
      <c r="C80" t="s">
        <v>664</v>
      </c>
      <c r="D80">
        <v>0</v>
      </c>
    </row>
    <row r="81" spans="1:4" x14ac:dyDescent="0.25">
      <c r="A81" t="s">
        <v>123</v>
      </c>
      <c r="B81" t="s">
        <v>1990</v>
      </c>
      <c r="C81" t="s">
        <v>3964</v>
      </c>
      <c r="D81">
        <v>2</v>
      </c>
    </row>
    <row r="82" spans="1:4" x14ac:dyDescent="0.25">
      <c r="A82" t="s">
        <v>123</v>
      </c>
      <c r="B82" t="s">
        <v>1646</v>
      </c>
      <c r="C82" t="s">
        <v>4267</v>
      </c>
      <c r="D82">
        <v>1</v>
      </c>
    </row>
    <row r="83" spans="1:4" x14ac:dyDescent="0.25">
      <c r="A83" t="s">
        <v>123</v>
      </c>
      <c r="B83" t="s">
        <v>1646</v>
      </c>
      <c r="C83" t="s">
        <v>3035</v>
      </c>
      <c r="D83">
        <v>0</v>
      </c>
    </row>
    <row r="84" spans="1:4" x14ac:dyDescent="0.25">
      <c r="A84" t="s">
        <v>123</v>
      </c>
      <c r="B84" t="s">
        <v>584</v>
      </c>
      <c r="C84" t="s">
        <v>3458</v>
      </c>
      <c r="D84">
        <v>-1</v>
      </c>
    </row>
    <row r="85" spans="1:4" x14ac:dyDescent="0.25">
      <c r="A85" t="s">
        <v>123</v>
      </c>
      <c r="B85" t="s">
        <v>584</v>
      </c>
      <c r="C85" t="s">
        <v>3036</v>
      </c>
      <c r="D85">
        <v>-2</v>
      </c>
    </row>
    <row r="86" spans="1:4" x14ac:dyDescent="0.25">
      <c r="A86" t="s">
        <v>123</v>
      </c>
      <c r="B86" t="s">
        <v>817</v>
      </c>
      <c r="C86" t="s">
        <v>3579</v>
      </c>
      <c r="D86">
        <v>-1</v>
      </c>
    </row>
    <row r="87" spans="1:4" x14ac:dyDescent="0.25">
      <c r="A87" t="s">
        <v>123</v>
      </c>
      <c r="B87" t="s">
        <v>817</v>
      </c>
      <c r="C87" t="s">
        <v>3072</v>
      </c>
      <c r="D87">
        <v>0</v>
      </c>
    </row>
    <row r="88" spans="1:4" x14ac:dyDescent="0.25">
      <c r="A88" t="s">
        <v>123</v>
      </c>
      <c r="B88" t="s">
        <v>817</v>
      </c>
      <c r="C88" t="s">
        <v>4586</v>
      </c>
      <c r="D88">
        <v>-3</v>
      </c>
    </row>
    <row r="90" spans="1:4" x14ac:dyDescent="0.25">
      <c r="A90" s="2" t="s">
        <v>157</v>
      </c>
    </row>
    <row r="91" spans="1:4" x14ac:dyDescent="0.25">
      <c r="A91" t="s">
        <v>158</v>
      </c>
      <c r="D91">
        <f>AVERAGE(D2:D88)</f>
        <v>-4.9540229885057467</v>
      </c>
    </row>
    <row r="92" spans="1:4" x14ac:dyDescent="0.25">
      <c r="A92" t="s">
        <v>159</v>
      </c>
      <c r="D92">
        <f>MAX(D2:D88)</f>
        <v>2</v>
      </c>
    </row>
    <row r="93" spans="1:4" x14ac:dyDescent="0.25">
      <c r="A93" t="s">
        <v>160</v>
      </c>
      <c r="D93">
        <f>MIN(D2:D88)</f>
        <v>-16</v>
      </c>
    </row>
    <row r="94" spans="1:4" x14ac:dyDescent="0.25">
      <c r="A94" t="s">
        <v>161</v>
      </c>
      <c r="D94">
        <f>COUNTIF(D2:D88,"&gt;0")</f>
        <v>9</v>
      </c>
    </row>
    <row r="95" spans="1:4" x14ac:dyDescent="0.25">
      <c r="A95" t="s">
        <v>162</v>
      </c>
      <c r="D95">
        <f>COUNTIF(D2:D88,"=0")</f>
        <v>8</v>
      </c>
    </row>
    <row r="96" spans="1:4" x14ac:dyDescent="0.25">
      <c r="A96" t="s">
        <v>1633</v>
      </c>
      <c r="D96">
        <f>COUNTIF(D2:D88,"&lt;0")</f>
        <v>70</v>
      </c>
    </row>
    <row r="98" spans="1:4" x14ac:dyDescent="0.25">
      <c r="A98" s="2" t="s">
        <v>164</v>
      </c>
    </row>
    <row r="99" spans="1:4" x14ac:dyDescent="0.25">
      <c r="A99" t="s">
        <v>165</v>
      </c>
      <c r="D99">
        <f>AVERAGE(D2,D3,D4,D5,D6,D7,D8,D9,D10,D11,D12,D13,D14,D15,D16,D17,D18,D19,D20)</f>
        <v>-0.47368421052631576</v>
      </c>
    </row>
    <row r="100" spans="1:4" x14ac:dyDescent="0.25">
      <c r="A100" t="s">
        <v>166</v>
      </c>
      <c r="D100">
        <f>AVERAGE(D21,D22,D23,D24,D25,D26,D27,D28,D29,D30,D31,D32,D33,D34,D35,D36,D37,D38,D39,D40)</f>
        <v>-5.35</v>
      </c>
    </row>
    <row r="101" spans="1:4" x14ac:dyDescent="0.25">
      <c r="A101" t="s">
        <v>167</v>
      </c>
      <c r="D101">
        <f>AVERAGE(D41,D42,D43,D44,D45,D46,D47,D48,D49,D50,D51,D52,D53,D54,D55,D56,D57,D58,D59,D60,D61,D62,D63,D64,D65)</f>
        <v>-10.92</v>
      </c>
    </row>
    <row r="102" spans="1:4" x14ac:dyDescent="0.25">
      <c r="A102" t="s">
        <v>168</v>
      </c>
      <c r="D102">
        <f>AVERAGE(D66,D67,D68,D69,D70,D71,D72,D73,D74,D75,D76,D77,D78,D79,D80,D81,D82,D83,D84,D85,D86,D87,D88)</f>
        <v>-1.826086956521739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D8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1104</v>
      </c>
    </row>
    <row r="2" spans="1:4" x14ac:dyDescent="0.25">
      <c r="A2" t="s">
        <v>4</v>
      </c>
      <c r="B2" t="s">
        <v>83</v>
      </c>
      <c r="C2" t="s">
        <v>171</v>
      </c>
      <c r="D2">
        <v>3</v>
      </c>
    </row>
    <row r="3" spans="1:4" x14ac:dyDescent="0.25">
      <c r="A3" t="s">
        <v>4</v>
      </c>
      <c r="B3" t="s">
        <v>1267</v>
      </c>
      <c r="C3" t="s">
        <v>1572</v>
      </c>
      <c r="D3">
        <v>5</v>
      </c>
    </row>
    <row r="4" spans="1:4" x14ac:dyDescent="0.25">
      <c r="A4" t="s">
        <v>4</v>
      </c>
      <c r="B4" t="s">
        <v>87</v>
      </c>
      <c r="C4" t="s">
        <v>1347</v>
      </c>
      <c r="D4">
        <v>3</v>
      </c>
    </row>
    <row r="5" spans="1:4" x14ac:dyDescent="0.25">
      <c r="A5" t="s">
        <v>4</v>
      </c>
      <c r="B5" t="s">
        <v>800</v>
      </c>
      <c r="C5" t="s">
        <v>1972</v>
      </c>
      <c r="D5">
        <v>6</v>
      </c>
    </row>
    <row r="6" spans="1:4" x14ac:dyDescent="0.25">
      <c r="A6" t="s">
        <v>4</v>
      </c>
      <c r="B6" t="s">
        <v>1194</v>
      </c>
      <c r="C6" t="s">
        <v>3466</v>
      </c>
      <c r="D6">
        <v>8</v>
      </c>
    </row>
    <row r="7" spans="1:4" x14ac:dyDescent="0.25">
      <c r="A7" t="s">
        <v>4</v>
      </c>
      <c r="B7" t="s">
        <v>364</v>
      </c>
      <c r="C7" t="s">
        <v>2478</v>
      </c>
      <c r="D7">
        <v>11</v>
      </c>
    </row>
    <row r="8" spans="1:4" x14ac:dyDescent="0.25">
      <c r="A8" t="s">
        <v>4</v>
      </c>
      <c r="B8" t="s">
        <v>804</v>
      </c>
      <c r="C8" t="s">
        <v>3364</v>
      </c>
      <c r="D8">
        <v>14</v>
      </c>
    </row>
    <row r="9" spans="1:4" x14ac:dyDescent="0.25">
      <c r="A9" t="s">
        <v>4</v>
      </c>
      <c r="B9" t="s">
        <v>1598</v>
      </c>
      <c r="C9" t="s">
        <v>4375</v>
      </c>
      <c r="D9">
        <v>12</v>
      </c>
    </row>
    <row r="10" spans="1:4" x14ac:dyDescent="0.25">
      <c r="A10" t="s">
        <v>4</v>
      </c>
      <c r="B10" t="s">
        <v>378</v>
      </c>
      <c r="C10" t="s">
        <v>1975</v>
      </c>
      <c r="D10">
        <v>11</v>
      </c>
    </row>
    <row r="11" spans="1:4" x14ac:dyDescent="0.25">
      <c r="A11" t="s">
        <v>4</v>
      </c>
      <c r="B11" t="s">
        <v>1153</v>
      </c>
      <c r="C11" t="s">
        <v>4013</v>
      </c>
      <c r="D11">
        <v>13</v>
      </c>
    </row>
    <row r="12" spans="1:4" x14ac:dyDescent="0.25">
      <c r="A12" t="s">
        <v>4</v>
      </c>
      <c r="B12" t="s">
        <v>1043</v>
      </c>
      <c r="C12" t="s">
        <v>4605</v>
      </c>
      <c r="D12">
        <v>16</v>
      </c>
    </row>
    <row r="13" spans="1:4" x14ac:dyDescent="0.25">
      <c r="A13" t="s">
        <v>4</v>
      </c>
      <c r="B13" t="s">
        <v>389</v>
      </c>
      <c r="C13" t="s">
        <v>3044</v>
      </c>
      <c r="D13">
        <v>14</v>
      </c>
    </row>
    <row r="14" spans="1:4" x14ac:dyDescent="0.25">
      <c r="A14" t="s">
        <v>4</v>
      </c>
      <c r="B14" t="s">
        <v>118</v>
      </c>
      <c r="C14" t="s">
        <v>4606</v>
      </c>
      <c r="D14">
        <v>16</v>
      </c>
    </row>
    <row r="15" spans="1:4" x14ac:dyDescent="0.25">
      <c r="A15" t="s">
        <v>4</v>
      </c>
      <c r="B15" t="s">
        <v>392</v>
      </c>
      <c r="C15" t="s">
        <v>3046</v>
      </c>
      <c r="D15">
        <v>14</v>
      </c>
    </row>
    <row r="16" spans="1:4" x14ac:dyDescent="0.25">
      <c r="A16" t="s">
        <v>4</v>
      </c>
      <c r="B16" t="s">
        <v>36</v>
      </c>
      <c r="C16" t="s">
        <v>3047</v>
      </c>
      <c r="D16">
        <v>16</v>
      </c>
    </row>
    <row r="17" spans="1:4" x14ac:dyDescent="0.25">
      <c r="A17" t="s">
        <v>40</v>
      </c>
      <c r="B17" t="s">
        <v>453</v>
      </c>
      <c r="C17" t="s">
        <v>4607</v>
      </c>
      <c r="D17">
        <v>14</v>
      </c>
    </row>
    <row r="18" spans="1:4" x14ac:dyDescent="0.25">
      <c r="A18" t="s">
        <v>40</v>
      </c>
      <c r="B18" t="s">
        <v>453</v>
      </c>
      <c r="C18" t="s">
        <v>3730</v>
      </c>
      <c r="D18">
        <v>13</v>
      </c>
    </row>
    <row r="19" spans="1:4" x14ac:dyDescent="0.25">
      <c r="A19" t="s">
        <v>40</v>
      </c>
      <c r="B19" t="s">
        <v>242</v>
      </c>
      <c r="C19" t="s">
        <v>1361</v>
      </c>
      <c r="D19">
        <v>11</v>
      </c>
    </row>
    <row r="20" spans="1:4" x14ac:dyDescent="0.25">
      <c r="A20" t="s">
        <v>40</v>
      </c>
      <c r="B20" t="s">
        <v>1691</v>
      </c>
      <c r="C20" t="s">
        <v>1362</v>
      </c>
      <c r="D20">
        <v>12</v>
      </c>
    </row>
    <row r="21" spans="1:4" x14ac:dyDescent="0.25">
      <c r="A21" t="s">
        <v>40</v>
      </c>
      <c r="B21" t="s">
        <v>9</v>
      </c>
      <c r="C21" t="s">
        <v>2925</v>
      </c>
      <c r="D21">
        <v>10</v>
      </c>
    </row>
    <row r="22" spans="1:4" x14ac:dyDescent="0.25">
      <c r="A22" t="s">
        <v>40</v>
      </c>
      <c r="B22" t="s">
        <v>175</v>
      </c>
      <c r="C22" t="s">
        <v>3448</v>
      </c>
      <c r="D22">
        <v>13</v>
      </c>
    </row>
    <row r="23" spans="1:4" x14ac:dyDescent="0.25">
      <c r="A23" t="s">
        <v>40</v>
      </c>
      <c r="B23" t="s">
        <v>648</v>
      </c>
      <c r="C23" t="s">
        <v>2648</v>
      </c>
      <c r="D23">
        <v>11</v>
      </c>
    </row>
    <row r="24" spans="1:4" x14ac:dyDescent="0.25">
      <c r="A24" t="s">
        <v>40</v>
      </c>
      <c r="B24" t="s">
        <v>17</v>
      </c>
      <c r="C24" t="s">
        <v>1368</v>
      </c>
      <c r="D24">
        <v>14</v>
      </c>
    </row>
    <row r="25" spans="1:4" x14ac:dyDescent="0.25">
      <c r="A25" t="s">
        <v>40</v>
      </c>
      <c r="B25" t="s">
        <v>1533</v>
      </c>
      <c r="C25" t="s">
        <v>3089</v>
      </c>
      <c r="D25">
        <v>12</v>
      </c>
    </row>
    <row r="26" spans="1:4" x14ac:dyDescent="0.25">
      <c r="A26" t="s">
        <v>40</v>
      </c>
      <c r="B26" t="s">
        <v>596</v>
      </c>
      <c r="C26" t="s">
        <v>4384</v>
      </c>
      <c r="D26">
        <v>14</v>
      </c>
    </row>
    <row r="27" spans="1:4" x14ac:dyDescent="0.25">
      <c r="A27" t="s">
        <v>40</v>
      </c>
      <c r="B27" t="s">
        <v>2962</v>
      </c>
      <c r="C27" t="s">
        <v>2650</v>
      </c>
      <c r="D27">
        <v>12</v>
      </c>
    </row>
    <row r="28" spans="1:4" x14ac:dyDescent="0.25">
      <c r="A28" t="s">
        <v>40</v>
      </c>
      <c r="B28" t="s">
        <v>1151</v>
      </c>
      <c r="C28" t="s">
        <v>1035</v>
      </c>
      <c r="D28">
        <v>14</v>
      </c>
    </row>
    <row r="29" spans="1:4" x14ac:dyDescent="0.25">
      <c r="A29" t="s">
        <v>40</v>
      </c>
      <c r="B29" t="s">
        <v>1151</v>
      </c>
      <c r="C29" t="s">
        <v>2651</v>
      </c>
      <c r="D29">
        <v>15</v>
      </c>
    </row>
    <row r="30" spans="1:4" x14ac:dyDescent="0.25">
      <c r="A30" t="s">
        <v>40</v>
      </c>
      <c r="B30" t="s">
        <v>764</v>
      </c>
      <c r="C30" t="s">
        <v>4608</v>
      </c>
      <c r="D30">
        <v>16</v>
      </c>
    </row>
    <row r="31" spans="1:4" x14ac:dyDescent="0.25">
      <c r="A31" t="s">
        <v>40</v>
      </c>
      <c r="B31" t="s">
        <v>764</v>
      </c>
      <c r="C31" t="s">
        <v>1036</v>
      </c>
      <c r="D31">
        <v>17</v>
      </c>
    </row>
    <row r="32" spans="1:4" x14ac:dyDescent="0.25">
      <c r="A32" t="s">
        <v>40</v>
      </c>
      <c r="B32" t="s">
        <v>23</v>
      </c>
      <c r="C32" t="s">
        <v>2653</v>
      </c>
      <c r="D32">
        <v>15</v>
      </c>
    </row>
    <row r="33" spans="1:4" x14ac:dyDescent="0.25">
      <c r="A33" t="s">
        <v>40</v>
      </c>
      <c r="B33" t="s">
        <v>110</v>
      </c>
      <c r="C33" t="s">
        <v>1299</v>
      </c>
      <c r="D33">
        <v>18</v>
      </c>
    </row>
    <row r="34" spans="1:4" x14ac:dyDescent="0.25">
      <c r="A34" t="s">
        <v>40</v>
      </c>
      <c r="B34" t="s">
        <v>1396</v>
      </c>
      <c r="C34" t="s">
        <v>4350</v>
      </c>
      <c r="D34">
        <v>21</v>
      </c>
    </row>
    <row r="35" spans="1:4" x14ac:dyDescent="0.25">
      <c r="A35" t="s">
        <v>40</v>
      </c>
      <c r="B35" t="s">
        <v>1481</v>
      </c>
      <c r="C35" t="s">
        <v>2656</v>
      </c>
      <c r="D35">
        <v>19</v>
      </c>
    </row>
    <row r="36" spans="1:4" x14ac:dyDescent="0.25">
      <c r="A36" t="s">
        <v>40</v>
      </c>
      <c r="B36" t="s">
        <v>1177</v>
      </c>
      <c r="C36" t="s">
        <v>2657</v>
      </c>
      <c r="D36">
        <v>17</v>
      </c>
    </row>
    <row r="37" spans="1:4" x14ac:dyDescent="0.25">
      <c r="A37" t="s">
        <v>40</v>
      </c>
      <c r="B37" t="s">
        <v>320</v>
      </c>
      <c r="C37" t="s">
        <v>3238</v>
      </c>
      <c r="D37">
        <v>18</v>
      </c>
    </row>
    <row r="38" spans="1:4" x14ac:dyDescent="0.25">
      <c r="A38" t="s">
        <v>40</v>
      </c>
      <c r="B38" t="s">
        <v>531</v>
      </c>
      <c r="C38" t="s">
        <v>1449</v>
      </c>
      <c r="D38">
        <v>16</v>
      </c>
    </row>
    <row r="39" spans="1:4" x14ac:dyDescent="0.25">
      <c r="A39" t="s">
        <v>40</v>
      </c>
      <c r="B39" t="s">
        <v>880</v>
      </c>
      <c r="C39" t="s">
        <v>2659</v>
      </c>
      <c r="D39">
        <v>17</v>
      </c>
    </row>
    <row r="40" spans="1:4" x14ac:dyDescent="0.25">
      <c r="A40" t="s">
        <v>40</v>
      </c>
      <c r="B40" t="s">
        <v>1874</v>
      </c>
      <c r="C40" t="s">
        <v>3166</v>
      </c>
      <c r="D40">
        <v>19</v>
      </c>
    </row>
    <row r="41" spans="1:4" x14ac:dyDescent="0.25">
      <c r="A41" t="s">
        <v>80</v>
      </c>
      <c r="B41" t="s">
        <v>83</v>
      </c>
      <c r="C41" t="s">
        <v>3738</v>
      </c>
      <c r="D41">
        <v>18</v>
      </c>
    </row>
    <row r="42" spans="1:4" x14ac:dyDescent="0.25">
      <c r="A42" t="s">
        <v>80</v>
      </c>
      <c r="B42" t="s">
        <v>1666</v>
      </c>
      <c r="C42" t="s">
        <v>2817</v>
      </c>
      <c r="D42">
        <v>15</v>
      </c>
    </row>
    <row r="43" spans="1:4" x14ac:dyDescent="0.25">
      <c r="A43" t="s">
        <v>80</v>
      </c>
      <c r="B43" t="s">
        <v>355</v>
      </c>
      <c r="C43" t="s">
        <v>4354</v>
      </c>
      <c r="D43">
        <v>17</v>
      </c>
    </row>
    <row r="44" spans="1:4" x14ac:dyDescent="0.25">
      <c r="A44" t="s">
        <v>80</v>
      </c>
      <c r="B44" t="s">
        <v>590</v>
      </c>
      <c r="C44" t="s">
        <v>2066</v>
      </c>
      <c r="D44">
        <v>20</v>
      </c>
    </row>
    <row r="45" spans="1:4" x14ac:dyDescent="0.25">
      <c r="A45" t="s">
        <v>80</v>
      </c>
      <c r="B45" t="s">
        <v>1086</v>
      </c>
      <c r="C45" t="s">
        <v>2820</v>
      </c>
      <c r="D45">
        <v>17</v>
      </c>
    </row>
    <row r="46" spans="1:4" x14ac:dyDescent="0.25">
      <c r="A46" t="s">
        <v>80</v>
      </c>
      <c r="B46" t="s">
        <v>307</v>
      </c>
      <c r="C46" t="s">
        <v>3060</v>
      </c>
      <c r="D46">
        <v>20</v>
      </c>
    </row>
    <row r="47" spans="1:4" x14ac:dyDescent="0.25">
      <c r="A47" t="s">
        <v>80</v>
      </c>
      <c r="B47" t="s">
        <v>740</v>
      </c>
      <c r="C47" t="s">
        <v>3062</v>
      </c>
      <c r="D47">
        <v>18</v>
      </c>
    </row>
    <row r="48" spans="1:4" x14ac:dyDescent="0.25">
      <c r="A48" t="s">
        <v>80</v>
      </c>
      <c r="B48" t="s">
        <v>313</v>
      </c>
      <c r="C48" t="s">
        <v>2787</v>
      </c>
      <c r="D48">
        <v>16</v>
      </c>
    </row>
    <row r="49" spans="1:4" x14ac:dyDescent="0.25">
      <c r="A49" t="s">
        <v>80</v>
      </c>
      <c r="B49" t="s">
        <v>1151</v>
      </c>
      <c r="C49" t="s">
        <v>3064</v>
      </c>
      <c r="D49">
        <v>18</v>
      </c>
    </row>
    <row r="50" spans="1:4" x14ac:dyDescent="0.25">
      <c r="A50" t="s">
        <v>80</v>
      </c>
      <c r="B50" t="s">
        <v>284</v>
      </c>
      <c r="C50" t="s">
        <v>3065</v>
      </c>
      <c r="D50">
        <v>16</v>
      </c>
    </row>
    <row r="51" spans="1:4" x14ac:dyDescent="0.25">
      <c r="A51" t="s">
        <v>80</v>
      </c>
      <c r="B51" t="s">
        <v>743</v>
      </c>
      <c r="C51" t="s">
        <v>3869</v>
      </c>
      <c r="D51">
        <v>19</v>
      </c>
    </row>
    <row r="52" spans="1:4" x14ac:dyDescent="0.25">
      <c r="A52" t="s">
        <v>80</v>
      </c>
      <c r="B52" t="s">
        <v>225</v>
      </c>
      <c r="C52" t="s">
        <v>4609</v>
      </c>
      <c r="D52">
        <v>22</v>
      </c>
    </row>
    <row r="53" spans="1:4" x14ac:dyDescent="0.25">
      <c r="A53" t="s">
        <v>80</v>
      </c>
      <c r="B53" t="s">
        <v>27</v>
      </c>
      <c r="C53" t="s">
        <v>4610</v>
      </c>
      <c r="D53">
        <v>24</v>
      </c>
    </row>
    <row r="54" spans="1:4" x14ac:dyDescent="0.25">
      <c r="A54" t="s">
        <v>80</v>
      </c>
      <c r="B54" t="s">
        <v>1112</v>
      </c>
      <c r="C54" t="s">
        <v>3178</v>
      </c>
      <c r="D54">
        <v>26</v>
      </c>
    </row>
    <row r="55" spans="1:4" x14ac:dyDescent="0.25">
      <c r="A55" t="s">
        <v>80</v>
      </c>
      <c r="B55" t="s">
        <v>505</v>
      </c>
      <c r="C55" t="s">
        <v>2828</v>
      </c>
      <c r="D55">
        <v>24</v>
      </c>
    </row>
    <row r="56" spans="1:4" x14ac:dyDescent="0.25">
      <c r="A56" t="s">
        <v>80</v>
      </c>
      <c r="B56" t="s">
        <v>1115</v>
      </c>
      <c r="C56" t="s">
        <v>3677</v>
      </c>
      <c r="D56">
        <v>27</v>
      </c>
    </row>
    <row r="57" spans="1:4" x14ac:dyDescent="0.25">
      <c r="A57" t="s">
        <v>80</v>
      </c>
      <c r="B57" t="s">
        <v>235</v>
      </c>
      <c r="C57" t="s">
        <v>2831</v>
      </c>
      <c r="D57">
        <v>28</v>
      </c>
    </row>
    <row r="58" spans="1:4" x14ac:dyDescent="0.25">
      <c r="A58" t="s">
        <v>123</v>
      </c>
      <c r="B58" t="s">
        <v>693</v>
      </c>
      <c r="C58" t="s">
        <v>3849</v>
      </c>
      <c r="D58">
        <v>25</v>
      </c>
    </row>
    <row r="59" spans="1:4" x14ac:dyDescent="0.25">
      <c r="A59" t="s">
        <v>123</v>
      </c>
      <c r="B59" t="s">
        <v>1493</v>
      </c>
      <c r="C59" t="s">
        <v>2835</v>
      </c>
      <c r="D59">
        <v>27</v>
      </c>
    </row>
    <row r="60" spans="1:4" x14ac:dyDescent="0.25">
      <c r="A60" t="s">
        <v>123</v>
      </c>
      <c r="B60" t="s">
        <v>865</v>
      </c>
      <c r="C60" t="s">
        <v>2022</v>
      </c>
      <c r="D60">
        <v>29</v>
      </c>
    </row>
    <row r="61" spans="1:4" x14ac:dyDescent="0.25">
      <c r="A61" t="s">
        <v>123</v>
      </c>
      <c r="B61" t="s">
        <v>1284</v>
      </c>
      <c r="C61" t="s">
        <v>4249</v>
      </c>
      <c r="D61">
        <v>30</v>
      </c>
    </row>
    <row r="62" spans="1:4" x14ac:dyDescent="0.25">
      <c r="A62" t="s">
        <v>123</v>
      </c>
      <c r="B62" t="s">
        <v>435</v>
      </c>
      <c r="C62" t="s">
        <v>2023</v>
      </c>
      <c r="D62">
        <v>31</v>
      </c>
    </row>
    <row r="63" spans="1:4" x14ac:dyDescent="0.25">
      <c r="A63" t="s">
        <v>123</v>
      </c>
      <c r="B63" t="s">
        <v>437</v>
      </c>
      <c r="C63" t="s">
        <v>4611</v>
      </c>
      <c r="D63">
        <v>33</v>
      </c>
    </row>
    <row r="64" spans="1:4" x14ac:dyDescent="0.25">
      <c r="A64" t="s">
        <v>123</v>
      </c>
      <c r="B64" t="s">
        <v>1108</v>
      </c>
      <c r="C64" t="s">
        <v>2024</v>
      </c>
      <c r="D64">
        <v>31</v>
      </c>
    </row>
    <row r="65" spans="1:4" x14ac:dyDescent="0.25">
      <c r="A65" t="s">
        <v>123</v>
      </c>
      <c r="B65" t="s">
        <v>1198</v>
      </c>
      <c r="C65" t="s">
        <v>3679</v>
      </c>
      <c r="D65">
        <v>30</v>
      </c>
    </row>
    <row r="66" spans="1:4" x14ac:dyDescent="0.25">
      <c r="A66" t="s">
        <v>123</v>
      </c>
      <c r="B66" t="s">
        <v>1198</v>
      </c>
      <c r="C66" t="s">
        <v>3413</v>
      </c>
      <c r="D66">
        <v>29</v>
      </c>
    </row>
    <row r="67" spans="1:4" x14ac:dyDescent="0.25">
      <c r="A67" t="s">
        <v>123</v>
      </c>
      <c r="B67" t="s">
        <v>1517</v>
      </c>
      <c r="C67" t="s">
        <v>3414</v>
      </c>
      <c r="D67">
        <v>26</v>
      </c>
    </row>
    <row r="68" spans="1:4" x14ac:dyDescent="0.25">
      <c r="A68" t="s">
        <v>123</v>
      </c>
      <c r="B68" t="s">
        <v>546</v>
      </c>
      <c r="C68" t="s">
        <v>3145</v>
      </c>
      <c r="D68">
        <v>27</v>
      </c>
    </row>
    <row r="69" spans="1:4" x14ac:dyDescent="0.25">
      <c r="A69" t="s">
        <v>123</v>
      </c>
      <c r="B69" t="s">
        <v>546</v>
      </c>
      <c r="C69" t="s">
        <v>2027</v>
      </c>
      <c r="D69">
        <v>28</v>
      </c>
    </row>
    <row r="70" spans="1:4" x14ac:dyDescent="0.25">
      <c r="A70" t="s">
        <v>123</v>
      </c>
      <c r="B70" t="s">
        <v>1202</v>
      </c>
      <c r="C70" t="s">
        <v>1418</v>
      </c>
      <c r="D70">
        <v>27</v>
      </c>
    </row>
    <row r="71" spans="1:4" x14ac:dyDescent="0.25">
      <c r="A71" t="s">
        <v>123</v>
      </c>
      <c r="B71" t="s">
        <v>896</v>
      </c>
      <c r="C71" t="s">
        <v>3147</v>
      </c>
      <c r="D71">
        <v>28</v>
      </c>
    </row>
    <row r="72" spans="1:4" x14ac:dyDescent="0.25">
      <c r="A72" t="s">
        <v>123</v>
      </c>
      <c r="B72" t="s">
        <v>896</v>
      </c>
      <c r="C72" t="s">
        <v>1337</v>
      </c>
      <c r="D72">
        <v>29</v>
      </c>
    </row>
    <row r="73" spans="1:4" x14ac:dyDescent="0.25">
      <c r="A73" t="s">
        <v>123</v>
      </c>
      <c r="B73" t="s">
        <v>120</v>
      </c>
      <c r="C73" t="s">
        <v>4378</v>
      </c>
      <c r="D73">
        <v>30</v>
      </c>
    </row>
    <row r="74" spans="1:4" x14ac:dyDescent="0.25">
      <c r="A74" t="s">
        <v>123</v>
      </c>
      <c r="B74" t="s">
        <v>582</v>
      </c>
      <c r="C74" t="s">
        <v>1419</v>
      </c>
      <c r="D74">
        <v>31</v>
      </c>
    </row>
    <row r="76" spans="1:4" x14ac:dyDescent="0.25">
      <c r="A76" s="2" t="s">
        <v>157</v>
      </c>
    </row>
    <row r="77" spans="1:4" x14ac:dyDescent="0.25">
      <c r="A77" t="s">
        <v>158</v>
      </c>
      <c r="D77">
        <f>AVERAGE(D2:D74)</f>
        <v>18.575342465753426</v>
      </c>
    </row>
    <row r="78" spans="1:4" x14ac:dyDescent="0.25">
      <c r="A78" t="s">
        <v>159</v>
      </c>
      <c r="D78">
        <f>MAX(D2:D74)</f>
        <v>33</v>
      </c>
    </row>
    <row r="79" spans="1:4" x14ac:dyDescent="0.25">
      <c r="A79" t="s">
        <v>160</v>
      </c>
      <c r="D79">
        <f>MIN(D2:D74)</f>
        <v>3</v>
      </c>
    </row>
    <row r="80" spans="1:4" x14ac:dyDescent="0.25">
      <c r="A80" t="s">
        <v>161</v>
      </c>
      <c r="D80">
        <f>COUNTIF(D2:D74,"&gt;0")</f>
        <v>73</v>
      </c>
    </row>
    <row r="81" spans="1:4" x14ac:dyDescent="0.25">
      <c r="A81" t="s">
        <v>162</v>
      </c>
      <c r="D81">
        <f>COUNTIF(D2:D74,"=0")</f>
        <v>0</v>
      </c>
    </row>
    <row r="82" spans="1:4" x14ac:dyDescent="0.25">
      <c r="A82" t="s">
        <v>1186</v>
      </c>
      <c r="D82">
        <f>COUNTIF(D2:D74,"&lt;0")</f>
        <v>0</v>
      </c>
    </row>
    <row r="84" spans="1:4" x14ac:dyDescent="0.25">
      <c r="A84" s="2" t="s">
        <v>164</v>
      </c>
    </row>
    <row r="85" spans="1:4" x14ac:dyDescent="0.25">
      <c r="A85" t="s">
        <v>165</v>
      </c>
      <c r="D85">
        <f>AVERAGE(D2,D3,D4,D5,D6,D7,D8,D9,D10,D11,D12,D13,D14,D15,D16)</f>
        <v>10.8</v>
      </c>
    </row>
    <row r="86" spans="1:4" x14ac:dyDescent="0.25">
      <c r="A86" t="s">
        <v>166</v>
      </c>
      <c r="D86">
        <f>AVERAGE(D17,D18,D19,D20,D21,D22,D23,D24,D25,D26,D27,D28,D29,D30,D31,D32,D33,D34,D35,D36,D37,D38,D39,D40)</f>
        <v>14.916666666666666</v>
      </c>
    </row>
    <row r="87" spans="1:4" x14ac:dyDescent="0.25">
      <c r="A87" t="s">
        <v>167</v>
      </c>
      <c r="D87">
        <f>AVERAGE(D41,D42,D43,D44,D45,D46,D47,D48,D49,D50,D51,D52,D53,D54,D55,D56,D57)</f>
        <v>20.294117647058822</v>
      </c>
    </row>
    <row r="88" spans="1:4" x14ac:dyDescent="0.25">
      <c r="A88" t="s">
        <v>168</v>
      </c>
      <c r="D88">
        <f>AVERAGE(D58,D59,D60,D61,D62,D63,D64,D65,D66,D67,D68,D69,D70,D71,D72,D73,D74)</f>
        <v>28.882352941176471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D120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453</v>
      </c>
      <c r="C2" t="s">
        <v>6</v>
      </c>
      <c r="D2">
        <v>2</v>
      </c>
    </row>
    <row r="3" spans="1:4" x14ac:dyDescent="0.25">
      <c r="A3" t="s">
        <v>4</v>
      </c>
      <c r="B3" t="s">
        <v>1138</v>
      </c>
      <c r="C3" t="s">
        <v>1572</v>
      </c>
      <c r="D3">
        <v>5</v>
      </c>
    </row>
    <row r="4" spans="1:4" x14ac:dyDescent="0.25">
      <c r="A4" t="s">
        <v>4</v>
      </c>
      <c r="B4" t="s">
        <v>823</v>
      </c>
      <c r="C4" t="s">
        <v>429</v>
      </c>
      <c r="D4">
        <v>2</v>
      </c>
    </row>
    <row r="5" spans="1:4" x14ac:dyDescent="0.25">
      <c r="A5" t="s">
        <v>4</v>
      </c>
      <c r="B5" t="s">
        <v>1768</v>
      </c>
      <c r="C5" t="s">
        <v>2430</v>
      </c>
      <c r="D5">
        <v>0</v>
      </c>
    </row>
    <row r="6" spans="1:4" x14ac:dyDescent="0.25">
      <c r="A6" t="s">
        <v>4</v>
      </c>
      <c r="B6" t="s">
        <v>1573</v>
      </c>
      <c r="C6" t="s">
        <v>432</v>
      </c>
      <c r="D6">
        <v>2</v>
      </c>
    </row>
    <row r="7" spans="1:4" x14ac:dyDescent="0.25">
      <c r="A7" t="s">
        <v>4</v>
      </c>
      <c r="B7" t="s">
        <v>175</v>
      </c>
      <c r="C7" t="s">
        <v>1012</v>
      </c>
      <c r="D7">
        <v>4</v>
      </c>
    </row>
    <row r="8" spans="1:4" x14ac:dyDescent="0.25">
      <c r="A8" t="s">
        <v>4</v>
      </c>
      <c r="B8" t="s">
        <v>91</v>
      </c>
      <c r="C8" t="s">
        <v>569</v>
      </c>
      <c r="D8">
        <v>2</v>
      </c>
    </row>
    <row r="9" spans="1:4" x14ac:dyDescent="0.25">
      <c r="A9" t="s">
        <v>4</v>
      </c>
      <c r="B9" t="s">
        <v>215</v>
      </c>
      <c r="C9" t="s">
        <v>1352</v>
      </c>
      <c r="D9">
        <v>4</v>
      </c>
    </row>
    <row r="10" spans="1:4" x14ac:dyDescent="0.25">
      <c r="A10" t="s">
        <v>4</v>
      </c>
      <c r="B10" t="s">
        <v>2158</v>
      </c>
      <c r="C10" t="s">
        <v>1353</v>
      </c>
      <c r="D10">
        <v>3</v>
      </c>
    </row>
    <row r="11" spans="1:4" x14ac:dyDescent="0.25">
      <c r="A11" t="s">
        <v>4</v>
      </c>
      <c r="B11" t="s">
        <v>961</v>
      </c>
      <c r="C11" t="s">
        <v>785</v>
      </c>
      <c r="D11">
        <v>5</v>
      </c>
    </row>
    <row r="12" spans="1:4" x14ac:dyDescent="0.25">
      <c r="A12" t="s">
        <v>4</v>
      </c>
      <c r="B12" t="s">
        <v>701</v>
      </c>
      <c r="C12" t="s">
        <v>786</v>
      </c>
      <c r="D12">
        <v>7</v>
      </c>
    </row>
    <row r="13" spans="1:4" x14ac:dyDescent="0.25">
      <c r="A13" t="s">
        <v>4</v>
      </c>
      <c r="B13" t="s">
        <v>378</v>
      </c>
      <c r="C13" t="s">
        <v>1111</v>
      </c>
      <c r="D13">
        <v>5</v>
      </c>
    </row>
    <row r="14" spans="1:4" x14ac:dyDescent="0.25">
      <c r="A14" t="s">
        <v>4</v>
      </c>
      <c r="B14" t="s">
        <v>411</v>
      </c>
      <c r="C14" t="s">
        <v>1576</v>
      </c>
      <c r="D14">
        <v>7</v>
      </c>
    </row>
    <row r="15" spans="1:4" x14ac:dyDescent="0.25">
      <c r="A15" t="s">
        <v>4</v>
      </c>
      <c r="B15" t="s">
        <v>440</v>
      </c>
      <c r="C15" t="s">
        <v>1577</v>
      </c>
      <c r="D15">
        <v>5</v>
      </c>
    </row>
    <row r="16" spans="1:4" x14ac:dyDescent="0.25">
      <c r="A16" t="s">
        <v>4</v>
      </c>
      <c r="B16" t="s">
        <v>924</v>
      </c>
      <c r="C16" t="s">
        <v>324</v>
      </c>
      <c r="D16">
        <v>7</v>
      </c>
    </row>
    <row r="17" spans="1:4" x14ac:dyDescent="0.25">
      <c r="A17" t="s">
        <v>4</v>
      </c>
      <c r="B17" t="s">
        <v>144</v>
      </c>
      <c r="C17" t="s">
        <v>1580</v>
      </c>
      <c r="D17">
        <v>5</v>
      </c>
    </row>
    <row r="18" spans="1:4" x14ac:dyDescent="0.25">
      <c r="A18" t="s">
        <v>4</v>
      </c>
      <c r="B18" t="s">
        <v>414</v>
      </c>
      <c r="C18" t="s">
        <v>328</v>
      </c>
      <c r="D18">
        <v>7</v>
      </c>
    </row>
    <row r="19" spans="1:4" x14ac:dyDescent="0.25">
      <c r="A19" t="s">
        <v>4</v>
      </c>
      <c r="B19" t="s">
        <v>475</v>
      </c>
      <c r="C19" t="s">
        <v>1360</v>
      </c>
      <c r="D19">
        <v>9</v>
      </c>
    </row>
    <row r="20" spans="1:4" x14ac:dyDescent="0.25">
      <c r="A20" t="s">
        <v>4</v>
      </c>
      <c r="B20" t="s">
        <v>1568</v>
      </c>
      <c r="C20" t="s">
        <v>923</v>
      </c>
      <c r="D20">
        <v>7</v>
      </c>
    </row>
    <row r="21" spans="1:4" x14ac:dyDescent="0.25">
      <c r="A21" t="s">
        <v>40</v>
      </c>
      <c r="B21" t="s">
        <v>325</v>
      </c>
      <c r="C21" t="s">
        <v>4076</v>
      </c>
      <c r="D21">
        <v>9</v>
      </c>
    </row>
    <row r="22" spans="1:4" x14ac:dyDescent="0.25">
      <c r="A22" t="s">
        <v>40</v>
      </c>
      <c r="B22" t="s">
        <v>7</v>
      </c>
      <c r="C22" t="s">
        <v>1581</v>
      </c>
      <c r="D22">
        <v>7</v>
      </c>
    </row>
    <row r="23" spans="1:4" x14ac:dyDescent="0.25">
      <c r="A23" t="s">
        <v>40</v>
      </c>
      <c r="B23" t="s">
        <v>7</v>
      </c>
      <c r="C23" t="s">
        <v>209</v>
      </c>
      <c r="D23">
        <v>6</v>
      </c>
    </row>
    <row r="24" spans="1:4" x14ac:dyDescent="0.25">
      <c r="A24" t="s">
        <v>40</v>
      </c>
      <c r="B24" t="s">
        <v>1266</v>
      </c>
      <c r="C24" t="s">
        <v>1439</v>
      </c>
      <c r="D24">
        <v>4</v>
      </c>
    </row>
    <row r="25" spans="1:4" x14ac:dyDescent="0.25">
      <c r="A25" t="s">
        <v>40</v>
      </c>
      <c r="B25" t="s">
        <v>1266</v>
      </c>
      <c r="C25" t="s">
        <v>926</v>
      </c>
      <c r="D25">
        <v>3</v>
      </c>
    </row>
    <row r="26" spans="1:4" x14ac:dyDescent="0.25">
      <c r="A26" t="s">
        <v>40</v>
      </c>
      <c r="B26" t="s">
        <v>1789</v>
      </c>
      <c r="C26" t="s">
        <v>928</v>
      </c>
      <c r="D26">
        <v>5</v>
      </c>
    </row>
    <row r="27" spans="1:4" x14ac:dyDescent="0.25">
      <c r="A27" t="s">
        <v>40</v>
      </c>
      <c r="B27" t="s">
        <v>1117</v>
      </c>
      <c r="C27" t="s">
        <v>1124</v>
      </c>
      <c r="D27">
        <v>2</v>
      </c>
    </row>
    <row r="28" spans="1:4" x14ac:dyDescent="0.25">
      <c r="A28" t="s">
        <v>40</v>
      </c>
      <c r="B28" t="s">
        <v>1613</v>
      </c>
      <c r="C28" t="s">
        <v>718</v>
      </c>
      <c r="D28">
        <v>1</v>
      </c>
    </row>
    <row r="29" spans="1:4" x14ac:dyDescent="0.25">
      <c r="A29" t="s">
        <v>40</v>
      </c>
      <c r="B29" t="s">
        <v>1613</v>
      </c>
      <c r="C29" t="s">
        <v>3207</v>
      </c>
      <c r="D29">
        <v>0</v>
      </c>
    </row>
    <row r="30" spans="1:4" x14ac:dyDescent="0.25">
      <c r="A30" t="s">
        <v>40</v>
      </c>
      <c r="B30" t="s">
        <v>778</v>
      </c>
      <c r="C30" t="s">
        <v>3081</v>
      </c>
      <c r="D30">
        <v>-3</v>
      </c>
    </row>
    <row r="31" spans="1:4" x14ac:dyDescent="0.25">
      <c r="A31" t="s">
        <v>40</v>
      </c>
      <c r="B31" t="s">
        <v>778</v>
      </c>
      <c r="C31" t="s">
        <v>1513</v>
      </c>
      <c r="D31">
        <v>-4</v>
      </c>
    </row>
    <row r="32" spans="1:4" x14ac:dyDescent="0.25">
      <c r="A32" t="s">
        <v>40</v>
      </c>
      <c r="B32" t="s">
        <v>1280</v>
      </c>
      <c r="C32" t="s">
        <v>63</v>
      </c>
      <c r="D32">
        <v>-1</v>
      </c>
    </row>
    <row r="33" spans="1:4" x14ac:dyDescent="0.25">
      <c r="A33" t="s">
        <v>40</v>
      </c>
      <c r="B33" t="s">
        <v>1958</v>
      </c>
      <c r="C33" t="s">
        <v>66</v>
      </c>
      <c r="D33">
        <v>-3</v>
      </c>
    </row>
    <row r="34" spans="1:4" x14ac:dyDescent="0.25">
      <c r="A34" t="s">
        <v>40</v>
      </c>
      <c r="B34" t="s">
        <v>333</v>
      </c>
      <c r="C34" t="s">
        <v>1756</v>
      </c>
      <c r="D34">
        <v>-1</v>
      </c>
    </row>
    <row r="35" spans="1:4" x14ac:dyDescent="0.25">
      <c r="A35" t="s">
        <v>40</v>
      </c>
      <c r="B35" t="s">
        <v>179</v>
      </c>
      <c r="C35" t="s">
        <v>4002</v>
      </c>
      <c r="D35">
        <v>0</v>
      </c>
    </row>
    <row r="36" spans="1:4" x14ac:dyDescent="0.25">
      <c r="A36" t="s">
        <v>40</v>
      </c>
      <c r="B36" t="s">
        <v>335</v>
      </c>
      <c r="C36" t="s">
        <v>2129</v>
      </c>
      <c r="D36">
        <v>-3</v>
      </c>
    </row>
    <row r="37" spans="1:4" x14ac:dyDescent="0.25">
      <c r="A37" t="s">
        <v>40</v>
      </c>
      <c r="B37" t="s">
        <v>93</v>
      </c>
      <c r="C37" t="s">
        <v>2725</v>
      </c>
      <c r="D37">
        <v>-1</v>
      </c>
    </row>
    <row r="38" spans="1:4" x14ac:dyDescent="0.25">
      <c r="A38" t="s">
        <v>40</v>
      </c>
      <c r="B38" t="s">
        <v>1776</v>
      </c>
      <c r="C38" t="s">
        <v>2486</v>
      </c>
      <c r="D38">
        <v>1</v>
      </c>
    </row>
    <row r="39" spans="1:4" x14ac:dyDescent="0.25">
      <c r="A39" t="s">
        <v>40</v>
      </c>
      <c r="B39" t="s">
        <v>961</v>
      </c>
      <c r="C39" t="s">
        <v>2304</v>
      </c>
      <c r="D39">
        <v>0</v>
      </c>
    </row>
    <row r="40" spans="1:4" x14ac:dyDescent="0.25">
      <c r="A40" t="s">
        <v>40</v>
      </c>
      <c r="B40" t="s">
        <v>961</v>
      </c>
      <c r="C40" t="s">
        <v>1830</v>
      </c>
      <c r="D40">
        <v>-1</v>
      </c>
    </row>
    <row r="41" spans="1:4" x14ac:dyDescent="0.25">
      <c r="A41" t="s">
        <v>40</v>
      </c>
      <c r="B41" t="s">
        <v>1151</v>
      </c>
      <c r="C41" t="s">
        <v>358</v>
      </c>
      <c r="D41">
        <v>1</v>
      </c>
    </row>
    <row r="42" spans="1:4" x14ac:dyDescent="0.25">
      <c r="A42" t="s">
        <v>40</v>
      </c>
      <c r="B42" t="s">
        <v>1092</v>
      </c>
      <c r="C42" t="s">
        <v>360</v>
      </c>
      <c r="D42">
        <v>3</v>
      </c>
    </row>
    <row r="43" spans="1:4" x14ac:dyDescent="0.25">
      <c r="A43" t="s">
        <v>40</v>
      </c>
      <c r="B43" t="s">
        <v>1092</v>
      </c>
      <c r="C43" t="s">
        <v>2546</v>
      </c>
      <c r="D43">
        <v>4</v>
      </c>
    </row>
    <row r="44" spans="1:4" x14ac:dyDescent="0.25">
      <c r="A44" t="s">
        <v>40</v>
      </c>
      <c r="B44" t="s">
        <v>1442</v>
      </c>
      <c r="C44" t="s">
        <v>734</v>
      </c>
      <c r="D44">
        <v>2</v>
      </c>
    </row>
    <row r="45" spans="1:4" x14ac:dyDescent="0.25">
      <c r="A45" t="s">
        <v>40</v>
      </c>
      <c r="B45" t="s">
        <v>67</v>
      </c>
      <c r="C45" t="s">
        <v>245</v>
      </c>
      <c r="D45">
        <v>0</v>
      </c>
    </row>
    <row r="46" spans="1:4" x14ac:dyDescent="0.25">
      <c r="A46" t="s">
        <v>40</v>
      </c>
      <c r="B46" t="s">
        <v>546</v>
      </c>
      <c r="C46" t="s">
        <v>482</v>
      </c>
      <c r="D46">
        <v>1</v>
      </c>
    </row>
    <row r="47" spans="1:4" x14ac:dyDescent="0.25">
      <c r="A47" t="s">
        <v>40</v>
      </c>
      <c r="B47" t="s">
        <v>546</v>
      </c>
      <c r="C47" t="s">
        <v>365</v>
      </c>
      <c r="D47">
        <v>2</v>
      </c>
    </row>
    <row r="48" spans="1:4" x14ac:dyDescent="0.25">
      <c r="A48" t="s">
        <v>40</v>
      </c>
      <c r="B48" t="s">
        <v>990</v>
      </c>
      <c r="C48" t="s">
        <v>252</v>
      </c>
      <c r="D48">
        <v>-1</v>
      </c>
    </row>
    <row r="49" spans="1:4" x14ac:dyDescent="0.25">
      <c r="A49" t="s">
        <v>40</v>
      </c>
      <c r="B49" t="s">
        <v>148</v>
      </c>
      <c r="C49" t="s">
        <v>2489</v>
      </c>
      <c r="D49">
        <v>1</v>
      </c>
    </row>
    <row r="50" spans="1:4" x14ac:dyDescent="0.25">
      <c r="A50" t="s">
        <v>40</v>
      </c>
      <c r="B50" t="s">
        <v>148</v>
      </c>
      <c r="C50" t="s">
        <v>371</v>
      </c>
      <c r="D50">
        <v>2</v>
      </c>
    </row>
    <row r="51" spans="1:4" x14ac:dyDescent="0.25">
      <c r="A51" t="s">
        <v>40</v>
      </c>
      <c r="B51" t="s">
        <v>2317</v>
      </c>
      <c r="C51" t="s">
        <v>372</v>
      </c>
      <c r="D51">
        <v>1</v>
      </c>
    </row>
    <row r="52" spans="1:4" x14ac:dyDescent="0.25">
      <c r="A52" t="s">
        <v>40</v>
      </c>
      <c r="B52" t="s">
        <v>2317</v>
      </c>
      <c r="C52" t="s">
        <v>3975</v>
      </c>
      <c r="D52">
        <v>0</v>
      </c>
    </row>
    <row r="53" spans="1:4" x14ac:dyDescent="0.25">
      <c r="A53" t="s">
        <v>40</v>
      </c>
      <c r="B53" t="s">
        <v>2147</v>
      </c>
      <c r="C53" t="s">
        <v>3028</v>
      </c>
      <c r="D53">
        <v>2</v>
      </c>
    </row>
    <row r="54" spans="1:4" x14ac:dyDescent="0.25">
      <c r="A54" t="s">
        <v>40</v>
      </c>
      <c r="B54" t="s">
        <v>31</v>
      </c>
      <c r="C54" t="s">
        <v>745</v>
      </c>
      <c r="D54">
        <v>0</v>
      </c>
    </row>
    <row r="55" spans="1:4" x14ac:dyDescent="0.25">
      <c r="A55" t="s">
        <v>40</v>
      </c>
      <c r="B55" t="s">
        <v>505</v>
      </c>
      <c r="C55" t="s">
        <v>2173</v>
      </c>
      <c r="D55">
        <v>2</v>
      </c>
    </row>
    <row r="56" spans="1:4" x14ac:dyDescent="0.25">
      <c r="A56" t="s">
        <v>40</v>
      </c>
      <c r="B56" t="s">
        <v>534</v>
      </c>
      <c r="C56" t="s">
        <v>3029</v>
      </c>
      <c r="D56">
        <v>1</v>
      </c>
    </row>
    <row r="57" spans="1:4" x14ac:dyDescent="0.25">
      <c r="A57" t="s">
        <v>40</v>
      </c>
      <c r="B57" t="s">
        <v>534</v>
      </c>
      <c r="C57" t="s">
        <v>2446</v>
      </c>
      <c r="D57">
        <v>0</v>
      </c>
    </row>
    <row r="58" spans="1:4" x14ac:dyDescent="0.25">
      <c r="A58" t="s">
        <v>40</v>
      </c>
      <c r="B58" t="s">
        <v>1874</v>
      </c>
      <c r="C58" t="s">
        <v>2447</v>
      </c>
      <c r="D58">
        <v>2</v>
      </c>
    </row>
    <row r="59" spans="1:4" x14ac:dyDescent="0.25">
      <c r="A59" t="s">
        <v>40</v>
      </c>
      <c r="B59" t="s">
        <v>1261</v>
      </c>
      <c r="C59" t="s">
        <v>3454</v>
      </c>
      <c r="D59">
        <v>-1</v>
      </c>
    </row>
    <row r="60" spans="1:4" x14ac:dyDescent="0.25">
      <c r="A60" t="s">
        <v>40</v>
      </c>
      <c r="B60" t="s">
        <v>559</v>
      </c>
      <c r="C60" t="s">
        <v>2493</v>
      </c>
      <c r="D60">
        <v>1</v>
      </c>
    </row>
    <row r="61" spans="1:4" x14ac:dyDescent="0.25">
      <c r="A61" t="s">
        <v>40</v>
      </c>
      <c r="B61" t="s">
        <v>559</v>
      </c>
      <c r="C61" t="s">
        <v>1532</v>
      </c>
      <c r="D61">
        <v>2</v>
      </c>
    </row>
    <row r="62" spans="1:4" x14ac:dyDescent="0.25">
      <c r="A62" t="s">
        <v>80</v>
      </c>
      <c r="B62" t="s">
        <v>237</v>
      </c>
      <c r="C62" t="s">
        <v>1605</v>
      </c>
      <c r="D62">
        <v>5</v>
      </c>
    </row>
    <row r="63" spans="1:4" x14ac:dyDescent="0.25">
      <c r="A63" t="s">
        <v>80</v>
      </c>
      <c r="B63" t="s">
        <v>271</v>
      </c>
      <c r="C63" t="s">
        <v>1606</v>
      </c>
      <c r="D63">
        <v>7</v>
      </c>
    </row>
    <row r="64" spans="1:4" x14ac:dyDescent="0.25">
      <c r="A64" t="s">
        <v>80</v>
      </c>
      <c r="B64" t="s">
        <v>1010</v>
      </c>
      <c r="C64" t="s">
        <v>1165</v>
      </c>
      <c r="D64">
        <v>8</v>
      </c>
    </row>
    <row r="65" spans="1:4" x14ac:dyDescent="0.25">
      <c r="A65" t="s">
        <v>80</v>
      </c>
      <c r="B65" t="s">
        <v>246</v>
      </c>
      <c r="C65" t="s">
        <v>1167</v>
      </c>
      <c r="D65">
        <v>5</v>
      </c>
    </row>
    <row r="66" spans="1:4" x14ac:dyDescent="0.25">
      <c r="A66" t="s">
        <v>80</v>
      </c>
      <c r="B66" t="s">
        <v>89</v>
      </c>
      <c r="C66" t="s">
        <v>1168</v>
      </c>
      <c r="D66">
        <v>7</v>
      </c>
    </row>
    <row r="67" spans="1:4" x14ac:dyDescent="0.25">
      <c r="A67" t="s">
        <v>80</v>
      </c>
      <c r="B67" t="s">
        <v>832</v>
      </c>
      <c r="C67" t="s">
        <v>1468</v>
      </c>
      <c r="D67">
        <v>9</v>
      </c>
    </row>
    <row r="68" spans="1:4" x14ac:dyDescent="0.25">
      <c r="A68" t="s">
        <v>80</v>
      </c>
      <c r="B68" t="s">
        <v>1723</v>
      </c>
      <c r="C68" t="s">
        <v>2183</v>
      </c>
      <c r="D68">
        <v>6</v>
      </c>
    </row>
    <row r="69" spans="1:4" x14ac:dyDescent="0.25">
      <c r="A69" t="s">
        <v>80</v>
      </c>
      <c r="B69" t="s">
        <v>280</v>
      </c>
      <c r="C69" t="s">
        <v>401</v>
      </c>
      <c r="D69">
        <v>8</v>
      </c>
    </row>
    <row r="70" spans="1:4" x14ac:dyDescent="0.25">
      <c r="A70" t="s">
        <v>80</v>
      </c>
      <c r="B70" t="s">
        <v>836</v>
      </c>
      <c r="C70" t="s">
        <v>2184</v>
      </c>
      <c r="D70">
        <v>6</v>
      </c>
    </row>
    <row r="71" spans="1:4" x14ac:dyDescent="0.25">
      <c r="A71" t="s">
        <v>80</v>
      </c>
      <c r="B71" t="s">
        <v>1069</v>
      </c>
      <c r="C71" t="s">
        <v>2185</v>
      </c>
      <c r="D71">
        <v>7</v>
      </c>
    </row>
    <row r="72" spans="1:4" x14ac:dyDescent="0.25">
      <c r="A72" t="s">
        <v>80</v>
      </c>
      <c r="B72" t="s">
        <v>1090</v>
      </c>
      <c r="C72" t="s">
        <v>2555</v>
      </c>
      <c r="D72">
        <v>4</v>
      </c>
    </row>
    <row r="73" spans="1:4" x14ac:dyDescent="0.25">
      <c r="A73" t="s">
        <v>80</v>
      </c>
      <c r="B73" t="s">
        <v>1829</v>
      </c>
      <c r="C73" t="s">
        <v>1615</v>
      </c>
      <c r="D73">
        <v>6</v>
      </c>
    </row>
    <row r="74" spans="1:4" x14ac:dyDescent="0.25">
      <c r="A74" t="s">
        <v>80</v>
      </c>
      <c r="B74" t="s">
        <v>887</v>
      </c>
      <c r="C74" t="s">
        <v>2606</v>
      </c>
      <c r="D74">
        <v>4</v>
      </c>
    </row>
    <row r="75" spans="1:4" x14ac:dyDescent="0.25">
      <c r="A75" t="s">
        <v>80</v>
      </c>
      <c r="B75" t="s">
        <v>142</v>
      </c>
      <c r="C75" t="s">
        <v>2458</v>
      </c>
      <c r="D75">
        <v>2</v>
      </c>
    </row>
    <row r="76" spans="1:4" x14ac:dyDescent="0.25">
      <c r="A76" t="s">
        <v>80</v>
      </c>
      <c r="B76" t="s">
        <v>1040</v>
      </c>
      <c r="C76" t="s">
        <v>1961</v>
      </c>
      <c r="D76">
        <v>4</v>
      </c>
    </row>
    <row r="77" spans="1:4" x14ac:dyDescent="0.25">
      <c r="A77" t="s">
        <v>80</v>
      </c>
      <c r="B77" t="s">
        <v>1073</v>
      </c>
      <c r="C77" t="s">
        <v>1962</v>
      </c>
      <c r="D77">
        <v>3</v>
      </c>
    </row>
    <row r="78" spans="1:4" x14ac:dyDescent="0.25">
      <c r="A78" t="s">
        <v>80</v>
      </c>
      <c r="B78" t="s">
        <v>1073</v>
      </c>
      <c r="C78" t="s">
        <v>1963</v>
      </c>
      <c r="D78">
        <v>2</v>
      </c>
    </row>
    <row r="79" spans="1:4" x14ac:dyDescent="0.25">
      <c r="A79" t="s">
        <v>80</v>
      </c>
      <c r="B79" t="s">
        <v>1481</v>
      </c>
      <c r="C79" t="s">
        <v>3735</v>
      </c>
      <c r="D79">
        <v>4</v>
      </c>
    </row>
    <row r="80" spans="1:4" x14ac:dyDescent="0.25">
      <c r="A80" t="s">
        <v>80</v>
      </c>
      <c r="B80" t="s">
        <v>1481</v>
      </c>
      <c r="C80" t="s">
        <v>2459</v>
      </c>
      <c r="D80">
        <v>5</v>
      </c>
    </row>
    <row r="81" spans="1:4" x14ac:dyDescent="0.25">
      <c r="A81" t="s">
        <v>80</v>
      </c>
      <c r="B81" t="s">
        <v>146</v>
      </c>
      <c r="C81" t="s">
        <v>1965</v>
      </c>
      <c r="D81">
        <v>4</v>
      </c>
    </row>
    <row r="82" spans="1:4" x14ac:dyDescent="0.25">
      <c r="A82" t="s">
        <v>80</v>
      </c>
      <c r="B82" t="s">
        <v>2317</v>
      </c>
      <c r="C82" t="s">
        <v>666</v>
      </c>
      <c r="D82">
        <v>3</v>
      </c>
    </row>
    <row r="83" spans="1:4" x14ac:dyDescent="0.25">
      <c r="A83" t="s">
        <v>80</v>
      </c>
      <c r="B83" t="s">
        <v>2317</v>
      </c>
      <c r="C83" t="s">
        <v>668</v>
      </c>
      <c r="D83">
        <v>2</v>
      </c>
    </row>
    <row r="84" spans="1:4" x14ac:dyDescent="0.25">
      <c r="A84" t="s">
        <v>80</v>
      </c>
      <c r="B84" t="s">
        <v>815</v>
      </c>
      <c r="C84" t="s">
        <v>670</v>
      </c>
      <c r="D84">
        <v>4</v>
      </c>
    </row>
    <row r="85" spans="1:4" x14ac:dyDescent="0.25">
      <c r="A85" t="s">
        <v>80</v>
      </c>
      <c r="B85" t="s">
        <v>76</v>
      </c>
      <c r="C85" t="s">
        <v>672</v>
      </c>
      <c r="D85">
        <v>2</v>
      </c>
    </row>
    <row r="86" spans="1:4" x14ac:dyDescent="0.25">
      <c r="A86" t="s">
        <v>80</v>
      </c>
      <c r="B86" t="s">
        <v>38</v>
      </c>
      <c r="C86" t="s">
        <v>674</v>
      </c>
      <c r="D86">
        <v>4</v>
      </c>
    </row>
    <row r="87" spans="1:4" x14ac:dyDescent="0.25">
      <c r="A87" t="s">
        <v>123</v>
      </c>
      <c r="B87" t="s">
        <v>1922</v>
      </c>
      <c r="C87" t="s">
        <v>677</v>
      </c>
      <c r="D87">
        <v>6</v>
      </c>
    </row>
    <row r="88" spans="1:4" x14ac:dyDescent="0.25">
      <c r="A88" t="s">
        <v>123</v>
      </c>
      <c r="B88" t="s">
        <v>1266</v>
      </c>
      <c r="C88" t="s">
        <v>1971</v>
      </c>
      <c r="D88">
        <v>4</v>
      </c>
    </row>
    <row r="89" spans="1:4" x14ac:dyDescent="0.25">
      <c r="A89" t="s">
        <v>123</v>
      </c>
      <c r="B89" t="s">
        <v>1691</v>
      </c>
      <c r="C89" t="s">
        <v>684</v>
      </c>
      <c r="D89">
        <v>7</v>
      </c>
    </row>
    <row r="90" spans="1:4" x14ac:dyDescent="0.25">
      <c r="A90" t="s">
        <v>123</v>
      </c>
      <c r="B90" t="s">
        <v>1613</v>
      </c>
      <c r="C90" t="s">
        <v>685</v>
      </c>
      <c r="D90">
        <v>9</v>
      </c>
    </row>
    <row r="91" spans="1:4" x14ac:dyDescent="0.25">
      <c r="A91" t="s">
        <v>123</v>
      </c>
      <c r="B91" t="s">
        <v>1246</v>
      </c>
      <c r="C91" t="s">
        <v>4403</v>
      </c>
      <c r="D91">
        <v>11</v>
      </c>
    </row>
    <row r="92" spans="1:4" x14ac:dyDescent="0.25">
      <c r="A92" t="s">
        <v>123</v>
      </c>
      <c r="B92" t="s">
        <v>641</v>
      </c>
      <c r="C92" t="s">
        <v>4404</v>
      </c>
      <c r="D92">
        <v>9</v>
      </c>
    </row>
    <row r="93" spans="1:4" x14ac:dyDescent="0.25">
      <c r="A93" t="s">
        <v>123</v>
      </c>
      <c r="B93" t="s">
        <v>568</v>
      </c>
      <c r="C93" t="s">
        <v>4405</v>
      </c>
      <c r="D93">
        <v>8</v>
      </c>
    </row>
    <row r="94" spans="1:4" x14ac:dyDescent="0.25">
      <c r="A94" t="s">
        <v>123</v>
      </c>
      <c r="B94" t="s">
        <v>568</v>
      </c>
      <c r="C94" t="s">
        <v>2467</v>
      </c>
      <c r="D94">
        <v>7</v>
      </c>
    </row>
    <row r="95" spans="1:4" x14ac:dyDescent="0.25">
      <c r="A95" t="s">
        <v>123</v>
      </c>
      <c r="B95" t="s">
        <v>1742</v>
      </c>
      <c r="C95" t="s">
        <v>4271</v>
      </c>
      <c r="D95">
        <v>4</v>
      </c>
    </row>
    <row r="96" spans="1:4" x14ac:dyDescent="0.25">
      <c r="A96" t="s">
        <v>123</v>
      </c>
      <c r="B96" t="s">
        <v>19</v>
      </c>
      <c r="C96" t="s">
        <v>4272</v>
      </c>
      <c r="D96">
        <v>3</v>
      </c>
    </row>
    <row r="97" spans="1:4" x14ac:dyDescent="0.25">
      <c r="A97" t="s">
        <v>123</v>
      </c>
      <c r="B97" t="s">
        <v>19</v>
      </c>
      <c r="C97" t="s">
        <v>3967</v>
      </c>
      <c r="D97">
        <v>2</v>
      </c>
    </row>
    <row r="98" spans="1:4" x14ac:dyDescent="0.25">
      <c r="A98" t="s">
        <v>123</v>
      </c>
      <c r="B98" t="s">
        <v>503</v>
      </c>
      <c r="C98" t="s">
        <v>4612</v>
      </c>
      <c r="D98">
        <v>1</v>
      </c>
    </row>
    <row r="99" spans="1:4" x14ac:dyDescent="0.25">
      <c r="A99" t="s">
        <v>123</v>
      </c>
      <c r="B99" t="s">
        <v>1129</v>
      </c>
      <c r="C99" t="s">
        <v>4463</v>
      </c>
      <c r="D99">
        <v>0</v>
      </c>
    </row>
    <row r="100" spans="1:4" x14ac:dyDescent="0.25">
      <c r="A100" t="s">
        <v>123</v>
      </c>
      <c r="B100" t="s">
        <v>417</v>
      </c>
      <c r="C100" t="s">
        <v>4464</v>
      </c>
      <c r="D100">
        <v>3</v>
      </c>
    </row>
    <row r="101" spans="1:4" x14ac:dyDescent="0.25">
      <c r="A101" t="s">
        <v>123</v>
      </c>
      <c r="B101" t="s">
        <v>996</v>
      </c>
      <c r="C101" t="s">
        <v>4466</v>
      </c>
      <c r="D101">
        <v>5</v>
      </c>
    </row>
    <row r="102" spans="1:4" x14ac:dyDescent="0.25">
      <c r="A102" t="s">
        <v>123</v>
      </c>
      <c r="B102" t="s">
        <v>675</v>
      </c>
      <c r="C102" t="s">
        <v>4613</v>
      </c>
      <c r="D102">
        <v>8</v>
      </c>
    </row>
    <row r="103" spans="1:4" x14ac:dyDescent="0.25">
      <c r="A103" t="s">
        <v>123</v>
      </c>
      <c r="B103" t="s">
        <v>556</v>
      </c>
      <c r="C103" t="s">
        <v>4614</v>
      </c>
      <c r="D103">
        <v>5</v>
      </c>
    </row>
    <row r="104" spans="1:4" x14ac:dyDescent="0.25">
      <c r="A104" t="s">
        <v>123</v>
      </c>
      <c r="B104" t="s">
        <v>930</v>
      </c>
      <c r="C104" t="s">
        <v>4615</v>
      </c>
      <c r="D104">
        <v>6</v>
      </c>
    </row>
    <row r="105" spans="1:4" x14ac:dyDescent="0.25">
      <c r="A105" t="s">
        <v>123</v>
      </c>
      <c r="B105" t="s">
        <v>930</v>
      </c>
      <c r="C105" t="s">
        <v>4616</v>
      </c>
      <c r="D105">
        <v>7</v>
      </c>
    </row>
    <row r="106" spans="1:4" x14ac:dyDescent="0.25">
      <c r="A106" t="s">
        <v>123</v>
      </c>
      <c r="B106" t="s">
        <v>451</v>
      </c>
      <c r="C106" t="s">
        <v>4617</v>
      </c>
      <c r="D106">
        <v>5</v>
      </c>
    </row>
    <row r="108" spans="1:4" x14ac:dyDescent="0.25">
      <c r="A108" s="2" t="s">
        <v>157</v>
      </c>
    </row>
    <row r="109" spans="1:4" x14ac:dyDescent="0.25">
      <c r="A109" t="s">
        <v>158</v>
      </c>
      <c r="D109">
        <f>AVERAGE(D2:D106)</f>
        <v>3.4761904761904763</v>
      </c>
    </row>
    <row r="110" spans="1:4" x14ac:dyDescent="0.25">
      <c r="A110" t="s">
        <v>159</v>
      </c>
      <c r="D110">
        <f>MAX(D2:D106)</f>
        <v>11</v>
      </c>
    </row>
    <row r="111" spans="1:4" x14ac:dyDescent="0.25">
      <c r="A111" t="s">
        <v>160</v>
      </c>
      <c r="D111">
        <f>MIN(D2:D106)</f>
        <v>-4</v>
      </c>
    </row>
    <row r="112" spans="1:4" x14ac:dyDescent="0.25">
      <c r="A112" t="s">
        <v>161</v>
      </c>
      <c r="D112">
        <f>COUNTIF(D2:D106,"&gt;0")</f>
        <v>86</v>
      </c>
    </row>
    <row r="113" spans="1:4" x14ac:dyDescent="0.25">
      <c r="A113" t="s">
        <v>162</v>
      </c>
      <c r="D113">
        <f>COUNTIF(D2:D106,"=0")</f>
        <v>9</v>
      </c>
    </row>
    <row r="114" spans="1:4" x14ac:dyDescent="0.25">
      <c r="A114" t="s">
        <v>4343</v>
      </c>
      <c r="D114">
        <f>COUNTIF(D2:D106,"&lt;0")</f>
        <v>10</v>
      </c>
    </row>
    <row r="116" spans="1:4" x14ac:dyDescent="0.25">
      <c r="A116" s="2" t="s">
        <v>164</v>
      </c>
    </row>
    <row r="117" spans="1:4" x14ac:dyDescent="0.25">
      <c r="A117" t="s">
        <v>165</v>
      </c>
      <c r="D117">
        <f>AVERAGE(D2,D3,D4,D5,D6,D7,D8,D9,D10,D11,D12,D13,D14,D15,D16,D17,D18,D19,D20)</f>
        <v>4.6315789473684212</v>
      </c>
    </row>
    <row r="118" spans="1:4" x14ac:dyDescent="0.25">
      <c r="A118" t="s">
        <v>166</v>
      </c>
      <c r="D118">
        <f>AVERAGE(D21,D22,D23,D24,D25,D26,D27,D28,D29,D30,D31,D32,D33,D34,D35,D36,D37,D38,D39,D40,D41,D42,D43,D44,D45,D46,D47,D48,D49,D50,D51,D52,D53,D54,D55,D56,D57,D58,D59,D60,D61)</f>
        <v>1.1219512195121952</v>
      </c>
    </row>
    <row r="119" spans="1:4" x14ac:dyDescent="0.25">
      <c r="A119" t="s">
        <v>167</v>
      </c>
      <c r="D119">
        <f>AVERAGE(D62,D63,D64,D65,D66,D67,D68,D69,D70,D71,D72,D73,D74,D75,D76,D77,D78,D79,D80,D81,D82,D83,D84,D85,D86)</f>
        <v>4.84</v>
      </c>
    </row>
    <row r="120" spans="1:4" x14ac:dyDescent="0.25">
      <c r="A120" t="s">
        <v>168</v>
      </c>
      <c r="D120">
        <f>AVERAGE(D87,D88,D89,D90,D91,D92,D93,D94,D95,D96,D97,D98,D99,D100,D101,D102,D103,D104,D105,D106)</f>
        <v>5.5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D111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1136</v>
      </c>
      <c r="C2" t="s">
        <v>908</v>
      </c>
      <c r="D2">
        <v>-2</v>
      </c>
    </row>
    <row r="3" spans="1:4" x14ac:dyDescent="0.25">
      <c r="A3" t="s">
        <v>4</v>
      </c>
      <c r="B3" t="s">
        <v>1210</v>
      </c>
      <c r="C3" t="s">
        <v>8</v>
      </c>
      <c r="D3">
        <v>0</v>
      </c>
    </row>
    <row r="4" spans="1:4" x14ac:dyDescent="0.25">
      <c r="A4" t="s">
        <v>4</v>
      </c>
      <c r="B4" t="s">
        <v>398</v>
      </c>
      <c r="C4" t="s">
        <v>1869</v>
      </c>
      <c r="D4">
        <v>-3</v>
      </c>
    </row>
    <row r="5" spans="1:4" x14ac:dyDescent="0.25">
      <c r="A5" t="s">
        <v>4</v>
      </c>
      <c r="B5" t="s">
        <v>912</v>
      </c>
      <c r="C5" t="s">
        <v>309</v>
      </c>
      <c r="D5">
        <v>-1</v>
      </c>
    </row>
    <row r="6" spans="1:4" x14ac:dyDescent="0.25">
      <c r="A6" t="s">
        <v>4</v>
      </c>
      <c r="B6" t="s">
        <v>514</v>
      </c>
      <c r="C6" t="s">
        <v>14</v>
      </c>
      <c r="D6">
        <v>-3</v>
      </c>
    </row>
    <row r="7" spans="1:4" x14ac:dyDescent="0.25">
      <c r="A7" t="s">
        <v>4</v>
      </c>
      <c r="B7" t="s">
        <v>937</v>
      </c>
      <c r="C7" t="s">
        <v>4274</v>
      </c>
      <c r="D7">
        <v>-5</v>
      </c>
    </row>
    <row r="8" spans="1:4" x14ac:dyDescent="0.25">
      <c r="A8" t="s">
        <v>4</v>
      </c>
      <c r="B8" t="s">
        <v>2080</v>
      </c>
      <c r="C8" t="s">
        <v>2153</v>
      </c>
      <c r="D8">
        <v>-3</v>
      </c>
    </row>
    <row r="9" spans="1:4" x14ac:dyDescent="0.25">
      <c r="A9" t="s">
        <v>4</v>
      </c>
      <c r="B9" t="s">
        <v>368</v>
      </c>
      <c r="C9" t="s">
        <v>1696</v>
      </c>
      <c r="D9">
        <v>-5</v>
      </c>
    </row>
    <row r="10" spans="1:4" x14ac:dyDescent="0.25">
      <c r="A10" t="s">
        <v>4</v>
      </c>
      <c r="B10" t="s">
        <v>1725</v>
      </c>
      <c r="C10" t="s">
        <v>4162</v>
      </c>
      <c r="D10">
        <v>-8</v>
      </c>
    </row>
    <row r="11" spans="1:4" x14ac:dyDescent="0.25">
      <c r="A11" t="s">
        <v>4</v>
      </c>
      <c r="B11" t="s">
        <v>2962</v>
      </c>
      <c r="C11" t="s">
        <v>2325</v>
      </c>
      <c r="D11">
        <v>-5</v>
      </c>
    </row>
    <row r="12" spans="1:4" x14ac:dyDescent="0.25">
      <c r="A12" t="s">
        <v>4</v>
      </c>
      <c r="B12" t="s">
        <v>600</v>
      </c>
      <c r="C12" t="s">
        <v>2812</v>
      </c>
      <c r="D12">
        <v>-7</v>
      </c>
    </row>
    <row r="13" spans="1:4" x14ac:dyDescent="0.25">
      <c r="A13" t="s">
        <v>4</v>
      </c>
      <c r="B13" t="s">
        <v>376</v>
      </c>
      <c r="C13" t="s">
        <v>4098</v>
      </c>
      <c r="D13">
        <v>-9</v>
      </c>
    </row>
    <row r="14" spans="1:4" x14ac:dyDescent="0.25">
      <c r="A14" t="s">
        <v>4</v>
      </c>
      <c r="B14" t="s">
        <v>378</v>
      </c>
      <c r="C14" t="s">
        <v>1702</v>
      </c>
      <c r="D14">
        <v>-8</v>
      </c>
    </row>
    <row r="15" spans="1:4" x14ac:dyDescent="0.25">
      <c r="A15" t="s">
        <v>4</v>
      </c>
      <c r="B15" t="s">
        <v>812</v>
      </c>
      <c r="C15" t="s">
        <v>3612</v>
      </c>
      <c r="D15">
        <v>-10</v>
      </c>
    </row>
    <row r="16" spans="1:4" x14ac:dyDescent="0.25">
      <c r="A16" t="s">
        <v>4</v>
      </c>
      <c r="B16" t="s">
        <v>876</v>
      </c>
      <c r="C16" t="s">
        <v>2398</v>
      </c>
      <c r="D16">
        <v>-9</v>
      </c>
    </row>
    <row r="17" spans="1:4" x14ac:dyDescent="0.25">
      <c r="A17" t="s">
        <v>4</v>
      </c>
      <c r="B17" t="s">
        <v>876</v>
      </c>
      <c r="C17" t="s">
        <v>3668</v>
      </c>
      <c r="D17">
        <v>-8</v>
      </c>
    </row>
    <row r="18" spans="1:4" x14ac:dyDescent="0.25">
      <c r="A18" t="s">
        <v>4</v>
      </c>
      <c r="B18" t="s">
        <v>1422</v>
      </c>
      <c r="C18" t="s">
        <v>3669</v>
      </c>
      <c r="D18">
        <v>-10</v>
      </c>
    </row>
    <row r="19" spans="1:4" x14ac:dyDescent="0.25">
      <c r="A19" t="s">
        <v>4</v>
      </c>
      <c r="B19" t="s">
        <v>1422</v>
      </c>
      <c r="C19" t="s">
        <v>1650</v>
      </c>
      <c r="D19">
        <v>-11</v>
      </c>
    </row>
    <row r="20" spans="1:4" x14ac:dyDescent="0.25">
      <c r="A20" t="s">
        <v>4</v>
      </c>
      <c r="B20" t="s">
        <v>417</v>
      </c>
      <c r="C20" t="s">
        <v>3616</v>
      </c>
      <c r="D20">
        <v>-9</v>
      </c>
    </row>
    <row r="21" spans="1:4" x14ac:dyDescent="0.25">
      <c r="A21" t="s">
        <v>4</v>
      </c>
      <c r="B21" t="s">
        <v>389</v>
      </c>
      <c r="C21" t="s">
        <v>3670</v>
      </c>
      <c r="D21">
        <v>-10</v>
      </c>
    </row>
    <row r="22" spans="1:4" x14ac:dyDescent="0.25">
      <c r="A22" t="s">
        <v>4</v>
      </c>
      <c r="B22" t="s">
        <v>389</v>
      </c>
      <c r="C22" t="s">
        <v>1652</v>
      </c>
      <c r="D22">
        <v>-11</v>
      </c>
    </row>
    <row r="23" spans="1:4" x14ac:dyDescent="0.25">
      <c r="A23" t="s">
        <v>4</v>
      </c>
      <c r="B23" t="s">
        <v>898</v>
      </c>
      <c r="C23" t="s">
        <v>1653</v>
      </c>
      <c r="D23">
        <v>-10</v>
      </c>
    </row>
    <row r="24" spans="1:4" x14ac:dyDescent="0.25">
      <c r="A24" t="s">
        <v>4</v>
      </c>
      <c r="B24" t="s">
        <v>612</v>
      </c>
      <c r="C24" t="s">
        <v>4618</v>
      </c>
      <c r="D24">
        <v>-13</v>
      </c>
    </row>
    <row r="25" spans="1:4" x14ac:dyDescent="0.25">
      <c r="A25" t="s">
        <v>4</v>
      </c>
      <c r="B25" t="s">
        <v>1988</v>
      </c>
      <c r="C25" t="s">
        <v>1655</v>
      </c>
      <c r="D25">
        <v>-11</v>
      </c>
    </row>
    <row r="26" spans="1:4" x14ac:dyDescent="0.25">
      <c r="A26" t="s">
        <v>4</v>
      </c>
      <c r="B26" t="s">
        <v>556</v>
      </c>
      <c r="C26" t="s">
        <v>4469</v>
      </c>
      <c r="D26">
        <v>-14</v>
      </c>
    </row>
    <row r="27" spans="1:4" x14ac:dyDescent="0.25">
      <c r="A27" t="s">
        <v>4</v>
      </c>
      <c r="B27" t="s">
        <v>1646</v>
      </c>
      <c r="C27" t="s">
        <v>4470</v>
      </c>
      <c r="D27">
        <v>-12</v>
      </c>
    </row>
    <row r="28" spans="1:4" x14ac:dyDescent="0.25">
      <c r="A28" t="s">
        <v>4</v>
      </c>
      <c r="B28" t="s">
        <v>584</v>
      </c>
      <c r="C28" t="s">
        <v>3623</v>
      </c>
      <c r="D28">
        <v>-11</v>
      </c>
    </row>
    <row r="29" spans="1:4" x14ac:dyDescent="0.25">
      <c r="A29" t="s">
        <v>4</v>
      </c>
      <c r="B29" t="s">
        <v>584</v>
      </c>
      <c r="C29" t="s">
        <v>4445</v>
      </c>
      <c r="D29">
        <v>-10</v>
      </c>
    </row>
    <row r="30" spans="1:4" x14ac:dyDescent="0.25">
      <c r="A30" t="s">
        <v>40</v>
      </c>
      <c r="B30" t="s">
        <v>1007</v>
      </c>
      <c r="C30" t="s">
        <v>2408</v>
      </c>
      <c r="D30">
        <v>-8</v>
      </c>
    </row>
    <row r="31" spans="1:4" x14ac:dyDescent="0.25">
      <c r="A31" t="s">
        <v>40</v>
      </c>
      <c r="B31" t="s">
        <v>427</v>
      </c>
      <c r="C31" t="s">
        <v>3556</v>
      </c>
      <c r="D31">
        <v>-6</v>
      </c>
    </row>
    <row r="32" spans="1:4" x14ac:dyDescent="0.25">
      <c r="A32" t="s">
        <v>40</v>
      </c>
      <c r="B32" t="s">
        <v>800</v>
      </c>
      <c r="C32" t="s">
        <v>61</v>
      </c>
      <c r="D32">
        <v>-3</v>
      </c>
    </row>
    <row r="33" spans="1:4" x14ac:dyDescent="0.25">
      <c r="A33" t="s">
        <v>40</v>
      </c>
      <c r="B33" t="s">
        <v>865</v>
      </c>
      <c r="C33" t="s">
        <v>63</v>
      </c>
      <c r="D33">
        <v>-1</v>
      </c>
    </row>
    <row r="34" spans="1:4" x14ac:dyDescent="0.25">
      <c r="A34" t="s">
        <v>40</v>
      </c>
      <c r="B34" t="s">
        <v>623</v>
      </c>
      <c r="C34" t="s">
        <v>347</v>
      </c>
      <c r="D34">
        <v>2</v>
      </c>
    </row>
    <row r="35" spans="1:4" x14ac:dyDescent="0.25">
      <c r="A35" t="s">
        <v>40</v>
      </c>
      <c r="B35" t="s">
        <v>93</v>
      </c>
      <c r="C35" t="s">
        <v>939</v>
      </c>
      <c r="D35">
        <v>5</v>
      </c>
    </row>
    <row r="36" spans="1:4" x14ac:dyDescent="0.25">
      <c r="A36" t="s">
        <v>40</v>
      </c>
      <c r="B36" t="s">
        <v>870</v>
      </c>
      <c r="C36" t="s">
        <v>353</v>
      </c>
      <c r="D36">
        <v>3</v>
      </c>
    </row>
    <row r="37" spans="1:4" x14ac:dyDescent="0.25">
      <c r="A37" t="s">
        <v>40</v>
      </c>
      <c r="B37" t="s">
        <v>1090</v>
      </c>
      <c r="C37" t="s">
        <v>3682</v>
      </c>
      <c r="D37">
        <v>5</v>
      </c>
    </row>
    <row r="38" spans="1:4" x14ac:dyDescent="0.25">
      <c r="A38" t="s">
        <v>40</v>
      </c>
      <c r="B38" t="s">
        <v>805</v>
      </c>
      <c r="C38" t="s">
        <v>1757</v>
      </c>
      <c r="D38">
        <v>3</v>
      </c>
    </row>
    <row r="39" spans="1:4" x14ac:dyDescent="0.25">
      <c r="A39" t="s">
        <v>40</v>
      </c>
      <c r="B39" t="s">
        <v>104</v>
      </c>
      <c r="C39" t="s">
        <v>1591</v>
      </c>
      <c r="D39">
        <v>5</v>
      </c>
    </row>
    <row r="40" spans="1:4" x14ac:dyDescent="0.25">
      <c r="A40" t="s">
        <v>40</v>
      </c>
      <c r="B40" t="s">
        <v>285</v>
      </c>
      <c r="C40" t="s">
        <v>1592</v>
      </c>
      <c r="D40">
        <v>7</v>
      </c>
    </row>
    <row r="41" spans="1:4" x14ac:dyDescent="0.25">
      <c r="A41" t="s">
        <v>40</v>
      </c>
      <c r="B41" t="s">
        <v>112</v>
      </c>
      <c r="C41" t="s">
        <v>1671</v>
      </c>
      <c r="D41">
        <v>6</v>
      </c>
    </row>
    <row r="42" spans="1:4" x14ac:dyDescent="0.25">
      <c r="A42" t="s">
        <v>40</v>
      </c>
      <c r="B42" t="s">
        <v>706</v>
      </c>
      <c r="C42" t="s">
        <v>2546</v>
      </c>
      <c r="D42">
        <v>4</v>
      </c>
    </row>
    <row r="43" spans="1:4" x14ac:dyDescent="0.25">
      <c r="A43" t="s">
        <v>40</v>
      </c>
      <c r="B43" t="s">
        <v>473</v>
      </c>
      <c r="C43" t="s">
        <v>2305</v>
      </c>
      <c r="D43">
        <v>5</v>
      </c>
    </row>
    <row r="44" spans="1:4" x14ac:dyDescent="0.25">
      <c r="A44" t="s">
        <v>40</v>
      </c>
      <c r="B44" t="s">
        <v>473</v>
      </c>
      <c r="C44" t="s">
        <v>1144</v>
      </c>
      <c r="D44">
        <v>6</v>
      </c>
    </row>
    <row r="45" spans="1:4" x14ac:dyDescent="0.25">
      <c r="A45" t="s">
        <v>40</v>
      </c>
      <c r="B45" t="s">
        <v>1048</v>
      </c>
      <c r="C45" t="s">
        <v>1674</v>
      </c>
      <c r="D45">
        <v>8</v>
      </c>
    </row>
    <row r="46" spans="1:4" x14ac:dyDescent="0.25">
      <c r="A46" t="s">
        <v>40</v>
      </c>
      <c r="B46" t="s">
        <v>2147</v>
      </c>
      <c r="C46" t="s">
        <v>2168</v>
      </c>
      <c r="D46">
        <v>7</v>
      </c>
    </row>
    <row r="47" spans="1:4" x14ac:dyDescent="0.25">
      <c r="A47" t="s">
        <v>40</v>
      </c>
      <c r="B47" t="s">
        <v>1019</v>
      </c>
      <c r="C47" t="s">
        <v>1595</v>
      </c>
      <c r="D47">
        <v>9</v>
      </c>
    </row>
    <row r="48" spans="1:4" x14ac:dyDescent="0.25">
      <c r="A48" t="s">
        <v>40</v>
      </c>
      <c r="B48" t="s">
        <v>1222</v>
      </c>
      <c r="C48" t="s">
        <v>2337</v>
      </c>
      <c r="D48">
        <v>7</v>
      </c>
    </row>
    <row r="49" spans="1:4" x14ac:dyDescent="0.25">
      <c r="A49" t="s">
        <v>40</v>
      </c>
      <c r="B49" t="s">
        <v>1222</v>
      </c>
      <c r="C49" t="s">
        <v>1597</v>
      </c>
      <c r="D49">
        <v>8</v>
      </c>
    </row>
    <row r="50" spans="1:4" x14ac:dyDescent="0.25">
      <c r="A50" t="s">
        <v>40</v>
      </c>
      <c r="B50" t="s">
        <v>1222</v>
      </c>
      <c r="C50" t="s">
        <v>2338</v>
      </c>
      <c r="D50">
        <v>9</v>
      </c>
    </row>
    <row r="51" spans="1:4" x14ac:dyDescent="0.25">
      <c r="A51" t="s">
        <v>40</v>
      </c>
      <c r="B51" t="s">
        <v>298</v>
      </c>
      <c r="C51" t="s">
        <v>2531</v>
      </c>
      <c r="D51">
        <v>7</v>
      </c>
    </row>
    <row r="52" spans="1:4" x14ac:dyDescent="0.25">
      <c r="A52" t="s">
        <v>80</v>
      </c>
      <c r="B52" t="s">
        <v>1138</v>
      </c>
      <c r="C52" t="s">
        <v>2911</v>
      </c>
      <c r="D52">
        <v>5</v>
      </c>
    </row>
    <row r="53" spans="1:4" x14ac:dyDescent="0.25">
      <c r="A53" t="s">
        <v>80</v>
      </c>
      <c r="B53" t="s">
        <v>1027</v>
      </c>
      <c r="C53" t="s">
        <v>2912</v>
      </c>
      <c r="D53">
        <v>7</v>
      </c>
    </row>
    <row r="54" spans="1:4" x14ac:dyDescent="0.25">
      <c r="A54" t="s">
        <v>80</v>
      </c>
      <c r="B54" t="s">
        <v>175</v>
      </c>
      <c r="C54" t="s">
        <v>2727</v>
      </c>
      <c r="D54">
        <v>4</v>
      </c>
    </row>
    <row r="55" spans="1:4" x14ac:dyDescent="0.25">
      <c r="A55" t="s">
        <v>80</v>
      </c>
      <c r="B55" t="s">
        <v>621</v>
      </c>
      <c r="C55" t="s">
        <v>3583</v>
      </c>
      <c r="D55">
        <v>6</v>
      </c>
    </row>
    <row r="56" spans="1:4" x14ac:dyDescent="0.25">
      <c r="A56" t="s">
        <v>80</v>
      </c>
      <c r="B56" t="s">
        <v>333</v>
      </c>
      <c r="C56" t="s">
        <v>1835</v>
      </c>
      <c r="D56">
        <v>4</v>
      </c>
    </row>
    <row r="57" spans="1:4" x14ac:dyDescent="0.25">
      <c r="A57" t="s">
        <v>80</v>
      </c>
      <c r="B57" t="s">
        <v>497</v>
      </c>
      <c r="C57" t="s">
        <v>2275</v>
      </c>
      <c r="D57">
        <v>7</v>
      </c>
    </row>
    <row r="58" spans="1:4" x14ac:dyDescent="0.25">
      <c r="A58" t="s">
        <v>80</v>
      </c>
      <c r="B58" t="s">
        <v>517</v>
      </c>
      <c r="C58" t="s">
        <v>2176</v>
      </c>
      <c r="D58">
        <v>5</v>
      </c>
    </row>
    <row r="59" spans="1:4" x14ac:dyDescent="0.25">
      <c r="A59" t="s">
        <v>80</v>
      </c>
      <c r="B59" t="s">
        <v>465</v>
      </c>
      <c r="C59" t="s">
        <v>2177</v>
      </c>
      <c r="D59">
        <v>4</v>
      </c>
    </row>
    <row r="60" spans="1:4" x14ac:dyDescent="0.25">
      <c r="A60" t="s">
        <v>80</v>
      </c>
      <c r="B60" t="s">
        <v>465</v>
      </c>
      <c r="C60" t="s">
        <v>2178</v>
      </c>
      <c r="D60">
        <v>3</v>
      </c>
    </row>
    <row r="61" spans="1:4" x14ac:dyDescent="0.25">
      <c r="A61" t="s">
        <v>80</v>
      </c>
      <c r="B61" t="s">
        <v>1775</v>
      </c>
      <c r="C61" t="s">
        <v>1839</v>
      </c>
      <c r="D61">
        <v>4</v>
      </c>
    </row>
    <row r="62" spans="1:4" x14ac:dyDescent="0.25">
      <c r="A62" t="s">
        <v>80</v>
      </c>
      <c r="B62" t="s">
        <v>1776</v>
      </c>
      <c r="C62" t="s">
        <v>2551</v>
      </c>
      <c r="D62">
        <v>2</v>
      </c>
    </row>
    <row r="63" spans="1:4" x14ac:dyDescent="0.25">
      <c r="A63" t="s">
        <v>80</v>
      </c>
      <c r="B63" t="s">
        <v>1151</v>
      </c>
      <c r="C63" t="s">
        <v>390</v>
      </c>
      <c r="D63">
        <v>0</v>
      </c>
    </row>
    <row r="64" spans="1:4" x14ac:dyDescent="0.25">
      <c r="A64" t="s">
        <v>80</v>
      </c>
      <c r="B64" t="s">
        <v>805</v>
      </c>
      <c r="C64" t="s">
        <v>2181</v>
      </c>
      <c r="D64">
        <v>2</v>
      </c>
    </row>
    <row r="65" spans="1:4" x14ac:dyDescent="0.25">
      <c r="A65" t="s">
        <v>80</v>
      </c>
      <c r="B65" t="s">
        <v>440</v>
      </c>
      <c r="C65" t="s">
        <v>393</v>
      </c>
      <c r="D65">
        <v>3</v>
      </c>
    </row>
    <row r="66" spans="1:4" x14ac:dyDescent="0.25">
      <c r="A66" t="s">
        <v>80</v>
      </c>
      <c r="B66" t="s">
        <v>440</v>
      </c>
      <c r="C66" t="s">
        <v>638</v>
      </c>
      <c r="D66">
        <v>4</v>
      </c>
    </row>
    <row r="67" spans="1:4" x14ac:dyDescent="0.25">
      <c r="A67" t="s">
        <v>80</v>
      </c>
      <c r="B67" t="s">
        <v>845</v>
      </c>
      <c r="C67" t="s">
        <v>3019</v>
      </c>
      <c r="D67">
        <v>6</v>
      </c>
    </row>
    <row r="68" spans="1:4" x14ac:dyDescent="0.25">
      <c r="A68" t="s">
        <v>80</v>
      </c>
      <c r="B68" t="s">
        <v>813</v>
      </c>
      <c r="C68" t="s">
        <v>2915</v>
      </c>
      <c r="D68">
        <v>3</v>
      </c>
    </row>
    <row r="69" spans="1:4" x14ac:dyDescent="0.25">
      <c r="A69" t="s">
        <v>80</v>
      </c>
      <c r="B69" t="s">
        <v>1640</v>
      </c>
      <c r="C69" t="s">
        <v>1957</v>
      </c>
      <c r="D69">
        <v>4</v>
      </c>
    </row>
    <row r="70" spans="1:4" x14ac:dyDescent="0.25">
      <c r="A70" t="s">
        <v>80</v>
      </c>
      <c r="B70" t="s">
        <v>1177</v>
      </c>
      <c r="C70" t="s">
        <v>509</v>
      </c>
      <c r="D70">
        <v>2</v>
      </c>
    </row>
    <row r="71" spans="1:4" x14ac:dyDescent="0.25">
      <c r="A71" t="s">
        <v>80</v>
      </c>
      <c r="B71" t="s">
        <v>1113</v>
      </c>
      <c r="C71" t="s">
        <v>2342</v>
      </c>
      <c r="D71">
        <v>0</v>
      </c>
    </row>
    <row r="72" spans="1:4" x14ac:dyDescent="0.25">
      <c r="A72" t="s">
        <v>80</v>
      </c>
      <c r="B72" t="s">
        <v>927</v>
      </c>
      <c r="C72" t="s">
        <v>649</v>
      </c>
      <c r="D72">
        <v>3</v>
      </c>
    </row>
    <row r="73" spans="1:4" x14ac:dyDescent="0.25">
      <c r="A73" t="s">
        <v>123</v>
      </c>
      <c r="B73" t="s">
        <v>563</v>
      </c>
      <c r="C73" t="s">
        <v>2556</v>
      </c>
      <c r="D73">
        <v>5</v>
      </c>
    </row>
    <row r="74" spans="1:4" x14ac:dyDescent="0.25">
      <c r="A74" t="s">
        <v>123</v>
      </c>
      <c r="B74" t="s">
        <v>2052</v>
      </c>
      <c r="C74" t="s">
        <v>2605</v>
      </c>
      <c r="D74">
        <v>3</v>
      </c>
    </row>
    <row r="75" spans="1:4" x14ac:dyDescent="0.25">
      <c r="A75" t="s">
        <v>123</v>
      </c>
      <c r="B75" t="s">
        <v>487</v>
      </c>
      <c r="C75" t="s">
        <v>656</v>
      </c>
      <c r="D75">
        <v>2</v>
      </c>
    </row>
    <row r="76" spans="1:4" x14ac:dyDescent="0.25">
      <c r="A76" t="s">
        <v>123</v>
      </c>
      <c r="B76" t="s">
        <v>487</v>
      </c>
      <c r="C76" t="s">
        <v>1960</v>
      </c>
      <c r="D76">
        <v>1</v>
      </c>
    </row>
    <row r="77" spans="1:4" x14ac:dyDescent="0.25">
      <c r="A77" t="s">
        <v>123</v>
      </c>
      <c r="B77" t="s">
        <v>487</v>
      </c>
      <c r="C77" t="s">
        <v>657</v>
      </c>
      <c r="D77">
        <v>0</v>
      </c>
    </row>
    <row r="78" spans="1:4" x14ac:dyDescent="0.25">
      <c r="A78" t="s">
        <v>123</v>
      </c>
      <c r="B78" t="s">
        <v>719</v>
      </c>
      <c r="C78" t="s">
        <v>2242</v>
      </c>
      <c r="D78">
        <v>-2</v>
      </c>
    </row>
    <row r="79" spans="1:4" x14ac:dyDescent="0.25">
      <c r="A79" t="s">
        <v>123</v>
      </c>
      <c r="B79" t="s">
        <v>1192</v>
      </c>
      <c r="C79" t="s">
        <v>2243</v>
      </c>
      <c r="D79">
        <v>0</v>
      </c>
    </row>
    <row r="80" spans="1:4" x14ac:dyDescent="0.25">
      <c r="A80" t="s">
        <v>123</v>
      </c>
      <c r="B80" t="s">
        <v>132</v>
      </c>
      <c r="C80" t="s">
        <v>523</v>
      </c>
      <c r="D80">
        <v>-3</v>
      </c>
    </row>
    <row r="81" spans="1:4" x14ac:dyDescent="0.25">
      <c r="A81" t="s">
        <v>123</v>
      </c>
      <c r="B81" t="s">
        <v>91</v>
      </c>
      <c r="C81" t="s">
        <v>297</v>
      </c>
      <c r="D81">
        <v>-6</v>
      </c>
    </row>
    <row r="82" spans="1:4" x14ac:dyDescent="0.25">
      <c r="A82" t="s">
        <v>123</v>
      </c>
      <c r="B82" t="s">
        <v>1498</v>
      </c>
      <c r="C82" t="s">
        <v>300</v>
      </c>
      <c r="D82">
        <v>-8</v>
      </c>
    </row>
    <row r="83" spans="1:4" x14ac:dyDescent="0.25">
      <c r="A83" t="s">
        <v>123</v>
      </c>
      <c r="B83" t="s">
        <v>186</v>
      </c>
      <c r="C83" t="s">
        <v>3961</v>
      </c>
      <c r="D83">
        <v>-10</v>
      </c>
    </row>
    <row r="84" spans="1:4" x14ac:dyDescent="0.25">
      <c r="A84" t="s">
        <v>123</v>
      </c>
      <c r="B84" t="s">
        <v>1288</v>
      </c>
      <c r="C84" t="s">
        <v>3979</v>
      </c>
      <c r="D84">
        <v>-8</v>
      </c>
    </row>
    <row r="85" spans="1:4" x14ac:dyDescent="0.25">
      <c r="A85" t="s">
        <v>123</v>
      </c>
      <c r="B85" t="s">
        <v>874</v>
      </c>
      <c r="C85" t="s">
        <v>4558</v>
      </c>
      <c r="D85">
        <v>-10</v>
      </c>
    </row>
    <row r="86" spans="1:4" x14ac:dyDescent="0.25">
      <c r="A86" t="s">
        <v>123</v>
      </c>
      <c r="B86" t="s">
        <v>943</v>
      </c>
      <c r="C86" t="s">
        <v>4619</v>
      </c>
      <c r="D86">
        <v>-11</v>
      </c>
    </row>
    <row r="87" spans="1:4" x14ac:dyDescent="0.25">
      <c r="A87" t="s">
        <v>123</v>
      </c>
      <c r="B87" t="s">
        <v>1092</v>
      </c>
      <c r="C87" t="s">
        <v>4620</v>
      </c>
      <c r="D87">
        <v>-14</v>
      </c>
    </row>
    <row r="88" spans="1:4" x14ac:dyDescent="0.25">
      <c r="A88" t="s">
        <v>123</v>
      </c>
      <c r="B88" t="s">
        <v>223</v>
      </c>
      <c r="C88" t="s">
        <v>4621</v>
      </c>
      <c r="D88">
        <v>-12</v>
      </c>
    </row>
    <row r="89" spans="1:4" x14ac:dyDescent="0.25">
      <c r="A89" t="s">
        <v>123</v>
      </c>
      <c r="B89" t="s">
        <v>631</v>
      </c>
      <c r="C89" t="s">
        <v>3649</v>
      </c>
      <c r="D89">
        <v>-15</v>
      </c>
    </row>
    <row r="90" spans="1:4" x14ac:dyDescent="0.25">
      <c r="A90" t="s">
        <v>123</v>
      </c>
      <c r="B90" t="s">
        <v>292</v>
      </c>
      <c r="C90" t="s">
        <v>4622</v>
      </c>
      <c r="D90">
        <v>-16</v>
      </c>
    </row>
    <row r="91" spans="1:4" x14ac:dyDescent="0.25">
      <c r="A91" t="s">
        <v>123</v>
      </c>
      <c r="B91" t="s">
        <v>292</v>
      </c>
      <c r="C91" t="s">
        <v>4623</v>
      </c>
      <c r="D91">
        <v>-17</v>
      </c>
    </row>
    <row r="92" spans="1:4" x14ac:dyDescent="0.25">
      <c r="A92" t="s">
        <v>123</v>
      </c>
      <c r="B92" t="s">
        <v>2363</v>
      </c>
      <c r="C92" t="s">
        <v>4624</v>
      </c>
      <c r="D92">
        <v>-18</v>
      </c>
    </row>
    <row r="93" spans="1:4" x14ac:dyDescent="0.25">
      <c r="A93" t="s">
        <v>123</v>
      </c>
      <c r="B93" t="s">
        <v>2363</v>
      </c>
      <c r="C93" t="s">
        <v>4625</v>
      </c>
      <c r="D93">
        <v>-19</v>
      </c>
    </row>
    <row r="94" spans="1:4" x14ac:dyDescent="0.25">
      <c r="A94" t="s">
        <v>123</v>
      </c>
      <c r="B94" t="s">
        <v>1402</v>
      </c>
      <c r="C94" t="s">
        <v>4626</v>
      </c>
      <c r="D94">
        <v>-17</v>
      </c>
    </row>
    <row r="95" spans="1:4" x14ac:dyDescent="0.25">
      <c r="A95" t="s">
        <v>123</v>
      </c>
      <c r="B95" t="s">
        <v>1622</v>
      </c>
      <c r="C95" t="s">
        <v>4627</v>
      </c>
      <c r="D95">
        <v>-18</v>
      </c>
    </row>
    <row r="96" spans="1:4" x14ac:dyDescent="0.25">
      <c r="A96" t="s">
        <v>123</v>
      </c>
      <c r="B96" t="s">
        <v>1622</v>
      </c>
      <c r="C96" t="s">
        <v>4628</v>
      </c>
      <c r="D96">
        <v>-19</v>
      </c>
    </row>
    <row r="97" spans="1:4" x14ac:dyDescent="0.25">
      <c r="A97" t="s">
        <v>123</v>
      </c>
      <c r="B97" t="s">
        <v>1356</v>
      </c>
      <c r="C97" t="s">
        <v>1804</v>
      </c>
      <c r="D97">
        <v>-16</v>
      </c>
    </row>
    <row r="99" spans="1:4" x14ac:dyDescent="0.25">
      <c r="A99" s="2" t="s">
        <v>157</v>
      </c>
    </row>
    <row r="100" spans="1:4" x14ac:dyDescent="0.25">
      <c r="A100" t="s">
        <v>158</v>
      </c>
      <c r="D100">
        <f>AVERAGE(D2:D97)</f>
        <v>-2.9166666666666665</v>
      </c>
    </row>
    <row r="101" spans="1:4" x14ac:dyDescent="0.25">
      <c r="A101" t="s">
        <v>159</v>
      </c>
      <c r="D101">
        <f>MAX(D2:D97)</f>
        <v>9</v>
      </c>
    </row>
    <row r="102" spans="1:4" x14ac:dyDescent="0.25">
      <c r="A102" t="s">
        <v>160</v>
      </c>
      <c r="D102">
        <f>MIN(D2:D97)</f>
        <v>-19</v>
      </c>
    </row>
    <row r="103" spans="1:4" x14ac:dyDescent="0.25">
      <c r="A103" t="s">
        <v>161</v>
      </c>
      <c r="D103">
        <f>COUNTIF(D2:D97,"&gt;0")</f>
        <v>41</v>
      </c>
    </row>
    <row r="104" spans="1:4" x14ac:dyDescent="0.25">
      <c r="A104" t="s">
        <v>162</v>
      </c>
      <c r="D104">
        <f>COUNTIF(D2:D97,"=0")</f>
        <v>5</v>
      </c>
    </row>
    <row r="105" spans="1:4" x14ac:dyDescent="0.25">
      <c r="A105" t="s">
        <v>4343</v>
      </c>
      <c r="D105">
        <f>COUNTIF(D2:D97,"&lt;0")</f>
        <v>50</v>
      </c>
    </row>
    <row r="107" spans="1:4" x14ac:dyDescent="0.25">
      <c r="A107" s="2" t="s">
        <v>164</v>
      </c>
    </row>
    <row r="108" spans="1:4" x14ac:dyDescent="0.25">
      <c r="A108" t="s">
        <v>165</v>
      </c>
      <c r="D108">
        <f>AVERAGE(D2,D3,D4,D5,D6,D7,D8,D9,D10,D11,D12,D13,D14,D15,D16,D17,D18,D19,D20,D21,D22,D23,D24,D25,D26,D27,D28,D29)</f>
        <v>-7.7857142857142856</v>
      </c>
    </row>
    <row r="109" spans="1:4" x14ac:dyDescent="0.25">
      <c r="A109" t="s">
        <v>166</v>
      </c>
      <c r="D109">
        <f>AVERAGE(D30,D31,D32,D33,D34,D35,D36,D37,D38,D39,D40,D41,D42,D43,D44,D45,D46,D47,D48,D49,D50,D51)</f>
        <v>4</v>
      </c>
    </row>
    <row r="110" spans="1:4" x14ac:dyDescent="0.25">
      <c r="A110" t="s">
        <v>167</v>
      </c>
      <c r="D110">
        <f>AVERAGE(D52,D53,D54,D55,D56,D57,D58,D59,D60,D61,D62,D63,D64,D65,D66,D67,D68,D69,D70,D71,D72)</f>
        <v>3.7142857142857144</v>
      </c>
    </row>
    <row r="111" spans="1:4" x14ac:dyDescent="0.25">
      <c r="A111" t="s">
        <v>168</v>
      </c>
      <c r="D111">
        <f>AVERAGE(D73,D74,D75,D76,D77,D78,D79,D80,D81,D82,D83,D84,D85,D86,D87,D88,D89,D90,D91,D92,D93,D94,D95,D96,D97)</f>
        <v>-9.1199999999999992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D106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1541</v>
      </c>
      <c r="C2" t="s">
        <v>6</v>
      </c>
      <c r="D2">
        <v>2</v>
      </c>
    </row>
    <row r="3" spans="1:4" x14ac:dyDescent="0.25">
      <c r="A3" t="s">
        <v>4</v>
      </c>
      <c r="B3" t="s">
        <v>242</v>
      </c>
      <c r="C3" t="s">
        <v>2353</v>
      </c>
      <c r="D3">
        <v>4</v>
      </c>
    </row>
    <row r="4" spans="1:4" x14ac:dyDescent="0.25">
      <c r="A4" t="s">
        <v>4</v>
      </c>
      <c r="B4" t="s">
        <v>1545</v>
      </c>
      <c r="C4" t="s">
        <v>2643</v>
      </c>
      <c r="D4">
        <v>7</v>
      </c>
    </row>
    <row r="5" spans="1:4" x14ac:dyDescent="0.25">
      <c r="A5" t="s">
        <v>4</v>
      </c>
      <c r="B5" t="s">
        <v>211</v>
      </c>
      <c r="C5" t="s">
        <v>2475</v>
      </c>
      <c r="D5">
        <v>9</v>
      </c>
    </row>
    <row r="6" spans="1:4" x14ac:dyDescent="0.25">
      <c r="A6" t="s">
        <v>4</v>
      </c>
      <c r="B6" t="s">
        <v>2510</v>
      </c>
      <c r="C6" t="s">
        <v>2476</v>
      </c>
      <c r="D6">
        <v>11</v>
      </c>
    </row>
    <row r="7" spans="1:4" x14ac:dyDescent="0.25">
      <c r="A7" t="s">
        <v>4</v>
      </c>
      <c r="B7" t="s">
        <v>625</v>
      </c>
      <c r="C7" t="s">
        <v>2477</v>
      </c>
      <c r="D7">
        <v>13</v>
      </c>
    </row>
    <row r="8" spans="1:4" x14ac:dyDescent="0.25">
      <c r="A8" t="s">
        <v>4</v>
      </c>
      <c r="B8" t="s">
        <v>181</v>
      </c>
      <c r="C8" t="s">
        <v>1270</v>
      </c>
      <c r="D8">
        <v>10</v>
      </c>
    </row>
    <row r="9" spans="1:4" x14ac:dyDescent="0.25">
      <c r="A9" t="s">
        <v>4</v>
      </c>
      <c r="B9" t="s">
        <v>1350</v>
      </c>
      <c r="C9" t="s">
        <v>3154</v>
      </c>
      <c r="D9">
        <v>12</v>
      </c>
    </row>
    <row r="10" spans="1:4" x14ac:dyDescent="0.25">
      <c r="A10" t="s">
        <v>4</v>
      </c>
      <c r="B10" t="s">
        <v>337</v>
      </c>
      <c r="C10" t="s">
        <v>4029</v>
      </c>
      <c r="D10">
        <v>11</v>
      </c>
    </row>
    <row r="11" spans="1:4" x14ac:dyDescent="0.25">
      <c r="A11" t="s">
        <v>4</v>
      </c>
      <c r="B11" t="s">
        <v>376</v>
      </c>
      <c r="C11" t="s">
        <v>4030</v>
      </c>
      <c r="D11">
        <v>13</v>
      </c>
    </row>
    <row r="12" spans="1:4" x14ac:dyDescent="0.25">
      <c r="A12" t="s">
        <v>4</v>
      </c>
      <c r="B12" t="s">
        <v>110</v>
      </c>
      <c r="C12" t="s">
        <v>3367</v>
      </c>
      <c r="D12">
        <v>16</v>
      </c>
    </row>
    <row r="13" spans="1:4" x14ac:dyDescent="0.25">
      <c r="A13" t="s">
        <v>4</v>
      </c>
      <c r="B13" t="s">
        <v>896</v>
      </c>
      <c r="C13" t="s">
        <v>3467</v>
      </c>
      <c r="D13">
        <v>19</v>
      </c>
    </row>
    <row r="14" spans="1:4" x14ac:dyDescent="0.25">
      <c r="A14" t="s">
        <v>4</v>
      </c>
      <c r="B14" t="s">
        <v>1019</v>
      </c>
      <c r="C14" t="s">
        <v>4606</v>
      </c>
      <c r="D14">
        <v>16</v>
      </c>
    </row>
    <row r="15" spans="1:4" x14ac:dyDescent="0.25">
      <c r="A15" t="s">
        <v>4</v>
      </c>
      <c r="B15" t="s">
        <v>1204</v>
      </c>
      <c r="C15" t="s">
        <v>4629</v>
      </c>
      <c r="D15">
        <v>18</v>
      </c>
    </row>
    <row r="16" spans="1:4" x14ac:dyDescent="0.25">
      <c r="A16" t="s">
        <v>4</v>
      </c>
      <c r="B16" t="s">
        <v>634</v>
      </c>
      <c r="C16" t="s">
        <v>3047</v>
      </c>
      <c r="D16">
        <v>16</v>
      </c>
    </row>
    <row r="17" spans="1:4" x14ac:dyDescent="0.25">
      <c r="A17" t="s">
        <v>40</v>
      </c>
      <c r="B17" t="s">
        <v>795</v>
      </c>
      <c r="C17" t="s">
        <v>3730</v>
      </c>
      <c r="D17">
        <v>13</v>
      </c>
    </row>
    <row r="18" spans="1:4" x14ac:dyDescent="0.25">
      <c r="A18" t="s">
        <v>40</v>
      </c>
      <c r="B18" t="s">
        <v>1680</v>
      </c>
      <c r="C18" t="s">
        <v>2897</v>
      </c>
      <c r="D18">
        <v>15</v>
      </c>
    </row>
    <row r="19" spans="1:4" x14ac:dyDescent="0.25">
      <c r="A19" t="s">
        <v>40</v>
      </c>
      <c r="B19" t="s">
        <v>242</v>
      </c>
      <c r="C19" t="s">
        <v>2049</v>
      </c>
      <c r="D19">
        <v>12</v>
      </c>
    </row>
    <row r="20" spans="1:4" x14ac:dyDescent="0.25">
      <c r="A20" t="s">
        <v>40</v>
      </c>
      <c r="B20" t="s">
        <v>271</v>
      </c>
      <c r="C20" t="s">
        <v>3052</v>
      </c>
      <c r="D20">
        <v>14</v>
      </c>
    </row>
    <row r="21" spans="1:4" x14ac:dyDescent="0.25">
      <c r="A21" t="s">
        <v>40</v>
      </c>
      <c r="B21" t="s">
        <v>1849</v>
      </c>
      <c r="C21" t="s">
        <v>3390</v>
      </c>
      <c r="D21">
        <v>12</v>
      </c>
    </row>
    <row r="22" spans="1:4" x14ac:dyDescent="0.25">
      <c r="A22" t="s">
        <v>40</v>
      </c>
      <c r="B22" t="s">
        <v>1244</v>
      </c>
      <c r="C22" t="s">
        <v>2053</v>
      </c>
      <c r="D22">
        <v>15</v>
      </c>
    </row>
    <row r="23" spans="1:4" x14ac:dyDescent="0.25">
      <c r="A23" t="s">
        <v>40</v>
      </c>
      <c r="B23" t="s">
        <v>1118</v>
      </c>
      <c r="C23" t="s">
        <v>2054</v>
      </c>
      <c r="D23">
        <v>17</v>
      </c>
    </row>
    <row r="24" spans="1:4" x14ac:dyDescent="0.25">
      <c r="A24" t="s">
        <v>40</v>
      </c>
      <c r="B24" t="s">
        <v>1495</v>
      </c>
      <c r="C24" t="s">
        <v>4277</v>
      </c>
      <c r="D24">
        <v>16</v>
      </c>
    </row>
    <row r="25" spans="1:4" x14ac:dyDescent="0.25">
      <c r="A25" t="s">
        <v>40</v>
      </c>
      <c r="B25" t="s">
        <v>1495</v>
      </c>
      <c r="C25" t="s">
        <v>3391</v>
      </c>
      <c r="D25">
        <v>15</v>
      </c>
    </row>
    <row r="26" spans="1:4" x14ac:dyDescent="0.25">
      <c r="A26" t="s">
        <v>40</v>
      </c>
      <c r="B26" t="s">
        <v>91</v>
      </c>
      <c r="C26" t="s">
        <v>1292</v>
      </c>
      <c r="D26">
        <v>17</v>
      </c>
    </row>
    <row r="27" spans="1:4" x14ac:dyDescent="0.25">
      <c r="A27" t="s">
        <v>40</v>
      </c>
      <c r="B27" t="s">
        <v>737</v>
      </c>
      <c r="C27" t="s">
        <v>1294</v>
      </c>
      <c r="D27">
        <v>19</v>
      </c>
    </row>
    <row r="28" spans="1:4" x14ac:dyDescent="0.25">
      <c r="A28" t="s">
        <v>40</v>
      </c>
      <c r="B28" t="s">
        <v>405</v>
      </c>
      <c r="C28" t="s">
        <v>1296</v>
      </c>
      <c r="D28">
        <v>17</v>
      </c>
    </row>
    <row r="29" spans="1:4" x14ac:dyDescent="0.25">
      <c r="A29" t="s">
        <v>40</v>
      </c>
      <c r="B29" t="s">
        <v>408</v>
      </c>
      <c r="C29" t="s">
        <v>4348</v>
      </c>
      <c r="D29">
        <v>20</v>
      </c>
    </row>
    <row r="30" spans="1:4" x14ac:dyDescent="0.25">
      <c r="A30" t="s">
        <v>40</v>
      </c>
      <c r="B30" t="s">
        <v>99</v>
      </c>
      <c r="C30" t="s">
        <v>3234</v>
      </c>
      <c r="D30">
        <v>22</v>
      </c>
    </row>
    <row r="31" spans="1:4" x14ac:dyDescent="0.25">
      <c r="A31" t="s">
        <v>40</v>
      </c>
      <c r="B31" t="s">
        <v>961</v>
      </c>
      <c r="C31" t="s">
        <v>4630</v>
      </c>
      <c r="D31">
        <v>19</v>
      </c>
    </row>
    <row r="32" spans="1:4" x14ac:dyDescent="0.25">
      <c r="A32" t="s">
        <v>40</v>
      </c>
      <c r="B32" t="s">
        <v>805</v>
      </c>
      <c r="C32" t="s">
        <v>1300</v>
      </c>
      <c r="D32">
        <v>20</v>
      </c>
    </row>
    <row r="33" spans="1:4" x14ac:dyDescent="0.25">
      <c r="A33" t="s">
        <v>40</v>
      </c>
      <c r="B33" t="s">
        <v>104</v>
      </c>
      <c r="C33" t="s">
        <v>3055</v>
      </c>
      <c r="D33">
        <v>18</v>
      </c>
    </row>
    <row r="34" spans="1:4" x14ac:dyDescent="0.25">
      <c r="A34" t="s">
        <v>40</v>
      </c>
      <c r="B34" t="s">
        <v>108</v>
      </c>
      <c r="C34" t="s">
        <v>3237</v>
      </c>
      <c r="D34">
        <v>20</v>
      </c>
    </row>
    <row r="35" spans="1:4" x14ac:dyDescent="0.25">
      <c r="A35" t="s">
        <v>40</v>
      </c>
      <c r="B35" t="s">
        <v>286</v>
      </c>
      <c r="C35" t="s">
        <v>1047</v>
      </c>
      <c r="D35">
        <v>22</v>
      </c>
    </row>
    <row r="36" spans="1:4" x14ac:dyDescent="0.25">
      <c r="A36" t="s">
        <v>40</v>
      </c>
      <c r="B36" t="s">
        <v>114</v>
      </c>
      <c r="C36" t="s">
        <v>3164</v>
      </c>
      <c r="D36">
        <v>20</v>
      </c>
    </row>
    <row r="37" spans="1:4" x14ac:dyDescent="0.25">
      <c r="A37" t="s">
        <v>40</v>
      </c>
      <c r="B37" t="s">
        <v>477</v>
      </c>
      <c r="C37" t="s">
        <v>3058</v>
      </c>
      <c r="D37">
        <v>22</v>
      </c>
    </row>
    <row r="38" spans="1:4" x14ac:dyDescent="0.25">
      <c r="A38" t="s">
        <v>40</v>
      </c>
      <c r="B38" t="s">
        <v>581</v>
      </c>
      <c r="C38" t="s">
        <v>4631</v>
      </c>
      <c r="D38">
        <v>21</v>
      </c>
    </row>
    <row r="39" spans="1:4" x14ac:dyDescent="0.25">
      <c r="A39" t="s">
        <v>40</v>
      </c>
      <c r="B39" t="s">
        <v>581</v>
      </c>
      <c r="C39" t="s">
        <v>3059</v>
      </c>
      <c r="D39">
        <v>20</v>
      </c>
    </row>
    <row r="40" spans="1:4" x14ac:dyDescent="0.25">
      <c r="A40" t="s">
        <v>40</v>
      </c>
      <c r="B40" t="s">
        <v>1222</v>
      </c>
      <c r="C40" t="s">
        <v>3739</v>
      </c>
      <c r="D40">
        <v>19</v>
      </c>
    </row>
    <row r="41" spans="1:4" x14ac:dyDescent="0.25">
      <c r="A41" t="s">
        <v>40</v>
      </c>
      <c r="B41" t="s">
        <v>582</v>
      </c>
      <c r="C41" t="s">
        <v>2818</v>
      </c>
      <c r="D41">
        <v>16</v>
      </c>
    </row>
    <row r="42" spans="1:4" x14ac:dyDescent="0.25">
      <c r="A42" t="s">
        <v>40</v>
      </c>
      <c r="B42" t="s">
        <v>582</v>
      </c>
      <c r="C42" t="s">
        <v>952</v>
      </c>
      <c r="D42">
        <v>15</v>
      </c>
    </row>
    <row r="43" spans="1:4" x14ac:dyDescent="0.25">
      <c r="A43" t="s">
        <v>40</v>
      </c>
      <c r="B43" t="s">
        <v>36</v>
      </c>
      <c r="C43" t="s">
        <v>953</v>
      </c>
      <c r="D43">
        <v>17</v>
      </c>
    </row>
    <row r="44" spans="1:4" x14ac:dyDescent="0.25">
      <c r="A44" t="s">
        <v>40</v>
      </c>
      <c r="B44" t="s">
        <v>78</v>
      </c>
      <c r="C44" t="s">
        <v>2819</v>
      </c>
      <c r="D44">
        <v>15</v>
      </c>
    </row>
    <row r="45" spans="1:4" x14ac:dyDescent="0.25">
      <c r="A45" t="s">
        <v>80</v>
      </c>
      <c r="B45" t="s">
        <v>1136</v>
      </c>
      <c r="C45" t="s">
        <v>3128</v>
      </c>
      <c r="D45">
        <v>18</v>
      </c>
    </row>
    <row r="46" spans="1:4" x14ac:dyDescent="0.25">
      <c r="A46" t="s">
        <v>80</v>
      </c>
      <c r="B46" t="s">
        <v>1057</v>
      </c>
      <c r="C46" t="s">
        <v>3060</v>
      </c>
      <c r="D46">
        <v>20</v>
      </c>
    </row>
    <row r="47" spans="1:4" x14ac:dyDescent="0.25">
      <c r="A47" t="s">
        <v>80</v>
      </c>
      <c r="B47" t="s">
        <v>1169</v>
      </c>
      <c r="C47" t="s">
        <v>3062</v>
      </c>
      <c r="D47">
        <v>18</v>
      </c>
    </row>
    <row r="48" spans="1:4" x14ac:dyDescent="0.25">
      <c r="A48" t="s">
        <v>80</v>
      </c>
      <c r="B48" t="s">
        <v>937</v>
      </c>
      <c r="C48" t="s">
        <v>2787</v>
      </c>
      <c r="D48">
        <v>16</v>
      </c>
    </row>
    <row r="49" spans="1:4" x14ac:dyDescent="0.25">
      <c r="A49" t="s">
        <v>80</v>
      </c>
      <c r="B49" t="s">
        <v>213</v>
      </c>
      <c r="C49" t="s">
        <v>3345</v>
      </c>
      <c r="D49">
        <v>19</v>
      </c>
    </row>
    <row r="50" spans="1:4" x14ac:dyDescent="0.25">
      <c r="A50" t="s">
        <v>80</v>
      </c>
      <c r="B50" t="s">
        <v>1441</v>
      </c>
      <c r="C50" t="s">
        <v>3175</v>
      </c>
      <c r="D50">
        <v>22</v>
      </c>
    </row>
    <row r="51" spans="1:4" x14ac:dyDescent="0.25">
      <c r="A51" t="s">
        <v>80</v>
      </c>
      <c r="B51" t="s">
        <v>95</v>
      </c>
      <c r="C51" t="s">
        <v>4632</v>
      </c>
      <c r="D51">
        <v>23</v>
      </c>
    </row>
    <row r="52" spans="1:4" x14ac:dyDescent="0.25">
      <c r="A52" t="s">
        <v>80</v>
      </c>
      <c r="B52" t="s">
        <v>140</v>
      </c>
      <c r="C52" t="s">
        <v>3673</v>
      </c>
      <c r="D52">
        <v>24</v>
      </c>
    </row>
    <row r="53" spans="1:4" x14ac:dyDescent="0.25">
      <c r="A53" t="s">
        <v>80</v>
      </c>
      <c r="B53" t="s">
        <v>140</v>
      </c>
      <c r="C53" t="s">
        <v>3176</v>
      </c>
      <c r="D53">
        <v>25</v>
      </c>
    </row>
    <row r="54" spans="1:4" x14ac:dyDescent="0.25">
      <c r="A54" t="s">
        <v>80</v>
      </c>
      <c r="B54" t="s">
        <v>140</v>
      </c>
      <c r="C54" t="s">
        <v>4633</v>
      </c>
      <c r="D54">
        <v>26</v>
      </c>
    </row>
    <row r="55" spans="1:4" x14ac:dyDescent="0.25">
      <c r="A55" t="s">
        <v>80</v>
      </c>
      <c r="B55" t="s">
        <v>2250</v>
      </c>
      <c r="C55" t="s">
        <v>2079</v>
      </c>
      <c r="D55">
        <v>29</v>
      </c>
    </row>
    <row r="56" spans="1:4" x14ac:dyDescent="0.25">
      <c r="A56" t="s">
        <v>80</v>
      </c>
      <c r="B56" t="s">
        <v>729</v>
      </c>
      <c r="C56" t="s">
        <v>3747</v>
      </c>
      <c r="D56">
        <v>26</v>
      </c>
    </row>
    <row r="57" spans="1:4" x14ac:dyDescent="0.25">
      <c r="A57" t="s">
        <v>80</v>
      </c>
      <c r="B57" t="s">
        <v>339</v>
      </c>
      <c r="C57" t="s">
        <v>4634</v>
      </c>
      <c r="D57">
        <v>28</v>
      </c>
    </row>
    <row r="58" spans="1:4" x14ac:dyDescent="0.25">
      <c r="A58" t="s">
        <v>80</v>
      </c>
      <c r="B58" t="s">
        <v>577</v>
      </c>
      <c r="C58" t="s">
        <v>3677</v>
      </c>
      <c r="D58">
        <v>27</v>
      </c>
    </row>
    <row r="59" spans="1:4" x14ac:dyDescent="0.25">
      <c r="A59" t="s">
        <v>80</v>
      </c>
      <c r="B59" t="s">
        <v>577</v>
      </c>
      <c r="C59" t="s">
        <v>2831</v>
      </c>
      <c r="D59">
        <v>28</v>
      </c>
    </row>
    <row r="60" spans="1:4" x14ac:dyDescent="0.25">
      <c r="A60" t="s">
        <v>80</v>
      </c>
      <c r="B60" t="s">
        <v>577</v>
      </c>
      <c r="C60" t="s">
        <v>4248</v>
      </c>
      <c r="D60">
        <v>29</v>
      </c>
    </row>
    <row r="61" spans="1:4" x14ac:dyDescent="0.25">
      <c r="A61" t="s">
        <v>80</v>
      </c>
      <c r="B61" t="s">
        <v>611</v>
      </c>
      <c r="C61" t="s">
        <v>3251</v>
      </c>
      <c r="D61">
        <v>27</v>
      </c>
    </row>
    <row r="62" spans="1:4" x14ac:dyDescent="0.25">
      <c r="A62" t="s">
        <v>80</v>
      </c>
      <c r="B62" t="s">
        <v>1750</v>
      </c>
      <c r="C62" t="s">
        <v>3252</v>
      </c>
      <c r="D62">
        <v>29</v>
      </c>
    </row>
    <row r="63" spans="1:4" x14ac:dyDescent="0.25">
      <c r="A63" t="s">
        <v>80</v>
      </c>
      <c r="B63" t="s">
        <v>1750</v>
      </c>
      <c r="C63" t="s">
        <v>4590</v>
      </c>
      <c r="D63">
        <v>30</v>
      </c>
    </row>
    <row r="64" spans="1:4" x14ac:dyDescent="0.25">
      <c r="A64" t="s">
        <v>80</v>
      </c>
      <c r="B64" t="s">
        <v>72</v>
      </c>
      <c r="C64" t="s">
        <v>4262</v>
      </c>
      <c r="D64">
        <v>27</v>
      </c>
    </row>
    <row r="65" spans="1:4" x14ac:dyDescent="0.25">
      <c r="A65" t="s">
        <v>80</v>
      </c>
      <c r="B65" t="s">
        <v>72</v>
      </c>
      <c r="C65" t="s">
        <v>1410</v>
      </c>
      <c r="D65">
        <v>28</v>
      </c>
    </row>
    <row r="66" spans="1:4" x14ac:dyDescent="0.25">
      <c r="A66" t="s">
        <v>80</v>
      </c>
      <c r="B66" t="s">
        <v>202</v>
      </c>
      <c r="C66" t="s">
        <v>4635</v>
      </c>
      <c r="D66">
        <v>25</v>
      </c>
    </row>
    <row r="67" spans="1:4" x14ac:dyDescent="0.25">
      <c r="A67" t="s">
        <v>80</v>
      </c>
      <c r="B67" t="s">
        <v>1646</v>
      </c>
      <c r="C67" t="s">
        <v>4020</v>
      </c>
      <c r="D67">
        <v>28</v>
      </c>
    </row>
    <row r="68" spans="1:4" x14ac:dyDescent="0.25">
      <c r="A68" t="s">
        <v>123</v>
      </c>
      <c r="B68" t="s">
        <v>128</v>
      </c>
      <c r="C68" t="s">
        <v>3414</v>
      </c>
      <c r="D68">
        <v>26</v>
      </c>
    </row>
    <row r="69" spans="1:4" x14ac:dyDescent="0.25">
      <c r="A69" t="s">
        <v>123</v>
      </c>
      <c r="B69" t="s">
        <v>1973</v>
      </c>
      <c r="C69" t="s">
        <v>4377</v>
      </c>
      <c r="D69">
        <v>25</v>
      </c>
    </row>
    <row r="70" spans="1:4" x14ac:dyDescent="0.25">
      <c r="A70" t="s">
        <v>123</v>
      </c>
      <c r="B70" t="s">
        <v>1973</v>
      </c>
      <c r="C70" t="s">
        <v>3415</v>
      </c>
      <c r="D70">
        <v>24</v>
      </c>
    </row>
    <row r="71" spans="1:4" x14ac:dyDescent="0.25">
      <c r="A71" t="s">
        <v>123</v>
      </c>
      <c r="B71" t="s">
        <v>1973</v>
      </c>
      <c r="C71" t="s">
        <v>2382</v>
      </c>
      <c r="D71">
        <v>23</v>
      </c>
    </row>
    <row r="72" spans="1:4" x14ac:dyDescent="0.25">
      <c r="A72" t="s">
        <v>123</v>
      </c>
      <c r="B72" t="s">
        <v>398</v>
      </c>
      <c r="C72" t="s">
        <v>4636</v>
      </c>
      <c r="D72">
        <v>25</v>
      </c>
    </row>
    <row r="73" spans="1:4" x14ac:dyDescent="0.25">
      <c r="A73" t="s">
        <v>123</v>
      </c>
      <c r="B73" t="s">
        <v>1408</v>
      </c>
      <c r="C73" t="s">
        <v>4550</v>
      </c>
      <c r="D73">
        <v>26</v>
      </c>
    </row>
    <row r="74" spans="1:4" x14ac:dyDescent="0.25">
      <c r="A74" t="s">
        <v>123</v>
      </c>
      <c r="B74" t="s">
        <v>1573</v>
      </c>
      <c r="C74" t="s">
        <v>3755</v>
      </c>
      <c r="D74">
        <v>25</v>
      </c>
    </row>
    <row r="75" spans="1:4" x14ac:dyDescent="0.25">
      <c r="A75" t="s">
        <v>123</v>
      </c>
      <c r="B75" t="s">
        <v>208</v>
      </c>
      <c r="C75" t="s">
        <v>4637</v>
      </c>
      <c r="D75">
        <v>27</v>
      </c>
    </row>
    <row r="76" spans="1:4" x14ac:dyDescent="0.25">
      <c r="A76" t="s">
        <v>123</v>
      </c>
      <c r="B76" t="s">
        <v>724</v>
      </c>
      <c r="C76" t="s">
        <v>3151</v>
      </c>
      <c r="D76">
        <v>25</v>
      </c>
    </row>
    <row r="77" spans="1:4" x14ac:dyDescent="0.25">
      <c r="A77" t="s">
        <v>123</v>
      </c>
      <c r="B77" t="s">
        <v>643</v>
      </c>
      <c r="C77" t="s">
        <v>4080</v>
      </c>
      <c r="D77">
        <v>27</v>
      </c>
    </row>
    <row r="78" spans="1:4" x14ac:dyDescent="0.25">
      <c r="A78" t="s">
        <v>123</v>
      </c>
      <c r="B78" t="s">
        <v>2510</v>
      </c>
      <c r="C78" t="s">
        <v>4265</v>
      </c>
      <c r="D78">
        <v>26</v>
      </c>
    </row>
    <row r="79" spans="1:4" x14ac:dyDescent="0.25">
      <c r="A79" t="s">
        <v>123</v>
      </c>
      <c r="B79" t="s">
        <v>2510</v>
      </c>
      <c r="C79" t="s">
        <v>3259</v>
      </c>
      <c r="D79">
        <v>25</v>
      </c>
    </row>
    <row r="80" spans="1:4" x14ac:dyDescent="0.25">
      <c r="A80" t="s">
        <v>123</v>
      </c>
      <c r="B80" t="s">
        <v>1065</v>
      </c>
      <c r="C80" t="s">
        <v>2035</v>
      </c>
      <c r="D80">
        <v>26</v>
      </c>
    </row>
    <row r="81" spans="1:4" x14ac:dyDescent="0.25">
      <c r="A81" t="s">
        <v>123</v>
      </c>
      <c r="B81" t="s">
        <v>1065</v>
      </c>
      <c r="C81" t="s">
        <v>3876</v>
      </c>
      <c r="D81">
        <v>27</v>
      </c>
    </row>
    <row r="82" spans="1:4" x14ac:dyDescent="0.25">
      <c r="A82" t="s">
        <v>123</v>
      </c>
      <c r="B82" t="s">
        <v>1105</v>
      </c>
      <c r="C82" t="s">
        <v>4638</v>
      </c>
      <c r="D82">
        <v>26</v>
      </c>
    </row>
    <row r="83" spans="1:4" x14ac:dyDescent="0.25">
      <c r="A83" t="s">
        <v>123</v>
      </c>
      <c r="B83" t="s">
        <v>740</v>
      </c>
      <c r="C83" t="s">
        <v>3877</v>
      </c>
      <c r="D83">
        <v>27</v>
      </c>
    </row>
    <row r="84" spans="1:4" x14ac:dyDescent="0.25">
      <c r="A84" t="s">
        <v>123</v>
      </c>
      <c r="B84" t="s">
        <v>740</v>
      </c>
      <c r="C84" t="s">
        <v>2101</v>
      </c>
      <c r="D84">
        <v>28</v>
      </c>
    </row>
    <row r="85" spans="1:4" x14ac:dyDescent="0.25">
      <c r="A85" t="s">
        <v>123</v>
      </c>
      <c r="B85" t="s">
        <v>628</v>
      </c>
      <c r="C85" t="s">
        <v>4639</v>
      </c>
      <c r="D85">
        <v>31</v>
      </c>
    </row>
    <row r="86" spans="1:4" x14ac:dyDescent="0.25">
      <c r="A86" t="s">
        <v>123</v>
      </c>
      <c r="B86" t="s">
        <v>315</v>
      </c>
      <c r="C86" t="s">
        <v>4640</v>
      </c>
      <c r="D86">
        <v>33</v>
      </c>
    </row>
    <row r="87" spans="1:4" x14ac:dyDescent="0.25">
      <c r="A87" t="s">
        <v>123</v>
      </c>
      <c r="B87" t="s">
        <v>1640</v>
      </c>
      <c r="C87" t="s">
        <v>4641</v>
      </c>
      <c r="D87">
        <v>35</v>
      </c>
    </row>
    <row r="88" spans="1:4" x14ac:dyDescent="0.25">
      <c r="A88" t="s">
        <v>123</v>
      </c>
      <c r="B88" t="s">
        <v>2453</v>
      </c>
      <c r="C88" t="s">
        <v>4642</v>
      </c>
      <c r="D88">
        <v>33</v>
      </c>
    </row>
    <row r="89" spans="1:4" x14ac:dyDescent="0.25">
      <c r="A89" t="s">
        <v>123</v>
      </c>
      <c r="B89" t="s">
        <v>554</v>
      </c>
      <c r="C89" t="s">
        <v>4643</v>
      </c>
      <c r="D89">
        <v>35</v>
      </c>
    </row>
    <row r="90" spans="1:4" x14ac:dyDescent="0.25">
      <c r="A90" t="s">
        <v>123</v>
      </c>
      <c r="B90" t="s">
        <v>1845</v>
      </c>
      <c r="C90" t="s">
        <v>4644</v>
      </c>
      <c r="D90">
        <v>32</v>
      </c>
    </row>
    <row r="91" spans="1:4" x14ac:dyDescent="0.25">
      <c r="A91" t="s">
        <v>123</v>
      </c>
      <c r="B91" t="s">
        <v>348</v>
      </c>
      <c r="C91" t="s">
        <v>4645</v>
      </c>
      <c r="D91">
        <v>30</v>
      </c>
    </row>
    <row r="92" spans="1:4" x14ac:dyDescent="0.25">
      <c r="A92" t="s">
        <v>123</v>
      </c>
      <c r="B92" t="s">
        <v>1276</v>
      </c>
      <c r="C92" t="s">
        <v>4646</v>
      </c>
      <c r="D92">
        <v>27</v>
      </c>
    </row>
    <row r="94" spans="1:4" x14ac:dyDescent="0.25">
      <c r="A94" s="2" t="s">
        <v>157</v>
      </c>
    </row>
    <row r="95" spans="1:4" x14ac:dyDescent="0.25">
      <c r="A95" t="s">
        <v>158</v>
      </c>
      <c r="D95">
        <f>AVERAGE(D2:D92)</f>
        <v>21.219780219780219</v>
      </c>
    </row>
    <row r="96" spans="1:4" x14ac:dyDescent="0.25">
      <c r="A96" t="s">
        <v>159</v>
      </c>
      <c r="D96">
        <f>MAX(D2:D92)</f>
        <v>35</v>
      </c>
    </row>
    <row r="97" spans="1:4" x14ac:dyDescent="0.25">
      <c r="A97" t="s">
        <v>160</v>
      </c>
      <c r="D97">
        <f>MIN(D2:D92)</f>
        <v>2</v>
      </c>
    </row>
    <row r="98" spans="1:4" x14ac:dyDescent="0.25">
      <c r="A98" t="s">
        <v>161</v>
      </c>
      <c r="D98">
        <f>COUNTIF(D2:D92,"&gt;0")</f>
        <v>91</v>
      </c>
    </row>
    <row r="99" spans="1:4" x14ac:dyDescent="0.25">
      <c r="A99" t="s">
        <v>162</v>
      </c>
      <c r="D99">
        <f>COUNTIF(D2:D92,"=0")</f>
        <v>0</v>
      </c>
    </row>
    <row r="100" spans="1:4" x14ac:dyDescent="0.25">
      <c r="A100" t="s">
        <v>4343</v>
      </c>
      <c r="D100">
        <f>COUNTIF(D2:D92,"&lt;0")</f>
        <v>0</v>
      </c>
    </row>
    <row r="102" spans="1:4" x14ac:dyDescent="0.25">
      <c r="A102" s="2" t="s">
        <v>164</v>
      </c>
    </row>
    <row r="103" spans="1:4" x14ac:dyDescent="0.25">
      <c r="A103" t="s">
        <v>165</v>
      </c>
      <c r="D103">
        <f>AVERAGE(D2,D3,D4,D5,D6,D7,D8,D9,D10,D11,D12,D13,D14,D15,D16)</f>
        <v>11.8</v>
      </c>
    </row>
    <row r="104" spans="1:4" x14ac:dyDescent="0.25">
      <c r="A104" t="s">
        <v>166</v>
      </c>
      <c r="D104">
        <f>AVERAGE(D17,D18,D19,D20,D21,D22,D23,D24,D25,D26,D27,D28,D29,D30,D31,D32,D33,D34,D35,D36,D37,D38,D39,D40,D41,D42,D43,D44)</f>
        <v>17.428571428571427</v>
      </c>
    </row>
    <row r="105" spans="1:4" x14ac:dyDescent="0.25">
      <c r="A105" t="s">
        <v>167</v>
      </c>
      <c r="D105">
        <f>AVERAGE(D45,D46,D47,D48,D49,D50,D51,D52,D53,D54,D55,D56,D57,D58,D59,D60,D61,D62,D63,D64,D65,D66,D67)</f>
        <v>24.869565217391305</v>
      </c>
    </row>
    <row r="106" spans="1:4" x14ac:dyDescent="0.25">
      <c r="A106" t="s">
        <v>168</v>
      </c>
      <c r="D106">
        <f>AVERAGE(D68,D69,D70,D71,D72,D73,D74,D75,D76,D77,D78,D79,D80,D81,D82,D83,D84,D85,D86,D87,D88,D89,D90,D91,D92)</f>
        <v>27.76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D12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4339</v>
      </c>
    </row>
    <row r="2" spans="1:4" x14ac:dyDescent="0.25">
      <c r="A2" t="s">
        <v>4</v>
      </c>
      <c r="B2" t="s">
        <v>41</v>
      </c>
      <c r="C2" t="s">
        <v>1923</v>
      </c>
      <c r="D2">
        <v>1</v>
      </c>
    </row>
    <row r="3" spans="1:4" x14ac:dyDescent="0.25">
      <c r="A3" t="s">
        <v>4</v>
      </c>
      <c r="B3" t="s">
        <v>41</v>
      </c>
      <c r="C3" t="s">
        <v>6</v>
      </c>
      <c r="D3">
        <v>2</v>
      </c>
    </row>
    <row r="4" spans="1:4" x14ac:dyDescent="0.25">
      <c r="A4" t="s">
        <v>4</v>
      </c>
      <c r="B4" t="s">
        <v>1735</v>
      </c>
      <c r="C4" t="s">
        <v>1572</v>
      </c>
      <c r="D4">
        <v>5</v>
      </c>
    </row>
    <row r="5" spans="1:4" x14ac:dyDescent="0.25">
      <c r="A5" t="s">
        <v>4</v>
      </c>
      <c r="B5" t="s">
        <v>1118</v>
      </c>
      <c r="C5" t="s">
        <v>1347</v>
      </c>
      <c r="D5">
        <v>3</v>
      </c>
    </row>
    <row r="6" spans="1:4" x14ac:dyDescent="0.25">
      <c r="A6" t="s">
        <v>4</v>
      </c>
      <c r="B6" t="s">
        <v>1146</v>
      </c>
      <c r="C6" t="s">
        <v>1972</v>
      </c>
      <c r="D6">
        <v>6</v>
      </c>
    </row>
    <row r="7" spans="1:4" x14ac:dyDescent="0.25">
      <c r="A7" t="s">
        <v>4</v>
      </c>
      <c r="B7" t="s">
        <v>1013</v>
      </c>
      <c r="C7" t="s">
        <v>2593</v>
      </c>
      <c r="D7">
        <v>7</v>
      </c>
    </row>
    <row r="8" spans="1:4" x14ac:dyDescent="0.25">
      <c r="A8" t="s">
        <v>4</v>
      </c>
      <c r="B8" t="s">
        <v>1013</v>
      </c>
      <c r="C8" t="s">
        <v>3466</v>
      </c>
      <c r="D8">
        <v>8</v>
      </c>
    </row>
    <row r="9" spans="1:4" x14ac:dyDescent="0.25">
      <c r="A9" t="s">
        <v>4</v>
      </c>
      <c r="B9" t="s">
        <v>1349</v>
      </c>
      <c r="C9" t="s">
        <v>1974</v>
      </c>
      <c r="D9">
        <v>5</v>
      </c>
    </row>
    <row r="10" spans="1:4" x14ac:dyDescent="0.25">
      <c r="A10" t="s">
        <v>4</v>
      </c>
      <c r="B10" t="s">
        <v>805</v>
      </c>
      <c r="C10" t="s">
        <v>783</v>
      </c>
      <c r="D10">
        <v>7</v>
      </c>
    </row>
    <row r="11" spans="1:4" x14ac:dyDescent="0.25">
      <c r="A11" t="s">
        <v>4</v>
      </c>
      <c r="B11" t="s">
        <v>887</v>
      </c>
      <c r="C11" t="s">
        <v>1195</v>
      </c>
      <c r="D11">
        <v>9</v>
      </c>
    </row>
    <row r="12" spans="1:4" x14ac:dyDescent="0.25">
      <c r="A12" t="s">
        <v>4</v>
      </c>
      <c r="B12" t="s">
        <v>764</v>
      </c>
      <c r="C12" t="s">
        <v>1272</v>
      </c>
      <c r="D12">
        <v>10</v>
      </c>
    </row>
    <row r="13" spans="1:4" x14ac:dyDescent="0.25">
      <c r="A13" t="s">
        <v>4</v>
      </c>
      <c r="B13" t="s">
        <v>764</v>
      </c>
      <c r="C13" t="s">
        <v>1975</v>
      </c>
      <c r="D13">
        <v>11</v>
      </c>
    </row>
    <row r="14" spans="1:4" x14ac:dyDescent="0.25">
      <c r="A14" t="s">
        <v>4</v>
      </c>
      <c r="B14" t="s">
        <v>984</v>
      </c>
      <c r="C14" t="s">
        <v>191</v>
      </c>
      <c r="D14">
        <v>8</v>
      </c>
    </row>
    <row r="15" spans="1:4" x14ac:dyDescent="0.25">
      <c r="A15" t="s">
        <v>4</v>
      </c>
      <c r="B15" t="s">
        <v>890</v>
      </c>
      <c r="C15" t="s">
        <v>2516</v>
      </c>
      <c r="D15">
        <v>11</v>
      </c>
    </row>
    <row r="16" spans="1:4" x14ac:dyDescent="0.25">
      <c r="A16" t="s">
        <v>4</v>
      </c>
      <c r="B16" t="s">
        <v>704</v>
      </c>
      <c r="C16" t="s">
        <v>1017</v>
      </c>
      <c r="D16">
        <v>12</v>
      </c>
    </row>
    <row r="17" spans="1:4" x14ac:dyDescent="0.25">
      <c r="A17" t="s">
        <v>4</v>
      </c>
      <c r="B17" t="s">
        <v>116</v>
      </c>
      <c r="C17" t="s">
        <v>3680</v>
      </c>
      <c r="D17">
        <v>11</v>
      </c>
    </row>
    <row r="18" spans="1:4" x14ac:dyDescent="0.25">
      <c r="A18" t="s">
        <v>4</v>
      </c>
      <c r="B18" t="s">
        <v>116</v>
      </c>
      <c r="C18" t="s">
        <v>1018</v>
      </c>
      <c r="D18">
        <v>10</v>
      </c>
    </row>
    <row r="19" spans="1:4" x14ac:dyDescent="0.25">
      <c r="A19" t="s">
        <v>4</v>
      </c>
      <c r="B19" t="s">
        <v>1048</v>
      </c>
      <c r="C19" t="s">
        <v>199</v>
      </c>
      <c r="D19">
        <v>7</v>
      </c>
    </row>
    <row r="20" spans="1:4" x14ac:dyDescent="0.25">
      <c r="A20" t="s">
        <v>4</v>
      </c>
      <c r="B20" t="s">
        <v>815</v>
      </c>
      <c r="C20" t="s">
        <v>2518</v>
      </c>
      <c r="D20">
        <v>10</v>
      </c>
    </row>
    <row r="21" spans="1:4" x14ac:dyDescent="0.25">
      <c r="A21" t="s">
        <v>4</v>
      </c>
      <c r="B21" t="s">
        <v>556</v>
      </c>
      <c r="C21" t="s">
        <v>1205</v>
      </c>
      <c r="D21">
        <v>8</v>
      </c>
    </row>
    <row r="22" spans="1:4" x14ac:dyDescent="0.25">
      <c r="A22" t="s">
        <v>4</v>
      </c>
      <c r="B22" t="s">
        <v>556</v>
      </c>
      <c r="C22" t="s">
        <v>923</v>
      </c>
      <c r="D22">
        <v>7</v>
      </c>
    </row>
    <row r="23" spans="1:4" x14ac:dyDescent="0.25">
      <c r="A23" t="s">
        <v>4</v>
      </c>
      <c r="B23" t="s">
        <v>683</v>
      </c>
      <c r="C23" t="s">
        <v>2540</v>
      </c>
      <c r="D23">
        <v>8</v>
      </c>
    </row>
    <row r="24" spans="1:4" x14ac:dyDescent="0.25">
      <c r="A24" t="s">
        <v>40</v>
      </c>
      <c r="B24" t="s">
        <v>1055</v>
      </c>
      <c r="C24" t="s">
        <v>206</v>
      </c>
      <c r="D24">
        <v>6</v>
      </c>
    </row>
    <row r="25" spans="1:4" x14ac:dyDescent="0.25">
      <c r="A25" t="s">
        <v>40</v>
      </c>
      <c r="B25" t="s">
        <v>1007</v>
      </c>
      <c r="C25" t="s">
        <v>1581</v>
      </c>
      <c r="D25">
        <v>7</v>
      </c>
    </row>
    <row r="26" spans="1:4" x14ac:dyDescent="0.25">
      <c r="A26" t="s">
        <v>40</v>
      </c>
      <c r="B26" t="s">
        <v>1346</v>
      </c>
      <c r="C26" t="s">
        <v>713</v>
      </c>
      <c r="D26">
        <v>5</v>
      </c>
    </row>
    <row r="27" spans="1:4" x14ac:dyDescent="0.25">
      <c r="A27" t="s">
        <v>40</v>
      </c>
      <c r="B27" t="s">
        <v>1545</v>
      </c>
      <c r="C27" t="s">
        <v>926</v>
      </c>
      <c r="D27">
        <v>3</v>
      </c>
    </row>
    <row r="28" spans="1:4" x14ac:dyDescent="0.25">
      <c r="A28" t="s">
        <v>40</v>
      </c>
      <c r="B28" t="s">
        <v>1545</v>
      </c>
      <c r="C28" t="s">
        <v>1440</v>
      </c>
      <c r="D28">
        <v>2</v>
      </c>
    </row>
    <row r="29" spans="1:4" x14ac:dyDescent="0.25">
      <c r="A29" t="s">
        <v>40</v>
      </c>
      <c r="B29" t="s">
        <v>211</v>
      </c>
      <c r="C29" t="s">
        <v>457</v>
      </c>
      <c r="D29">
        <v>0</v>
      </c>
    </row>
    <row r="30" spans="1:4" x14ac:dyDescent="0.25">
      <c r="A30" t="s">
        <v>40</v>
      </c>
      <c r="B30" t="s">
        <v>641</v>
      </c>
      <c r="C30" t="s">
        <v>2357</v>
      </c>
      <c r="D30">
        <v>1</v>
      </c>
    </row>
    <row r="31" spans="1:4" x14ac:dyDescent="0.25">
      <c r="A31" t="s">
        <v>40</v>
      </c>
      <c r="B31" t="s">
        <v>641</v>
      </c>
      <c r="C31" t="s">
        <v>1124</v>
      </c>
      <c r="D31">
        <v>2</v>
      </c>
    </row>
    <row r="32" spans="1:4" x14ac:dyDescent="0.25">
      <c r="A32" t="s">
        <v>40</v>
      </c>
      <c r="B32" t="s">
        <v>641</v>
      </c>
      <c r="C32" t="s">
        <v>340</v>
      </c>
      <c r="D32">
        <v>3</v>
      </c>
    </row>
    <row r="33" spans="1:4" x14ac:dyDescent="0.25">
      <c r="A33" t="s">
        <v>40</v>
      </c>
      <c r="B33" t="s">
        <v>1325</v>
      </c>
      <c r="C33" t="s">
        <v>2125</v>
      </c>
      <c r="D33">
        <v>1</v>
      </c>
    </row>
    <row r="34" spans="1:4" x14ac:dyDescent="0.25">
      <c r="A34" t="s">
        <v>40</v>
      </c>
      <c r="B34" t="s">
        <v>1325</v>
      </c>
      <c r="C34" t="s">
        <v>342</v>
      </c>
      <c r="D34">
        <v>0</v>
      </c>
    </row>
    <row r="35" spans="1:4" x14ac:dyDescent="0.25">
      <c r="A35" t="s">
        <v>40</v>
      </c>
      <c r="B35" t="s">
        <v>1011</v>
      </c>
      <c r="C35" t="s">
        <v>463</v>
      </c>
      <c r="D35">
        <v>-2</v>
      </c>
    </row>
    <row r="36" spans="1:4" x14ac:dyDescent="0.25">
      <c r="A36" t="s">
        <v>40</v>
      </c>
      <c r="B36" t="s">
        <v>836</v>
      </c>
      <c r="C36" t="s">
        <v>602</v>
      </c>
      <c r="D36">
        <v>-5</v>
      </c>
    </row>
    <row r="37" spans="1:4" x14ac:dyDescent="0.25">
      <c r="A37" t="s">
        <v>40</v>
      </c>
      <c r="B37" t="s">
        <v>1230</v>
      </c>
      <c r="C37" t="s">
        <v>66</v>
      </c>
      <c r="D37">
        <v>-3</v>
      </c>
    </row>
    <row r="38" spans="1:4" x14ac:dyDescent="0.25">
      <c r="A38" t="s">
        <v>40</v>
      </c>
      <c r="B38" t="s">
        <v>263</v>
      </c>
      <c r="C38" t="s">
        <v>4002</v>
      </c>
      <c r="D38">
        <v>0</v>
      </c>
    </row>
    <row r="39" spans="1:4" x14ac:dyDescent="0.25">
      <c r="A39" t="s">
        <v>40</v>
      </c>
      <c r="B39" t="s">
        <v>64</v>
      </c>
      <c r="C39" t="s">
        <v>728</v>
      </c>
      <c r="D39">
        <v>2</v>
      </c>
    </row>
    <row r="40" spans="1:4" x14ac:dyDescent="0.25">
      <c r="A40" t="s">
        <v>40</v>
      </c>
      <c r="B40" t="s">
        <v>440</v>
      </c>
      <c r="C40" t="s">
        <v>1216</v>
      </c>
      <c r="D40">
        <v>4</v>
      </c>
    </row>
    <row r="41" spans="1:4" x14ac:dyDescent="0.25">
      <c r="A41" t="s">
        <v>40</v>
      </c>
      <c r="B41" t="s">
        <v>472</v>
      </c>
      <c r="C41" t="s">
        <v>1218</v>
      </c>
      <c r="D41">
        <v>2</v>
      </c>
    </row>
    <row r="42" spans="1:4" x14ac:dyDescent="0.25">
      <c r="A42" t="s">
        <v>40</v>
      </c>
      <c r="B42" t="s">
        <v>292</v>
      </c>
      <c r="C42" t="s">
        <v>1219</v>
      </c>
      <c r="D42">
        <v>4</v>
      </c>
    </row>
    <row r="43" spans="1:4" x14ac:dyDescent="0.25">
      <c r="A43" t="s">
        <v>40</v>
      </c>
      <c r="B43" t="s">
        <v>898</v>
      </c>
      <c r="C43" t="s">
        <v>1220</v>
      </c>
      <c r="D43">
        <v>2</v>
      </c>
    </row>
    <row r="44" spans="1:4" x14ac:dyDescent="0.25">
      <c r="A44" t="s">
        <v>40</v>
      </c>
      <c r="B44" t="s">
        <v>1622</v>
      </c>
      <c r="C44" t="s">
        <v>478</v>
      </c>
      <c r="D44">
        <v>4</v>
      </c>
    </row>
    <row r="45" spans="1:4" x14ac:dyDescent="0.25">
      <c r="A45" t="s">
        <v>40</v>
      </c>
      <c r="B45" t="s">
        <v>710</v>
      </c>
      <c r="C45" t="s">
        <v>479</v>
      </c>
      <c r="D45">
        <v>2</v>
      </c>
    </row>
    <row r="46" spans="1:4" x14ac:dyDescent="0.25">
      <c r="A46" t="s">
        <v>40</v>
      </c>
      <c r="B46" t="s">
        <v>927</v>
      </c>
      <c r="C46" t="s">
        <v>480</v>
      </c>
      <c r="D46">
        <v>0</v>
      </c>
    </row>
    <row r="47" spans="1:4" x14ac:dyDescent="0.25">
      <c r="A47" t="s">
        <v>40</v>
      </c>
      <c r="B47" t="s">
        <v>1489</v>
      </c>
      <c r="C47" t="s">
        <v>2307</v>
      </c>
      <c r="D47">
        <v>2</v>
      </c>
    </row>
    <row r="48" spans="1:4" x14ac:dyDescent="0.25">
      <c r="A48" t="s">
        <v>40</v>
      </c>
      <c r="B48" t="s">
        <v>396</v>
      </c>
      <c r="C48" t="s">
        <v>1225</v>
      </c>
      <c r="D48">
        <v>0</v>
      </c>
    </row>
    <row r="49" spans="1:4" x14ac:dyDescent="0.25">
      <c r="A49" t="s">
        <v>80</v>
      </c>
      <c r="B49" t="s">
        <v>855</v>
      </c>
      <c r="C49" t="s">
        <v>1522</v>
      </c>
      <c r="D49">
        <v>2</v>
      </c>
    </row>
    <row r="50" spans="1:4" x14ac:dyDescent="0.25">
      <c r="A50" t="s">
        <v>80</v>
      </c>
      <c r="B50" t="s">
        <v>1664</v>
      </c>
      <c r="C50" t="s">
        <v>253</v>
      </c>
      <c r="D50">
        <v>0</v>
      </c>
    </row>
    <row r="51" spans="1:4" x14ac:dyDescent="0.25">
      <c r="A51" t="s">
        <v>80</v>
      </c>
      <c r="B51" t="s">
        <v>428</v>
      </c>
      <c r="C51" t="s">
        <v>371</v>
      </c>
      <c r="D51">
        <v>2</v>
      </c>
    </row>
    <row r="52" spans="1:4" x14ac:dyDescent="0.25">
      <c r="A52" t="s">
        <v>80</v>
      </c>
      <c r="B52" t="s">
        <v>398</v>
      </c>
      <c r="C52" t="s">
        <v>372</v>
      </c>
      <c r="D52">
        <v>1</v>
      </c>
    </row>
    <row r="53" spans="1:4" x14ac:dyDescent="0.25">
      <c r="A53" t="s">
        <v>80</v>
      </c>
      <c r="B53" t="s">
        <v>398</v>
      </c>
      <c r="C53" t="s">
        <v>3975</v>
      </c>
      <c r="D53">
        <v>0</v>
      </c>
    </row>
    <row r="54" spans="1:4" x14ac:dyDescent="0.25">
      <c r="A54" t="s">
        <v>80</v>
      </c>
      <c r="B54" t="s">
        <v>1573</v>
      </c>
      <c r="C54" t="s">
        <v>3028</v>
      </c>
      <c r="D54">
        <v>2</v>
      </c>
    </row>
    <row r="55" spans="1:4" x14ac:dyDescent="0.25">
      <c r="A55" t="s">
        <v>80</v>
      </c>
      <c r="B55" t="s">
        <v>400</v>
      </c>
      <c r="C55" t="s">
        <v>375</v>
      </c>
      <c r="D55">
        <v>1</v>
      </c>
    </row>
    <row r="56" spans="1:4" x14ac:dyDescent="0.25">
      <c r="A56" t="s">
        <v>80</v>
      </c>
      <c r="B56" t="s">
        <v>724</v>
      </c>
      <c r="C56" t="s">
        <v>262</v>
      </c>
      <c r="D56">
        <v>-1</v>
      </c>
    </row>
    <row r="57" spans="1:4" x14ac:dyDescent="0.25">
      <c r="A57" t="s">
        <v>80</v>
      </c>
      <c r="B57" t="s">
        <v>724</v>
      </c>
      <c r="C57" t="s">
        <v>377</v>
      </c>
      <c r="D57">
        <v>-2</v>
      </c>
    </row>
    <row r="58" spans="1:4" x14ac:dyDescent="0.25">
      <c r="A58" t="s">
        <v>80</v>
      </c>
      <c r="B58" t="s">
        <v>865</v>
      </c>
      <c r="C58" t="s">
        <v>2446</v>
      </c>
      <c r="D58">
        <v>0</v>
      </c>
    </row>
    <row r="59" spans="1:4" x14ac:dyDescent="0.25">
      <c r="A59" t="s">
        <v>80</v>
      </c>
      <c r="B59" t="s">
        <v>54</v>
      </c>
      <c r="C59" t="s">
        <v>379</v>
      </c>
      <c r="D59">
        <v>1</v>
      </c>
    </row>
    <row r="60" spans="1:4" x14ac:dyDescent="0.25">
      <c r="A60" t="s">
        <v>80</v>
      </c>
      <c r="B60" t="s">
        <v>54</v>
      </c>
      <c r="C60" t="s">
        <v>2447</v>
      </c>
      <c r="D60">
        <v>2</v>
      </c>
    </row>
    <row r="61" spans="1:4" x14ac:dyDescent="0.25">
      <c r="A61" t="s">
        <v>80</v>
      </c>
      <c r="B61" t="s">
        <v>726</v>
      </c>
      <c r="C61" t="s">
        <v>496</v>
      </c>
      <c r="D61">
        <v>4</v>
      </c>
    </row>
    <row r="62" spans="1:4" x14ac:dyDescent="0.25">
      <c r="A62" t="s">
        <v>80</v>
      </c>
      <c r="B62" t="s">
        <v>186</v>
      </c>
      <c r="C62" t="s">
        <v>2175</v>
      </c>
      <c r="D62">
        <v>6</v>
      </c>
    </row>
    <row r="63" spans="1:4" x14ac:dyDescent="0.25">
      <c r="A63" t="s">
        <v>80</v>
      </c>
      <c r="B63" t="s">
        <v>190</v>
      </c>
      <c r="C63" t="s">
        <v>2178</v>
      </c>
      <c r="D63">
        <v>3</v>
      </c>
    </row>
    <row r="64" spans="1:4" x14ac:dyDescent="0.25">
      <c r="A64" t="s">
        <v>80</v>
      </c>
      <c r="B64" t="s">
        <v>380</v>
      </c>
      <c r="C64" t="s">
        <v>1605</v>
      </c>
      <c r="D64">
        <v>5</v>
      </c>
    </row>
    <row r="65" spans="1:4" x14ac:dyDescent="0.25">
      <c r="A65" t="s">
        <v>80</v>
      </c>
      <c r="B65" t="s">
        <v>144</v>
      </c>
      <c r="C65" t="s">
        <v>1165</v>
      </c>
      <c r="D65">
        <v>8</v>
      </c>
    </row>
    <row r="66" spans="1:4" x14ac:dyDescent="0.25">
      <c r="A66" t="s">
        <v>80</v>
      </c>
      <c r="B66" t="s">
        <v>813</v>
      </c>
      <c r="C66" t="s">
        <v>1955</v>
      </c>
      <c r="D66">
        <v>9</v>
      </c>
    </row>
    <row r="67" spans="1:4" x14ac:dyDescent="0.25">
      <c r="A67" t="s">
        <v>80</v>
      </c>
      <c r="B67" t="s">
        <v>579</v>
      </c>
      <c r="C67" t="s">
        <v>2989</v>
      </c>
      <c r="D67">
        <v>11</v>
      </c>
    </row>
    <row r="68" spans="1:4" x14ac:dyDescent="0.25">
      <c r="A68" t="s">
        <v>80</v>
      </c>
      <c r="B68" t="s">
        <v>1045</v>
      </c>
      <c r="C68" t="s">
        <v>2602</v>
      </c>
      <c r="D68">
        <v>9</v>
      </c>
    </row>
    <row r="69" spans="1:4" x14ac:dyDescent="0.25">
      <c r="A69" t="s">
        <v>80</v>
      </c>
      <c r="B69" t="s">
        <v>1112</v>
      </c>
      <c r="C69" t="s">
        <v>2868</v>
      </c>
      <c r="D69">
        <v>12</v>
      </c>
    </row>
    <row r="70" spans="1:4" x14ac:dyDescent="0.25">
      <c r="A70" t="s">
        <v>80</v>
      </c>
      <c r="B70" t="s">
        <v>550</v>
      </c>
      <c r="C70" t="s">
        <v>399</v>
      </c>
      <c r="D70">
        <v>10</v>
      </c>
    </row>
    <row r="71" spans="1:4" x14ac:dyDescent="0.25">
      <c r="A71" t="s">
        <v>80</v>
      </c>
      <c r="B71" t="s">
        <v>202</v>
      </c>
      <c r="C71" t="s">
        <v>2869</v>
      </c>
      <c r="D71">
        <v>11</v>
      </c>
    </row>
    <row r="72" spans="1:4" x14ac:dyDescent="0.25">
      <c r="A72" t="s">
        <v>80</v>
      </c>
      <c r="B72" t="s">
        <v>202</v>
      </c>
      <c r="C72" t="s">
        <v>2870</v>
      </c>
      <c r="D72">
        <v>12</v>
      </c>
    </row>
    <row r="73" spans="1:4" x14ac:dyDescent="0.25">
      <c r="A73" t="s">
        <v>123</v>
      </c>
      <c r="B73" t="s">
        <v>352</v>
      </c>
      <c r="C73" t="s">
        <v>2379</v>
      </c>
      <c r="D73">
        <v>14</v>
      </c>
    </row>
    <row r="74" spans="1:4" x14ac:dyDescent="0.25">
      <c r="A74" t="s">
        <v>123</v>
      </c>
      <c r="B74" t="s">
        <v>757</v>
      </c>
      <c r="C74" t="s">
        <v>2380</v>
      </c>
      <c r="D74">
        <v>16</v>
      </c>
    </row>
    <row r="75" spans="1:4" x14ac:dyDescent="0.25">
      <c r="A75" t="s">
        <v>123</v>
      </c>
      <c r="B75" t="s">
        <v>757</v>
      </c>
      <c r="C75" t="s">
        <v>3186</v>
      </c>
      <c r="D75">
        <v>17</v>
      </c>
    </row>
    <row r="76" spans="1:4" x14ac:dyDescent="0.25">
      <c r="A76" t="s">
        <v>123</v>
      </c>
      <c r="B76" t="s">
        <v>490</v>
      </c>
      <c r="C76" t="s">
        <v>980</v>
      </c>
      <c r="D76">
        <v>18</v>
      </c>
    </row>
    <row r="77" spans="1:4" x14ac:dyDescent="0.25">
      <c r="A77" t="s">
        <v>123</v>
      </c>
      <c r="B77" t="s">
        <v>490</v>
      </c>
      <c r="C77" t="s">
        <v>981</v>
      </c>
      <c r="D77">
        <v>19</v>
      </c>
    </row>
    <row r="78" spans="1:4" x14ac:dyDescent="0.25">
      <c r="A78" t="s">
        <v>123</v>
      </c>
      <c r="B78" t="s">
        <v>9</v>
      </c>
      <c r="C78" t="s">
        <v>982</v>
      </c>
      <c r="D78">
        <v>21</v>
      </c>
    </row>
    <row r="79" spans="1:4" x14ac:dyDescent="0.25">
      <c r="A79" t="s">
        <v>123</v>
      </c>
      <c r="B79" t="s">
        <v>11</v>
      </c>
      <c r="C79" t="s">
        <v>2801</v>
      </c>
      <c r="D79">
        <v>18</v>
      </c>
    </row>
    <row r="80" spans="1:4" x14ac:dyDescent="0.25">
      <c r="A80" t="s">
        <v>123</v>
      </c>
      <c r="B80" t="s">
        <v>211</v>
      </c>
      <c r="C80" t="s">
        <v>2802</v>
      </c>
      <c r="D80">
        <v>16</v>
      </c>
    </row>
    <row r="81" spans="1:4" x14ac:dyDescent="0.25">
      <c r="A81" t="s">
        <v>123</v>
      </c>
      <c r="B81" t="s">
        <v>1754</v>
      </c>
      <c r="C81" t="s">
        <v>2843</v>
      </c>
      <c r="D81">
        <v>18</v>
      </c>
    </row>
    <row r="82" spans="1:4" x14ac:dyDescent="0.25">
      <c r="A82" t="s">
        <v>123</v>
      </c>
      <c r="B82" t="s">
        <v>1754</v>
      </c>
      <c r="C82" t="s">
        <v>986</v>
      </c>
      <c r="D82">
        <v>19</v>
      </c>
    </row>
    <row r="83" spans="1:4" x14ac:dyDescent="0.25">
      <c r="A83" t="s">
        <v>123</v>
      </c>
      <c r="B83" t="s">
        <v>1755</v>
      </c>
      <c r="C83" t="s">
        <v>988</v>
      </c>
      <c r="D83">
        <v>17</v>
      </c>
    </row>
    <row r="84" spans="1:4" x14ac:dyDescent="0.25">
      <c r="A84" t="s">
        <v>123</v>
      </c>
      <c r="B84" t="s">
        <v>623</v>
      </c>
      <c r="C84" t="s">
        <v>2845</v>
      </c>
      <c r="D84">
        <v>19</v>
      </c>
    </row>
    <row r="85" spans="1:4" x14ac:dyDescent="0.25">
      <c r="A85" t="s">
        <v>123</v>
      </c>
      <c r="B85" t="s">
        <v>1013</v>
      </c>
      <c r="C85" t="s">
        <v>4509</v>
      </c>
      <c r="D85">
        <v>17</v>
      </c>
    </row>
    <row r="86" spans="1:4" x14ac:dyDescent="0.25">
      <c r="A86" t="s">
        <v>123</v>
      </c>
      <c r="B86" t="s">
        <v>1013</v>
      </c>
      <c r="C86" t="s">
        <v>3190</v>
      </c>
      <c r="D86">
        <v>16</v>
      </c>
    </row>
    <row r="87" spans="1:4" x14ac:dyDescent="0.25">
      <c r="A87" t="s">
        <v>123</v>
      </c>
      <c r="B87" t="s">
        <v>836</v>
      </c>
      <c r="C87" t="s">
        <v>994</v>
      </c>
      <c r="D87">
        <v>14</v>
      </c>
    </row>
    <row r="88" spans="1:4" x14ac:dyDescent="0.25">
      <c r="A88" t="s">
        <v>123</v>
      </c>
      <c r="B88" t="s">
        <v>1598</v>
      </c>
      <c r="C88" t="s">
        <v>2809</v>
      </c>
      <c r="D88">
        <v>15</v>
      </c>
    </row>
    <row r="89" spans="1:4" x14ac:dyDescent="0.25">
      <c r="A89" t="s">
        <v>123</v>
      </c>
      <c r="B89" t="s">
        <v>217</v>
      </c>
      <c r="C89" t="s">
        <v>4257</v>
      </c>
      <c r="D89">
        <v>13</v>
      </c>
    </row>
    <row r="90" spans="1:4" x14ac:dyDescent="0.25">
      <c r="A90" t="s">
        <v>123</v>
      </c>
      <c r="B90" t="s">
        <v>1230</v>
      </c>
      <c r="C90" t="s">
        <v>4647</v>
      </c>
      <c r="D90">
        <v>11</v>
      </c>
    </row>
    <row r="91" spans="1:4" x14ac:dyDescent="0.25">
      <c r="A91" t="s">
        <v>123</v>
      </c>
      <c r="B91" t="s">
        <v>1231</v>
      </c>
      <c r="C91" t="s">
        <v>1488</v>
      </c>
      <c r="D91">
        <v>12</v>
      </c>
    </row>
    <row r="92" spans="1:4" x14ac:dyDescent="0.25">
      <c r="A92" t="s">
        <v>123</v>
      </c>
      <c r="B92" t="s">
        <v>337</v>
      </c>
      <c r="C92" t="s">
        <v>2196</v>
      </c>
      <c r="D92">
        <v>11</v>
      </c>
    </row>
    <row r="93" spans="1:4" x14ac:dyDescent="0.25">
      <c r="A93" t="s">
        <v>123</v>
      </c>
      <c r="B93" t="s">
        <v>337</v>
      </c>
      <c r="C93" t="s">
        <v>2197</v>
      </c>
      <c r="D93">
        <v>10</v>
      </c>
    </row>
    <row r="94" spans="1:4" x14ac:dyDescent="0.25">
      <c r="A94" t="s">
        <v>123</v>
      </c>
      <c r="B94" t="s">
        <v>223</v>
      </c>
      <c r="C94" t="s">
        <v>3726</v>
      </c>
      <c r="D94">
        <v>12</v>
      </c>
    </row>
    <row r="95" spans="1:4" x14ac:dyDescent="0.25">
      <c r="A95" t="s">
        <v>123</v>
      </c>
      <c r="B95" t="s">
        <v>605</v>
      </c>
      <c r="C95" t="s">
        <v>4510</v>
      </c>
      <c r="D95">
        <v>13</v>
      </c>
    </row>
    <row r="96" spans="1:4" x14ac:dyDescent="0.25">
      <c r="A96" t="s">
        <v>123</v>
      </c>
      <c r="B96" t="s">
        <v>605</v>
      </c>
      <c r="C96" t="s">
        <v>4648</v>
      </c>
      <c r="D96">
        <v>14</v>
      </c>
    </row>
    <row r="97" spans="1:4" x14ac:dyDescent="0.25">
      <c r="A97" t="s">
        <v>123</v>
      </c>
      <c r="B97" t="s">
        <v>524</v>
      </c>
      <c r="C97" t="s">
        <v>1858</v>
      </c>
      <c r="D97">
        <v>11</v>
      </c>
    </row>
    <row r="98" spans="1:4" x14ac:dyDescent="0.25">
      <c r="A98" t="s">
        <v>123</v>
      </c>
      <c r="B98" t="s">
        <v>1739</v>
      </c>
      <c r="C98" t="s">
        <v>4649</v>
      </c>
      <c r="D98">
        <v>9</v>
      </c>
    </row>
    <row r="99" spans="1:4" x14ac:dyDescent="0.25">
      <c r="A99" t="s">
        <v>123</v>
      </c>
      <c r="B99" t="s">
        <v>876</v>
      </c>
      <c r="C99" t="s">
        <v>4650</v>
      </c>
      <c r="D99">
        <v>10</v>
      </c>
    </row>
    <row r="100" spans="1:4" x14ac:dyDescent="0.25">
      <c r="A100" t="s">
        <v>123</v>
      </c>
      <c r="B100" t="s">
        <v>198</v>
      </c>
      <c r="C100" t="s">
        <v>4238</v>
      </c>
      <c r="D100">
        <v>11</v>
      </c>
    </row>
    <row r="101" spans="1:4" x14ac:dyDescent="0.25">
      <c r="A101" t="s">
        <v>123</v>
      </c>
      <c r="B101" t="s">
        <v>898</v>
      </c>
      <c r="C101" t="s">
        <v>4651</v>
      </c>
      <c r="D101">
        <v>9</v>
      </c>
    </row>
    <row r="102" spans="1:4" x14ac:dyDescent="0.25">
      <c r="A102" t="s">
        <v>123</v>
      </c>
      <c r="B102" t="s">
        <v>231</v>
      </c>
      <c r="C102" t="s">
        <v>4652</v>
      </c>
      <c r="D102">
        <v>10</v>
      </c>
    </row>
    <row r="103" spans="1:4" x14ac:dyDescent="0.25">
      <c r="A103" t="s">
        <v>123</v>
      </c>
      <c r="B103" t="s">
        <v>231</v>
      </c>
      <c r="C103" t="s">
        <v>4565</v>
      </c>
      <c r="D103">
        <v>11</v>
      </c>
    </row>
    <row r="104" spans="1:4" x14ac:dyDescent="0.25">
      <c r="A104" t="s">
        <v>123</v>
      </c>
      <c r="B104" t="s">
        <v>31</v>
      </c>
      <c r="C104" t="s">
        <v>1864</v>
      </c>
      <c r="D104">
        <v>8</v>
      </c>
    </row>
    <row r="105" spans="1:4" x14ac:dyDescent="0.25">
      <c r="A105" t="s">
        <v>123</v>
      </c>
      <c r="B105" t="s">
        <v>31</v>
      </c>
      <c r="C105" t="s">
        <v>1865</v>
      </c>
      <c r="D105">
        <v>9</v>
      </c>
    </row>
    <row r="106" spans="1:4" x14ac:dyDescent="0.25">
      <c r="A106" t="s">
        <v>123</v>
      </c>
      <c r="B106" t="s">
        <v>392</v>
      </c>
      <c r="C106" t="s">
        <v>4653</v>
      </c>
      <c r="D106">
        <v>11</v>
      </c>
    </row>
    <row r="107" spans="1:4" x14ac:dyDescent="0.25">
      <c r="A107" t="s">
        <v>123</v>
      </c>
      <c r="B107" t="s">
        <v>710</v>
      </c>
      <c r="C107" t="s">
        <v>3718</v>
      </c>
      <c r="D107">
        <v>9</v>
      </c>
    </row>
    <row r="108" spans="1:4" x14ac:dyDescent="0.25">
      <c r="A108" t="s">
        <v>123</v>
      </c>
      <c r="B108" t="s">
        <v>582</v>
      </c>
      <c r="C108" t="s">
        <v>3720</v>
      </c>
      <c r="D108">
        <v>11</v>
      </c>
    </row>
    <row r="109" spans="1:4" x14ac:dyDescent="0.25">
      <c r="A109" t="s">
        <v>123</v>
      </c>
      <c r="B109" t="s">
        <v>1180</v>
      </c>
      <c r="C109" t="s">
        <v>4654</v>
      </c>
      <c r="D109">
        <v>9</v>
      </c>
    </row>
    <row r="110" spans="1:4" x14ac:dyDescent="0.25">
      <c r="A110" t="s">
        <v>123</v>
      </c>
      <c r="B110" t="s">
        <v>483</v>
      </c>
      <c r="C110" t="s">
        <v>4655</v>
      </c>
      <c r="D110">
        <v>10</v>
      </c>
    </row>
    <row r="111" spans="1:4" x14ac:dyDescent="0.25">
      <c r="A111" t="s">
        <v>123</v>
      </c>
      <c r="B111" t="s">
        <v>483</v>
      </c>
      <c r="C111" t="s">
        <v>4656</v>
      </c>
      <c r="D111">
        <v>11</v>
      </c>
    </row>
    <row r="112" spans="1:4" x14ac:dyDescent="0.25">
      <c r="A112" t="s">
        <v>123</v>
      </c>
      <c r="B112" t="s">
        <v>301</v>
      </c>
      <c r="C112" t="s">
        <v>4657</v>
      </c>
      <c r="D112">
        <v>8</v>
      </c>
    </row>
    <row r="113" spans="1:4" x14ac:dyDescent="0.25">
      <c r="A113" t="s">
        <v>123</v>
      </c>
      <c r="B113" t="s">
        <v>537</v>
      </c>
      <c r="C113" t="s">
        <v>4658</v>
      </c>
      <c r="D113">
        <v>10</v>
      </c>
    </row>
    <row r="115" spans="1:4" x14ac:dyDescent="0.25">
      <c r="A115" s="2" t="s">
        <v>157</v>
      </c>
    </row>
    <row r="116" spans="1:4" x14ac:dyDescent="0.25">
      <c r="A116" t="s">
        <v>158</v>
      </c>
      <c r="D116">
        <f>AVERAGE(D2:D113)</f>
        <v>7.6160714285714288</v>
      </c>
    </row>
    <row r="117" spans="1:4" x14ac:dyDescent="0.25">
      <c r="A117" t="s">
        <v>159</v>
      </c>
      <c r="D117">
        <f>MAX(D2:D113)</f>
        <v>21</v>
      </c>
    </row>
    <row r="118" spans="1:4" x14ac:dyDescent="0.25">
      <c r="A118" t="s">
        <v>160</v>
      </c>
      <c r="D118">
        <f>MIN(D2:D113)</f>
        <v>-5</v>
      </c>
    </row>
    <row r="119" spans="1:4" x14ac:dyDescent="0.25">
      <c r="A119" t="s">
        <v>161</v>
      </c>
      <c r="D119">
        <f>COUNTIF(D2:D113,"&gt;0")</f>
        <v>99</v>
      </c>
    </row>
    <row r="120" spans="1:4" x14ac:dyDescent="0.25">
      <c r="A120" t="s">
        <v>162</v>
      </c>
      <c r="D120">
        <f>COUNTIF(D2:D113,"=0")</f>
        <v>8</v>
      </c>
    </row>
    <row r="121" spans="1:4" x14ac:dyDescent="0.25">
      <c r="A121" t="s">
        <v>4343</v>
      </c>
      <c r="D121">
        <f>COUNTIF(D2:D113,"&lt;0")</f>
        <v>5</v>
      </c>
    </row>
    <row r="123" spans="1:4" x14ac:dyDescent="0.25">
      <c r="A123" s="2" t="s">
        <v>164</v>
      </c>
    </row>
    <row r="124" spans="1:4" x14ac:dyDescent="0.25">
      <c r="A124" t="s">
        <v>165</v>
      </c>
      <c r="D124">
        <f>AVERAGE(D2,D3,D4,D5,D6,D7,D8,D9,D10,D11,D12,D13,D14,D15,D16,D17,D18,D19,D20,D21,D22,D23)</f>
        <v>7.5454545454545459</v>
      </c>
    </row>
    <row r="125" spans="1:4" x14ac:dyDescent="0.25">
      <c r="A125" t="s">
        <v>166</v>
      </c>
      <c r="D125">
        <f>AVERAGE(D24,D25,D26,D27,D28,D29,D30,D31,D32,D33,D34,D35,D36,D37,D38,D39,D40,D41,D42,D43,D44,D45,D46,D47,D48)</f>
        <v>1.68</v>
      </c>
    </row>
    <row r="126" spans="1:4" x14ac:dyDescent="0.25">
      <c r="A126" t="s">
        <v>167</v>
      </c>
      <c r="D126">
        <f>AVERAGE(D49,D50,D51,D52,D53,D54,D55,D56,D57,D58,D59,D60,D61,D62,D63,D64,D65,D66,D67,D68,D69,D70,D71,D72)</f>
        <v>4.5</v>
      </c>
    </row>
    <row r="127" spans="1:4" x14ac:dyDescent="0.25">
      <c r="A127" t="s">
        <v>168</v>
      </c>
      <c r="D127">
        <f>AVERAGE(D73,D74,D75,D76,D77,D78,D79,D80,D81,D82,D83,D84,D85,D86,D87,D88,D89,D90,D91,D92,D93,D94,D95,D96,D97,D98,D99,D100,D101,D102,D103,D104,D105,D106,D107,D108,D109,D110,D111,D112,D113)</f>
        <v>13.097560975609756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D119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907</v>
      </c>
      <c r="C2" t="s">
        <v>1008</v>
      </c>
      <c r="D2">
        <v>-3</v>
      </c>
    </row>
    <row r="3" spans="1:4" x14ac:dyDescent="0.25">
      <c r="A3" t="s">
        <v>4</v>
      </c>
      <c r="B3" t="s">
        <v>1664</v>
      </c>
      <c r="C3" t="s">
        <v>1191</v>
      </c>
      <c r="D3">
        <v>0</v>
      </c>
    </row>
    <row r="4" spans="1:4" x14ac:dyDescent="0.25">
      <c r="A4" t="s">
        <v>4</v>
      </c>
      <c r="B4" t="s">
        <v>205</v>
      </c>
      <c r="C4" t="s">
        <v>910</v>
      </c>
      <c r="D4">
        <v>-2</v>
      </c>
    </row>
    <row r="5" spans="1:4" x14ac:dyDescent="0.25">
      <c r="A5" t="s">
        <v>4</v>
      </c>
      <c r="B5" t="s">
        <v>1244</v>
      </c>
      <c r="C5" t="s">
        <v>911</v>
      </c>
      <c r="D5">
        <v>-4</v>
      </c>
    </row>
    <row r="6" spans="1:4" x14ac:dyDescent="0.25">
      <c r="A6" t="s">
        <v>4</v>
      </c>
      <c r="B6" t="s">
        <v>85</v>
      </c>
      <c r="C6" t="s">
        <v>913</v>
      </c>
      <c r="D6">
        <v>-2</v>
      </c>
    </row>
    <row r="7" spans="1:4" x14ac:dyDescent="0.25">
      <c r="A7" t="s">
        <v>4</v>
      </c>
      <c r="B7" t="s">
        <v>1143</v>
      </c>
      <c r="C7" t="s">
        <v>1496</v>
      </c>
      <c r="D7">
        <v>-4</v>
      </c>
    </row>
    <row r="8" spans="1:4" x14ac:dyDescent="0.25">
      <c r="A8" t="s">
        <v>4</v>
      </c>
      <c r="B8" t="s">
        <v>1755</v>
      </c>
      <c r="C8" t="s">
        <v>3696</v>
      </c>
      <c r="D8">
        <v>-6</v>
      </c>
    </row>
    <row r="9" spans="1:4" x14ac:dyDescent="0.25">
      <c r="A9" t="s">
        <v>4</v>
      </c>
      <c r="B9" t="s">
        <v>623</v>
      </c>
      <c r="C9" t="s">
        <v>1743</v>
      </c>
      <c r="D9">
        <v>-3</v>
      </c>
    </row>
    <row r="10" spans="1:4" x14ac:dyDescent="0.25">
      <c r="A10" t="s">
        <v>4</v>
      </c>
      <c r="B10" t="s">
        <v>364</v>
      </c>
      <c r="C10" t="s">
        <v>3757</v>
      </c>
      <c r="D10">
        <v>-6</v>
      </c>
    </row>
    <row r="11" spans="1:4" x14ac:dyDescent="0.25">
      <c r="A11" t="s">
        <v>4</v>
      </c>
      <c r="B11" t="s">
        <v>2032</v>
      </c>
      <c r="C11" t="s">
        <v>2326</v>
      </c>
      <c r="D11">
        <v>-3</v>
      </c>
    </row>
    <row r="12" spans="1:4" x14ac:dyDescent="0.25">
      <c r="A12" t="s">
        <v>4</v>
      </c>
      <c r="B12" t="s">
        <v>740</v>
      </c>
      <c r="C12" t="s">
        <v>2813</v>
      </c>
      <c r="D12">
        <v>-5</v>
      </c>
    </row>
    <row r="13" spans="1:4" x14ac:dyDescent="0.25">
      <c r="A13" t="s">
        <v>4</v>
      </c>
      <c r="B13" t="s">
        <v>941</v>
      </c>
      <c r="C13" t="s">
        <v>703</v>
      </c>
      <c r="D13">
        <v>-3</v>
      </c>
    </row>
    <row r="14" spans="1:4" x14ac:dyDescent="0.25">
      <c r="A14" t="s">
        <v>4</v>
      </c>
      <c r="B14" t="s">
        <v>541</v>
      </c>
      <c r="C14" t="s">
        <v>705</v>
      </c>
      <c r="D14">
        <v>-1</v>
      </c>
    </row>
    <row r="15" spans="1:4" x14ac:dyDescent="0.25">
      <c r="A15" t="s">
        <v>4</v>
      </c>
      <c r="B15" t="s">
        <v>764</v>
      </c>
      <c r="C15" t="s">
        <v>580</v>
      </c>
      <c r="D15">
        <v>-3</v>
      </c>
    </row>
    <row r="16" spans="1:4" x14ac:dyDescent="0.25">
      <c r="A16" t="s">
        <v>4</v>
      </c>
      <c r="B16" t="s">
        <v>106</v>
      </c>
      <c r="C16" t="s">
        <v>39</v>
      </c>
      <c r="D16">
        <v>-1</v>
      </c>
    </row>
    <row r="17" spans="1:4" x14ac:dyDescent="0.25">
      <c r="A17" t="s">
        <v>4</v>
      </c>
      <c r="B17" t="s">
        <v>890</v>
      </c>
      <c r="C17" t="s">
        <v>1507</v>
      </c>
      <c r="D17">
        <v>-3</v>
      </c>
    </row>
    <row r="18" spans="1:4" x14ac:dyDescent="0.25">
      <c r="A18" t="s">
        <v>4</v>
      </c>
      <c r="B18" t="s">
        <v>440</v>
      </c>
      <c r="C18" t="s">
        <v>1508</v>
      </c>
      <c r="D18">
        <v>-1</v>
      </c>
    </row>
    <row r="19" spans="1:4" x14ac:dyDescent="0.25">
      <c r="A19" t="s">
        <v>4</v>
      </c>
      <c r="B19" t="s">
        <v>629</v>
      </c>
      <c r="C19" t="s">
        <v>2206</v>
      </c>
      <c r="D19">
        <v>-3</v>
      </c>
    </row>
    <row r="20" spans="1:4" x14ac:dyDescent="0.25">
      <c r="A20" t="s">
        <v>4</v>
      </c>
      <c r="B20" t="s">
        <v>116</v>
      </c>
      <c r="C20" t="s">
        <v>2265</v>
      </c>
      <c r="D20">
        <v>-1</v>
      </c>
    </row>
    <row r="21" spans="1:4" x14ac:dyDescent="0.25">
      <c r="A21" t="s">
        <v>4</v>
      </c>
      <c r="B21" t="s">
        <v>877</v>
      </c>
      <c r="C21" t="s">
        <v>4474</v>
      </c>
      <c r="D21">
        <v>0</v>
      </c>
    </row>
    <row r="22" spans="1:4" x14ac:dyDescent="0.25">
      <c r="A22" t="s">
        <v>4</v>
      </c>
      <c r="B22" t="s">
        <v>877</v>
      </c>
      <c r="C22" t="s">
        <v>455</v>
      </c>
      <c r="D22">
        <v>1</v>
      </c>
    </row>
    <row r="23" spans="1:4" x14ac:dyDescent="0.25">
      <c r="A23" t="s">
        <v>4</v>
      </c>
      <c r="B23" t="s">
        <v>1113</v>
      </c>
      <c r="C23" t="s">
        <v>456</v>
      </c>
      <c r="D23">
        <v>-2</v>
      </c>
    </row>
    <row r="24" spans="1:4" x14ac:dyDescent="0.25">
      <c r="A24" t="s">
        <v>4</v>
      </c>
      <c r="B24" t="s">
        <v>817</v>
      </c>
      <c r="C24" t="s">
        <v>799</v>
      </c>
      <c r="D24">
        <v>-4</v>
      </c>
    </row>
    <row r="25" spans="1:4" x14ac:dyDescent="0.25">
      <c r="A25" t="s">
        <v>40</v>
      </c>
      <c r="B25" t="s">
        <v>1704</v>
      </c>
      <c r="C25" t="s">
        <v>1714</v>
      </c>
      <c r="D25">
        <v>-1</v>
      </c>
    </row>
    <row r="26" spans="1:4" x14ac:dyDescent="0.25">
      <c r="A26" t="s">
        <v>40</v>
      </c>
      <c r="B26" t="s">
        <v>1430</v>
      </c>
      <c r="C26" t="s">
        <v>599</v>
      </c>
      <c r="D26">
        <v>-4</v>
      </c>
    </row>
    <row r="27" spans="1:4" x14ac:dyDescent="0.25">
      <c r="A27" t="s">
        <v>40</v>
      </c>
      <c r="B27" t="s">
        <v>43</v>
      </c>
      <c r="C27" t="s">
        <v>2209</v>
      </c>
      <c r="D27">
        <v>-5</v>
      </c>
    </row>
    <row r="28" spans="1:4" x14ac:dyDescent="0.25">
      <c r="A28" t="s">
        <v>40</v>
      </c>
      <c r="B28" t="s">
        <v>43</v>
      </c>
      <c r="C28" t="s">
        <v>1662</v>
      </c>
      <c r="D28">
        <v>-6</v>
      </c>
    </row>
    <row r="29" spans="1:4" x14ac:dyDescent="0.25">
      <c r="A29" t="s">
        <v>40</v>
      </c>
      <c r="B29" t="s">
        <v>565</v>
      </c>
      <c r="C29" t="s">
        <v>2126</v>
      </c>
      <c r="D29">
        <v>-4</v>
      </c>
    </row>
    <row r="30" spans="1:4" x14ac:dyDescent="0.25">
      <c r="A30" t="s">
        <v>40</v>
      </c>
      <c r="B30" t="s">
        <v>2355</v>
      </c>
      <c r="C30" t="s">
        <v>603</v>
      </c>
      <c r="D30">
        <v>-6</v>
      </c>
    </row>
    <row r="31" spans="1:4" x14ac:dyDescent="0.25">
      <c r="A31" t="s">
        <v>40</v>
      </c>
      <c r="B31" t="s">
        <v>827</v>
      </c>
      <c r="C31" t="s">
        <v>2212</v>
      </c>
      <c r="D31">
        <v>-8</v>
      </c>
    </row>
    <row r="32" spans="1:4" x14ac:dyDescent="0.25">
      <c r="A32" t="s">
        <v>40</v>
      </c>
      <c r="B32" t="s">
        <v>1493</v>
      </c>
      <c r="C32" t="s">
        <v>2761</v>
      </c>
      <c r="D32">
        <v>-7</v>
      </c>
    </row>
    <row r="33" spans="1:4" x14ac:dyDescent="0.25">
      <c r="A33" t="s">
        <v>40</v>
      </c>
      <c r="B33" t="s">
        <v>1169</v>
      </c>
      <c r="C33" t="s">
        <v>3972</v>
      </c>
      <c r="D33">
        <v>-9</v>
      </c>
    </row>
    <row r="34" spans="1:4" x14ac:dyDescent="0.25">
      <c r="A34" t="s">
        <v>40</v>
      </c>
      <c r="B34" t="s">
        <v>1119</v>
      </c>
      <c r="C34" t="s">
        <v>2213</v>
      </c>
      <c r="D34">
        <v>-7</v>
      </c>
    </row>
    <row r="35" spans="1:4" x14ac:dyDescent="0.25">
      <c r="A35" t="s">
        <v>40</v>
      </c>
      <c r="B35" t="s">
        <v>433</v>
      </c>
      <c r="C35" t="s">
        <v>2214</v>
      </c>
      <c r="D35">
        <v>-9</v>
      </c>
    </row>
    <row r="36" spans="1:4" x14ac:dyDescent="0.25">
      <c r="A36" t="s">
        <v>40</v>
      </c>
      <c r="B36" t="s">
        <v>433</v>
      </c>
      <c r="C36" t="s">
        <v>3627</v>
      </c>
      <c r="D36">
        <v>-10</v>
      </c>
    </row>
    <row r="37" spans="1:4" x14ac:dyDescent="0.25">
      <c r="A37" t="s">
        <v>40</v>
      </c>
      <c r="B37" t="s">
        <v>58</v>
      </c>
      <c r="C37" t="s">
        <v>2411</v>
      </c>
      <c r="D37">
        <v>-8</v>
      </c>
    </row>
    <row r="38" spans="1:4" x14ac:dyDescent="0.25">
      <c r="A38" t="s">
        <v>40</v>
      </c>
      <c r="B38" t="s">
        <v>2154</v>
      </c>
      <c r="C38" t="s">
        <v>2726</v>
      </c>
      <c r="D38">
        <v>-6</v>
      </c>
    </row>
    <row r="39" spans="1:4" x14ac:dyDescent="0.25">
      <c r="A39" t="s">
        <v>40</v>
      </c>
      <c r="B39" t="s">
        <v>943</v>
      </c>
      <c r="C39" t="s">
        <v>2412</v>
      </c>
      <c r="D39">
        <v>-5</v>
      </c>
    </row>
    <row r="40" spans="1:4" x14ac:dyDescent="0.25">
      <c r="A40" t="s">
        <v>40</v>
      </c>
      <c r="B40" t="s">
        <v>943</v>
      </c>
      <c r="C40" t="s">
        <v>1831</v>
      </c>
      <c r="D40">
        <v>-4</v>
      </c>
    </row>
    <row r="41" spans="1:4" x14ac:dyDescent="0.25">
      <c r="A41" t="s">
        <v>40</v>
      </c>
      <c r="B41" t="s">
        <v>943</v>
      </c>
      <c r="C41" t="s">
        <v>240</v>
      </c>
      <c r="D41">
        <v>-3</v>
      </c>
    </row>
    <row r="42" spans="1:4" x14ac:dyDescent="0.25">
      <c r="A42" t="s">
        <v>40</v>
      </c>
      <c r="B42" t="s">
        <v>943</v>
      </c>
      <c r="C42" t="s">
        <v>2413</v>
      </c>
      <c r="D42">
        <v>-2</v>
      </c>
    </row>
    <row r="43" spans="1:4" x14ac:dyDescent="0.25">
      <c r="A43" t="s">
        <v>40</v>
      </c>
      <c r="B43" t="s">
        <v>106</v>
      </c>
      <c r="C43" t="s">
        <v>480</v>
      </c>
      <c r="D43">
        <v>0</v>
      </c>
    </row>
    <row r="44" spans="1:4" x14ac:dyDescent="0.25">
      <c r="A44" t="s">
        <v>40</v>
      </c>
      <c r="B44" t="s">
        <v>704</v>
      </c>
      <c r="C44" t="s">
        <v>3706</v>
      </c>
      <c r="D44">
        <v>-3</v>
      </c>
    </row>
    <row r="45" spans="1:4" x14ac:dyDescent="0.25">
      <c r="A45" t="s">
        <v>40</v>
      </c>
      <c r="B45" t="s">
        <v>1043</v>
      </c>
      <c r="C45" t="s">
        <v>4371</v>
      </c>
      <c r="D45">
        <v>-6</v>
      </c>
    </row>
    <row r="46" spans="1:4" x14ac:dyDescent="0.25">
      <c r="A46" t="s">
        <v>40</v>
      </c>
      <c r="B46" t="s">
        <v>1202</v>
      </c>
      <c r="C46" t="s">
        <v>821</v>
      </c>
      <c r="D46">
        <v>-7</v>
      </c>
    </row>
    <row r="47" spans="1:4" x14ac:dyDescent="0.25">
      <c r="A47" t="s">
        <v>40</v>
      </c>
      <c r="B47" t="s">
        <v>1202</v>
      </c>
      <c r="C47" t="s">
        <v>2222</v>
      </c>
      <c r="D47">
        <v>-8</v>
      </c>
    </row>
    <row r="48" spans="1:4" x14ac:dyDescent="0.25">
      <c r="A48" t="s">
        <v>40</v>
      </c>
      <c r="B48" t="s">
        <v>1940</v>
      </c>
      <c r="C48" t="s">
        <v>2135</v>
      </c>
      <c r="D48">
        <v>-7</v>
      </c>
    </row>
    <row r="49" spans="1:4" x14ac:dyDescent="0.25">
      <c r="A49" t="s">
        <v>40</v>
      </c>
      <c r="B49" t="s">
        <v>1940</v>
      </c>
      <c r="C49" t="s">
        <v>1764</v>
      </c>
      <c r="D49">
        <v>-6</v>
      </c>
    </row>
    <row r="50" spans="1:4" x14ac:dyDescent="0.25">
      <c r="A50" t="s">
        <v>40</v>
      </c>
      <c r="B50" t="s">
        <v>29</v>
      </c>
      <c r="C50" t="s">
        <v>824</v>
      </c>
      <c r="D50">
        <v>-8</v>
      </c>
    </row>
    <row r="51" spans="1:4" x14ac:dyDescent="0.25">
      <c r="A51" t="s">
        <v>40</v>
      </c>
      <c r="B51" t="s">
        <v>1844</v>
      </c>
      <c r="C51" t="s">
        <v>2764</v>
      </c>
      <c r="D51">
        <v>-6</v>
      </c>
    </row>
    <row r="52" spans="1:4" x14ac:dyDescent="0.25">
      <c r="A52" t="s">
        <v>40</v>
      </c>
      <c r="B52" t="s">
        <v>1845</v>
      </c>
      <c r="C52" t="s">
        <v>3576</v>
      </c>
      <c r="D52">
        <v>-4</v>
      </c>
    </row>
    <row r="53" spans="1:4" x14ac:dyDescent="0.25">
      <c r="A53" t="s">
        <v>40</v>
      </c>
      <c r="B53" t="s">
        <v>1733</v>
      </c>
      <c r="C53" t="s">
        <v>2417</v>
      </c>
      <c r="D53">
        <v>-6</v>
      </c>
    </row>
    <row r="54" spans="1:4" x14ac:dyDescent="0.25">
      <c r="A54" t="s">
        <v>40</v>
      </c>
      <c r="B54" t="s">
        <v>1002</v>
      </c>
      <c r="C54" t="s">
        <v>2225</v>
      </c>
      <c r="D54">
        <v>-5</v>
      </c>
    </row>
    <row r="55" spans="1:4" x14ac:dyDescent="0.25">
      <c r="A55" t="s">
        <v>40</v>
      </c>
      <c r="B55" t="s">
        <v>1002</v>
      </c>
      <c r="C55" t="s">
        <v>1229</v>
      </c>
      <c r="D55">
        <v>-4</v>
      </c>
    </row>
    <row r="56" spans="1:4" x14ac:dyDescent="0.25">
      <c r="A56" t="s">
        <v>40</v>
      </c>
      <c r="B56" t="s">
        <v>38</v>
      </c>
      <c r="C56" t="s">
        <v>381</v>
      </c>
      <c r="D56">
        <v>-1</v>
      </c>
    </row>
    <row r="57" spans="1:4" x14ac:dyDescent="0.25">
      <c r="A57" t="s">
        <v>80</v>
      </c>
      <c r="B57" t="s">
        <v>716</v>
      </c>
      <c r="C57" t="s">
        <v>632</v>
      </c>
      <c r="D57">
        <v>-4</v>
      </c>
    </row>
    <row r="58" spans="1:4" x14ac:dyDescent="0.25">
      <c r="A58" t="s">
        <v>80</v>
      </c>
      <c r="B58" t="s">
        <v>128</v>
      </c>
      <c r="C58" t="s">
        <v>633</v>
      </c>
      <c r="D58">
        <v>-2</v>
      </c>
    </row>
    <row r="59" spans="1:4" x14ac:dyDescent="0.25">
      <c r="A59" t="s">
        <v>80</v>
      </c>
      <c r="B59" t="s">
        <v>205</v>
      </c>
      <c r="C59" t="s">
        <v>1774</v>
      </c>
      <c r="D59">
        <v>-4</v>
      </c>
    </row>
    <row r="60" spans="1:4" x14ac:dyDescent="0.25">
      <c r="A60" t="s">
        <v>80</v>
      </c>
      <c r="B60" t="s">
        <v>1190</v>
      </c>
      <c r="C60" t="s">
        <v>388</v>
      </c>
      <c r="D60">
        <v>-1</v>
      </c>
    </row>
    <row r="61" spans="1:4" x14ac:dyDescent="0.25">
      <c r="A61" t="s">
        <v>80</v>
      </c>
      <c r="B61" t="s">
        <v>2152</v>
      </c>
      <c r="C61" t="s">
        <v>840</v>
      </c>
      <c r="D61">
        <v>-2</v>
      </c>
    </row>
    <row r="62" spans="1:4" x14ac:dyDescent="0.25">
      <c r="A62" t="s">
        <v>80</v>
      </c>
      <c r="B62" t="s">
        <v>2152</v>
      </c>
      <c r="C62" t="s">
        <v>3094</v>
      </c>
      <c r="D62">
        <v>-3</v>
      </c>
    </row>
    <row r="63" spans="1:4" x14ac:dyDescent="0.25">
      <c r="A63" t="s">
        <v>80</v>
      </c>
      <c r="B63" t="s">
        <v>641</v>
      </c>
      <c r="C63" t="s">
        <v>2182</v>
      </c>
      <c r="D63">
        <v>0</v>
      </c>
    </row>
    <row r="64" spans="1:4" x14ac:dyDescent="0.25">
      <c r="A64" t="s">
        <v>80</v>
      </c>
      <c r="B64" t="s">
        <v>1248</v>
      </c>
      <c r="C64" t="s">
        <v>2231</v>
      </c>
      <c r="D64">
        <v>-2</v>
      </c>
    </row>
    <row r="65" spans="1:4" x14ac:dyDescent="0.25">
      <c r="A65" t="s">
        <v>80</v>
      </c>
      <c r="B65" t="s">
        <v>2431</v>
      </c>
      <c r="C65" t="s">
        <v>1737</v>
      </c>
      <c r="D65">
        <v>1</v>
      </c>
    </row>
    <row r="66" spans="1:4" x14ac:dyDescent="0.25">
      <c r="A66" t="s">
        <v>80</v>
      </c>
      <c r="B66" t="s">
        <v>872</v>
      </c>
      <c r="C66" t="s">
        <v>844</v>
      </c>
      <c r="D66">
        <v>-1</v>
      </c>
    </row>
    <row r="67" spans="1:4" x14ac:dyDescent="0.25">
      <c r="A67" t="s">
        <v>80</v>
      </c>
      <c r="B67" t="s">
        <v>872</v>
      </c>
      <c r="C67" t="s">
        <v>2341</v>
      </c>
      <c r="D67">
        <v>-2</v>
      </c>
    </row>
    <row r="68" spans="1:4" x14ac:dyDescent="0.25">
      <c r="A68" t="s">
        <v>80</v>
      </c>
      <c r="B68" t="s">
        <v>746</v>
      </c>
      <c r="C68" t="s">
        <v>2342</v>
      </c>
      <c r="D68">
        <v>0</v>
      </c>
    </row>
    <row r="69" spans="1:4" x14ac:dyDescent="0.25">
      <c r="A69" t="s">
        <v>80</v>
      </c>
      <c r="B69" t="s">
        <v>378</v>
      </c>
      <c r="C69" t="s">
        <v>2534</v>
      </c>
      <c r="D69">
        <v>-2</v>
      </c>
    </row>
    <row r="70" spans="1:4" x14ac:dyDescent="0.25">
      <c r="A70" t="s">
        <v>80</v>
      </c>
      <c r="B70" t="s">
        <v>380</v>
      </c>
      <c r="C70" t="s">
        <v>2238</v>
      </c>
      <c r="D70">
        <v>-4</v>
      </c>
    </row>
    <row r="71" spans="1:4" x14ac:dyDescent="0.25">
      <c r="A71" t="s">
        <v>80</v>
      </c>
      <c r="B71" t="s">
        <v>380</v>
      </c>
      <c r="C71" t="s">
        <v>2239</v>
      </c>
      <c r="D71">
        <v>-5</v>
      </c>
    </row>
    <row r="72" spans="1:4" x14ac:dyDescent="0.25">
      <c r="A72" t="s">
        <v>80</v>
      </c>
      <c r="B72" t="s">
        <v>766</v>
      </c>
      <c r="C72" t="s">
        <v>2240</v>
      </c>
      <c r="D72">
        <v>-6</v>
      </c>
    </row>
    <row r="73" spans="1:4" x14ac:dyDescent="0.25">
      <c r="A73" t="s">
        <v>80</v>
      </c>
      <c r="B73" t="s">
        <v>1376</v>
      </c>
      <c r="C73" t="s">
        <v>2769</v>
      </c>
      <c r="D73">
        <v>-8</v>
      </c>
    </row>
    <row r="74" spans="1:4" x14ac:dyDescent="0.25">
      <c r="A74" t="s">
        <v>80</v>
      </c>
      <c r="B74" t="s">
        <v>1177</v>
      </c>
      <c r="C74" t="s">
        <v>3993</v>
      </c>
      <c r="D74">
        <v>-9</v>
      </c>
    </row>
    <row r="75" spans="1:4" x14ac:dyDescent="0.25">
      <c r="A75" t="s">
        <v>80</v>
      </c>
      <c r="B75" t="s">
        <v>118</v>
      </c>
      <c r="C75" t="s">
        <v>2770</v>
      </c>
      <c r="D75">
        <v>-10</v>
      </c>
    </row>
    <row r="76" spans="1:4" x14ac:dyDescent="0.25">
      <c r="A76" t="s">
        <v>80</v>
      </c>
      <c r="B76" t="s">
        <v>118</v>
      </c>
      <c r="C76" t="s">
        <v>2771</v>
      </c>
      <c r="D76">
        <v>-11</v>
      </c>
    </row>
    <row r="77" spans="1:4" x14ac:dyDescent="0.25">
      <c r="A77" t="s">
        <v>80</v>
      </c>
      <c r="B77" t="s">
        <v>152</v>
      </c>
      <c r="C77" t="s">
        <v>1546</v>
      </c>
      <c r="D77">
        <v>-10</v>
      </c>
    </row>
    <row r="78" spans="1:4" x14ac:dyDescent="0.25">
      <c r="A78" t="s">
        <v>80</v>
      </c>
      <c r="B78" t="s">
        <v>152</v>
      </c>
      <c r="C78" t="s">
        <v>2426</v>
      </c>
      <c r="D78">
        <v>-9</v>
      </c>
    </row>
    <row r="79" spans="1:4" x14ac:dyDescent="0.25">
      <c r="A79" t="s">
        <v>80</v>
      </c>
      <c r="B79" t="s">
        <v>1568</v>
      </c>
      <c r="C79" t="s">
        <v>291</v>
      </c>
      <c r="D79">
        <v>-10</v>
      </c>
    </row>
    <row r="80" spans="1:4" x14ac:dyDescent="0.25">
      <c r="A80" t="s">
        <v>80</v>
      </c>
      <c r="B80" t="s">
        <v>1568</v>
      </c>
      <c r="C80" t="s">
        <v>2620</v>
      </c>
      <c r="D80">
        <v>-11</v>
      </c>
    </row>
    <row r="81" spans="1:4" x14ac:dyDescent="0.25">
      <c r="A81" t="s">
        <v>123</v>
      </c>
      <c r="B81" t="s">
        <v>1735</v>
      </c>
      <c r="C81" t="s">
        <v>2772</v>
      </c>
      <c r="D81">
        <v>-12</v>
      </c>
    </row>
    <row r="82" spans="1:4" x14ac:dyDescent="0.25">
      <c r="A82" t="s">
        <v>123</v>
      </c>
      <c r="B82" t="s">
        <v>1877</v>
      </c>
      <c r="C82" t="s">
        <v>2429</v>
      </c>
      <c r="D82">
        <v>-10</v>
      </c>
    </row>
    <row r="83" spans="1:4" x14ac:dyDescent="0.25">
      <c r="A83" t="s">
        <v>123</v>
      </c>
      <c r="B83" t="s">
        <v>1877</v>
      </c>
      <c r="C83" t="s">
        <v>856</v>
      </c>
      <c r="D83">
        <v>-9</v>
      </c>
    </row>
    <row r="84" spans="1:4" x14ac:dyDescent="0.25">
      <c r="A84" t="s">
        <v>123</v>
      </c>
      <c r="B84" t="s">
        <v>355</v>
      </c>
      <c r="C84" t="s">
        <v>2622</v>
      </c>
      <c r="D84">
        <v>-11</v>
      </c>
    </row>
    <row r="85" spans="1:4" x14ac:dyDescent="0.25">
      <c r="A85" t="s">
        <v>123</v>
      </c>
      <c r="B85" t="s">
        <v>1493</v>
      </c>
      <c r="C85" t="s">
        <v>149</v>
      </c>
      <c r="D85">
        <v>-10</v>
      </c>
    </row>
    <row r="86" spans="1:4" x14ac:dyDescent="0.25">
      <c r="A86" t="s">
        <v>123</v>
      </c>
      <c r="B86" t="s">
        <v>1493</v>
      </c>
      <c r="C86" t="s">
        <v>302</v>
      </c>
      <c r="D86">
        <v>-9</v>
      </c>
    </row>
    <row r="87" spans="1:4" x14ac:dyDescent="0.25">
      <c r="A87" t="s">
        <v>123</v>
      </c>
      <c r="B87" t="s">
        <v>937</v>
      </c>
      <c r="C87" t="s">
        <v>1794</v>
      </c>
      <c r="D87">
        <v>-12</v>
      </c>
    </row>
    <row r="88" spans="1:4" x14ac:dyDescent="0.25">
      <c r="A88" t="s">
        <v>123</v>
      </c>
      <c r="B88" t="s">
        <v>1683</v>
      </c>
      <c r="C88" t="s">
        <v>4559</v>
      </c>
      <c r="D88">
        <v>-9</v>
      </c>
    </row>
    <row r="89" spans="1:4" x14ac:dyDescent="0.25">
      <c r="A89" t="s">
        <v>123</v>
      </c>
      <c r="B89" t="s">
        <v>648</v>
      </c>
      <c r="C89" t="s">
        <v>1796</v>
      </c>
      <c r="D89">
        <v>-11</v>
      </c>
    </row>
    <row r="90" spans="1:4" x14ac:dyDescent="0.25">
      <c r="A90" t="s">
        <v>123</v>
      </c>
      <c r="B90" t="s">
        <v>1817</v>
      </c>
      <c r="C90" t="s">
        <v>4659</v>
      </c>
      <c r="D90">
        <v>-9</v>
      </c>
    </row>
    <row r="91" spans="1:4" x14ac:dyDescent="0.25">
      <c r="A91" t="s">
        <v>123</v>
      </c>
      <c r="B91" t="s">
        <v>1153</v>
      </c>
      <c r="C91" t="s">
        <v>4660</v>
      </c>
      <c r="D91">
        <v>-12</v>
      </c>
    </row>
    <row r="92" spans="1:4" x14ac:dyDescent="0.25">
      <c r="A92" t="s">
        <v>123</v>
      </c>
      <c r="B92" t="s">
        <v>225</v>
      </c>
      <c r="C92" t="s">
        <v>1799</v>
      </c>
      <c r="D92">
        <v>-11</v>
      </c>
    </row>
    <row r="93" spans="1:4" x14ac:dyDescent="0.25">
      <c r="A93" t="s">
        <v>123</v>
      </c>
      <c r="B93" t="s">
        <v>1073</v>
      </c>
      <c r="C93" t="s">
        <v>4661</v>
      </c>
      <c r="D93">
        <v>-14</v>
      </c>
    </row>
    <row r="94" spans="1:4" x14ac:dyDescent="0.25">
      <c r="A94" t="s">
        <v>123</v>
      </c>
      <c r="B94" t="s">
        <v>1376</v>
      </c>
      <c r="C94" t="s">
        <v>1561</v>
      </c>
      <c r="D94">
        <v>-12</v>
      </c>
    </row>
    <row r="95" spans="1:4" x14ac:dyDescent="0.25">
      <c r="A95" t="s">
        <v>123</v>
      </c>
      <c r="B95" t="s">
        <v>2317</v>
      </c>
      <c r="C95" t="s">
        <v>4662</v>
      </c>
      <c r="D95">
        <v>-10</v>
      </c>
    </row>
    <row r="96" spans="1:4" x14ac:dyDescent="0.25">
      <c r="A96" t="s">
        <v>123</v>
      </c>
      <c r="B96" t="s">
        <v>732</v>
      </c>
      <c r="C96" t="s">
        <v>4663</v>
      </c>
      <c r="D96">
        <v>-9</v>
      </c>
    </row>
    <row r="97" spans="1:4" x14ac:dyDescent="0.25">
      <c r="A97" t="s">
        <v>123</v>
      </c>
      <c r="B97" t="s">
        <v>732</v>
      </c>
      <c r="C97" t="s">
        <v>4664</v>
      </c>
      <c r="D97">
        <v>-8</v>
      </c>
    </row>
    <row r="98" spans="1:4" x14ac:dyDescent="0.25">
      <c r="A98" t="s">
        <v>123</v>
      </c>
      <c r="B98" t="s">
        <v>505</v>
      </c>
      <c r="C98" t="s">
        <v>4665</v>
      </c>
      <c r="D98">
        <v>-10</v>
      </c>
    </row>
    <row r="99" spans="1:4" x14ac:dyDescent="0.25">
      <c r="A99" t="s">
        <v>123</v>
      </c>
      <c r="B99" t="s">
        <v>999</v>
      </c>
      <c r="C99" t="s">
        <v>3550</v>
      </c>
      <c r="D99">
        <v>-8</v>
      </c>
    </row>
    <row r="100" spans="1:4" x14ac:dyDescent="0.25">
      <c r="A100" t="s">
        <v>123</v>
      </c>
      <c r="B100" t="s">
        <v>301</v>
      </c>
      <c r="C100" t="s">
        <v>4666</v>
      </c>
      <c r="D100">
        <v>-7</v>
      </c>
    </row>
    <row r="101" spans="1:4" x14ac:dyDescent="0.25">
      <c r="A101" t="s">
        <v>123</v>
      </c>
      <c r="B101" t="s">
        <v>76</v>
      </c>
      <c r="C101" t="s">
        <v>4667</v>
      </c>
      <c r="D101">
        <v>-8</v>
      </c>
    </row>
    <row r="102" spans="1:4" x14ac:dyDescent="0.25">
      <c r="A102" t="s">
        <v>123</v>
      </c>
      <c r="B102" t="s">
        <v>793</v>
      </c>
      <c r="C102" t="s">
        <v>4668</v>
      </c>
      <c r="D102">
        <v>-11</v>
      </c>
    </row>
    <row r="103" spans="1:4" x14ac:dyDescent="0.25">
      <c r="A103" t="s">
        <v>123</v>
      </c>
      <c r="B103" t="s">
        <v>1627</v>
      </c>
      <c r="C103" t="s">
        <v>2633</v>
      </c>
      <c r="D103">
        <v>-8</v>
      </c>
    </row>
    <row r="104" spans="1:4" x14ac:dyDescent="0.25">
      <c r="A104" t="s">
        <v>123</v>
      </c>
      <c r="B104" t="s">
        <v>508</v>
      </c>
      <c r="C104" t="s">
        <v>2634</v>
      </c>
      <c r="D104">
        <v>-9</v>
      </c>
    </row>
    <row r="105" spans="1:4" x14ac:dyDescent="0.25">
      <c r="A105" t="s">
        <v>123</v>
      </c>
      <c r="B105" t="s">
        <v>508</v>
      </c>
      <c r="C105" t="s">
        <v>4669</v>
      </c>
      <c r="D105">
        <v>-10</v>
      </c>
    </row>
    <row r="107" spans="1:4" x14ac:dyDescent="0.25">
      <c r="A107" s="2" t="s">
        <v>157</v>
      </c>
    </row>
    <row r="108" spans="1:4" x14ac:dyDescent="0.25">
      <c r="A108" t="s">
        <v>158</v>
      </c>
      <c r="D108">
        <f>AVERAGE(D2:D105)</f>
        <v>-5.75</v>
      </c>
    </row>
    <row r="109" spans="1:4" x14ac:dyDescent="0.25">
      <c r="A109" t="s">
        <v>159</v>
      </c>
      <c r="D109">
        <f>MAX(D2:D105)</f>
        <v>1</v>
      </c>
    </row>
    <row r="110" spans="1:4" x14ac:dyDescent="0.25">
      <c r="A110" t="s">
        <v>160</v>
      </c>
      <c r="D110">
        <f>MIN(D2:D105)</f>
        <v>-14</v>
      </c>
    </row>
    <row r="111" spans="1:4" x14ac:dyDescent="0.25">
      <c r="A111" t="s">
        <v>161</v>
      </c>
      <c r="D111">
        <f>COUNTIF(D2:D105,"&gt;0")</f>
        <v>2</v>
      </c>
    </row>
    <row r="112" spans="1:4" x14ac:dyDescent="0.25">
      <c r="A112" t="s">
        <v>162</v>
      </c>
      <c r="D112">
        <f>COUNTIF(D2:D105,"=0")</f>
        <v>5</v>
      </c>
    </row>
    <row r="113" spans="1:4" x14ac:dyDescent="0.25">
      <c r="A113" t="s">
        <v>1428</v>
      </c>
      <c r="D113">
        <f>COUNTIF(D2:D105,"&lt;0")</f>
        <v>97</v>
      </c>
    </row>
    <row r="115" spans="1:4" x14ac:dyDescent="0.25">
      <c r="A115" s="2" t="s">
        <v>164</v>
      </c>
    </row>
    <row r="116" spans="1:4" x14ac:dyDescent="0.25">
      <c r="A116" t="s">
        <v>165</v>
      </c>
      <c r="D116">
        <f>AVERAGE(D2,D3,D4,D5,D6,D7,D8,D9,D10,D11,D12,D13,D14,D15,D16,D17,D18,D19,D20,D21,D22,D23,D24)</f>
        <v>-2.5652173913043477</v>
      </c>
    </row>
    <row r="117" spans="1:4" x14ac:dyDescent="0.25">
      <c r="A117" t="s">
        <v>166</v>
      </c>
      <c r="D117">
        <f>AVERAGE(D25,D26,D27,D28,D29,D30,D31,D32,D33,D34,D35,D36,D37,D38,D39,D40,D41,D42,D43,D44,D45,D46,D47,D48,D49,D50,D51,D52,D53,D54,D55,D56)</f>
        <v>-5.46875</v>
      </c>
    </row>
    <row r="118" spans="1:4" x14ac:dyDescent="0.25">
      <c r="A118" t="s">
        <v>167</v>
      </c>
      <c r="D118">
        <f>AVERAGE(D57,D58,D59,D60,D61,D62,D63,D64,D65,D66,D67,D68,D69,D70,D71,D72,D73,D74,D75,D76,D77,D78,D79,D80)</f>
        <v>-4.791666666666667</v>
      </c>
    </row>
    <row r="119" spans="1:4" x14ac:dyDescent="0.25">
      <c r="A119" t="s">
        <v>168</v>
      </c>
      <c r="D119">
        <f>AVERAGE(D81,D82,D83,D84,D85,D86,D87,D88,D89,D90,D91,D92,D93,D94,D95,D96,D97,D98,D99,D100,D101,D102,D103,D104,D105)</f>
        <v>-9.9600000000000009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D10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1541</v>
      </c>
      <c r="C2" t="s">
        <v>908</v>
      </c>
      <c r="D2">
        <v>-2</v>
      </c>
    </row>
    <row r="3" spans="1:4" x14ac:dyDescent="0.25">
      <c r="A3" t="s">
        <v>4</v>
      </c>
      <c r="B3" t="s">
        <v>1346</v>
      </c>
      <c r="C3" t="s">
        <v>174</v>
      </c>
      <c r="D3">
        <v>1</v>
      </c>
    </row>
    <row r="4" spans="1:4" x14ac:dyDescent="0.25">
      <c r="A4" t="s">
        <v>4</v>
      </c>
      <c r="B4" t="s">
        <v>777</v>
      </c>
      <c r="C4" t="s">
        <v>910</v>
      </c>
      <c r="D4">
        <v>-2</v>
      </c>
    </row>
    <row r="5" spans="1:4" x14ac:dyDescent="0.25">
      <c r="A5" t="s">
        <v>4</v>
      </c>
      <c r="B5" t="s">
        <v>47</v>
      </c>
      <c r="C5" t="s">
        <v>1193</v>
      </c>
      <c r="D5">
        <v>1</v>
      </c>
    </row>
    <row r="6" spans="1:4" x14ac:dyDescent="0.25">
      <c r="A6" t="s">
        <v>4</v>
      </c>
      <c r="B6" t="s">
        <v>954</v>
      </c>
      <c r="C6" t="s">
        <v>695</v>
      </c>
      <c r="D6">
        <v>3</v>
      </c>
    </row>
    <row r="7" spans="1:4" x14ac:dyDescent="0.25">
      <c r="A7" t="s">
        <v>4</v>
      </c>
      <c r="B7" t="s">
        <v>1119</v>
      </c>
      <c r="C7" t="s">
        <v>1974</v>
      </c>
      <c r="D7">
        <v>5</v>
      </c>
    </row>
    <row r="8" spans="1:4" x14ac:dyDescent="0.25">
      <c r="A8" t="s">
        <v>4</v>
      </c>
      <c r="B8" t="s">
        <v>275</v>
      </c>
      <c r="C8" t="s">
        <v>1351</v>
      </c>
      <c r="D8">
        <v>3</v>
      </c>
    </row>
    <row r="9" spans="1:4" x14ac:dyDescent="0.25">
      <c r="A9" t="s">
        <v>4</v>
      </c>
      <c r="B9" t="s">
        <v>179</v>
      </c>
      <c r="C9" t="s">
        <v>784</v>
      </c>
      <c r="D9">
        <v>5</v>
      </c>
    </row>
    <row r="10" spans="1:4" x14ac:dyDescent="0.25">
      <c r="A10" t="s">
        <v>4</v>
      </c>
      <c r="B10" t="s">
        <v>834</v>
      </c>
      <c r="C10" t="s">
        <v>917</v>
      </c>
      <c r="D10">
        <v>2</v>
      </c>
    </row>
    <row r="11" spans="1:4" x14ac:dyDescent="0.25">
      <c r="A11" t="s">
        <v>4</v>
      </c>
      <c r="B11" t="s">
        <v>2170</v>
      </c>
      <c r="C11" t="s">
        <v>2155</v>
      </c>
      <c r="D11">
        <v>0</v>
      </c>
    </row>
    <row r="12" spans="1:4" x14ac:dyDescent="0.25">
      <c r="A12" t="s">
        <v>4</v>
      </c>
      <c r="B12" t="s">
        <v>2170</v>
      </c>
      <c r="C12" t="s">
        <v>30</v>
      </c>
      <c r="D12">
        <v>-1</v>
      </c>
    </row>
    <row r="13" spans="1:4" x14ac:dyDescent="0.25">
      <c r="A13" t="s">
        <v>4</v>
      </c>
      <c r="B13" t="s">
        <v>1598</v>
      </c>
      <c r="C13" t="s">
        <v>1114</v>
      </c>
      <c r="D13">
        <v>2</v>
      </c>
    </row>
    <row r="14" spans="1:4" x14ac:dyDescent="0.25">
      <c r="A14" t="s">
        <v>4</v>
      </c>
      <c r="B14" t="s">
        <v>62</v>
      </c>
      <c r="C14" t="s">
        <v>197</v>
      </c>
      <c r="D14">
        <v>5</v>
      </c>
    </row>
    <row r="15" spans="1:4" x14ac:dyDescent="0.25">
      <c r="A15" t="s">
        <v>4</v>
      </c>
      <c r="B15" t="s">
        <v>101</v>
      </c>
      <c r="C15" t="s">
        <v>2047</v>
      </c>
      <c r="D15">
        <v>8</v>
      </c>
    </row>
    <row r="16" spans="1:4" x14ac:dyDescent="0.25">
      <c r="A16" t="s">
        <v>4</v>
      </c>
      <c r="B16" t="s">
        <v>1108</v>
      </c>
      <c r="C16" t="s">
        <v>1203</v>
      </c>
      <c r="D16">
        <v>6</v>
      </c>
    </row>
    <row r="17" spans="1:4" x14ac:dyDescent="0.25">
      <c r="A17" t="s">
        <v>4</v>
      </c>
      <c r="B17" t="s">
        <v>704</v>
      </c>
      <c r="C17" t="s">
        <v>2480</v>
      </c>
      <c r="D17">
        <v>4</v>
      </c>
    </row>
    <row r="18" spans="1:4" x14ac:dyDescent="0.25">
      <c r="A18" t="s">
        <v>4</v>
      </c>
      <c r="B18" t="s">
        <v>1073</v>
      </c>
      <c r="C18" t="s">
        <v>2595</v>
      </c>
      <c r="D18">
        <v>6</v>
      </c>
    </row>
    <row r="19" spans="1:4" x14ac:dyDescent="0.25">
      <c r="A19" t="s">
        <v>4</v>
      </c>
      <c r="B19" t="s">
        <v>813</v>
      </c>
      <c r="C19" t="s">
        <v>2926</v>
      </c>
      <c r="D19">
        <v>9</v>
      </c>
    </row>
    <row r="20" spans="1:4" x14ac:dyDescent="0.25">
      <c r="A20" t="s">
        <v>4</v>
      </c>
      <c r="B20" t="s">
        <v>1940</v>
      </c>
      <c r="C20" t="s">
        <v>3534</v>
      </c>
      <c r="D20">
        <v>11</v>
      </c>
    </row>
    <row r="21" spans="1:4" x14ac:dyDescent="0.25">
      <c r="A21" t="s">
        <v>4</v>
      </c>
      <c r="B21" t="s">
        <v>534</v>
      </c>
      <c r="C21" t="s">
        <v>1930</v>
      </c>
      <c r="D21">
        <v>9</v>
      </c>
    </row>
    <row r="22" spans="1:4" x14ac:dyDescent="0.25">
      <c r="A22" t="s">
        <v>40</v>
      </c>
      <c r="B22" t="s">
        <v>1680</v>
      </c>
      <c r="C22" t="s">
        <v>2523</v>
      </c>
      <c r="D22">
        <v>8</v>
      </c>
    </row>
    <row r="23" spans="1:4" x14ac:dyDescent="0.25">
      <c r="A23" t="s">
        <v>40</v>
      </c>
      <c r="B23" t="s">
        <v>128</v>
      </c>
      <c r="C23" t="s">
        <v>1209</v>
      </c>
      <c r="D23">
        <v>7</v>
      </c>
    </row>
    <row r="24" spans="1:4" x14ac:dyDescent="0.25">
      <c r="A24" t="s">
        <v>40</v>
      </c>
      <c r="B24" t="s">
        <v>128</v>
      </c>
      <c r="C24" t="s">
        <v>2124</v>
      </c>
      <c r="D24">
        <v>6</v>
      </c>
    </row>
    <row r="25" spans="1:4" x14ac:dyDescent="0.25">
      <c r="A25" t="s">
        <v>40</v>
      </c>
      <c r="B25" t="s">
        <v>1765</v>
      </c>
      <c r="C25" t="s">
        <v>338</v>
      </c>
      <c r="D25">
        <v>4</v>
      </c>
    </row>
    <row r="26" spans="1:4" x14ac:dyDescent="0.25">
      <c r="A26" t="s">
        <v>40</v>
      </c>
      <c r="B26" t="s">
        <v>1009</v>
      </c>
      <c r="C26" t="s">
        <v>1211</v>
      </c>
      <c r="D26">
        <v>6</v>
      </c>
    </row>
    <row r="27" spans="1:4" x14ac:dyDescent="0.25">
      <c r="A27" t="s">
        <v>40</v>
      </c>
      <c r="B27" t="s">
        <v>355</v>
      </c>
      <c r="C27" t="s">
        <v>722</v>
      </c>
      <c r="D27">
        <v>3</v>
      </c>
    </row>
    <row r="28" spans="1:4" x14ac:dyDescent="0.25">
      <c r="A28" t="s">
        <v>40</v>
      </c>
      <c r="B28" t="s">
        <v>1029</v>
      </c>
      <c r="C28" t="s">
        <v>2781</v>
      </c>
      <c r="D28">
        <v>5</v>
      </c>
    </row>
    <row r="29" spans="1:4" x14ac:dyDescent="0.25">
      <c r="A29" t="s">
        <v>40</v>
      </c>
      <c r="B29" t="s">
        <v>590</v>
      </c>
      <c r="C29" t="s">
        <v>222</v>
      </c>
      <c r="D29">
        <v>4</v>
      </c>
    </row>
    <row r="30" spans="1:4" x14ac:dyDescent="0.25">
      <c r="A30" t="s">
        <v>40</v>
      </c>
      <c r="B30" t="s">
        <v>832</v>
      </c>
      <c r="C30" t="s">
        <v>1130</v>
      </c>
      <c r="D30">
        <v>2</v>
      </c>
    </row>
    <row r="31" spans="1:4" x14ac:dyDescent="0.25">
      <c r="A31" t="s">
        <v>40</v>
      </c>
      <c r="B31" t="s">
        <v>1227</v>
      </c>
      <c r="C31" t="s">
        <v>466</v>
      </c>
      <c r="D31">
        <v>0</v>
      </c>
    </row>
    <row r="32" spans="1:4" x14ac:dyDescent="0.25">
      <c r="A32" t="s">
        <v>40</v>
      </c>
      <c r="B32" t="s">
        <v>499</v>
      </c>
      <c r="C32" t="s">
        <v>1827</v>
      </c>
      <c r="D32">
        <v>-2</v>
      </c>
    </row>
    <row r="33" spans="1:4" x14ac:dyDescent="0.25">
      <c r="A33" t="s">
        <v>40</v>
      </c>
      <c r="B33" t="s">
        <v>106</v>
      </c>
      <c r="C33" t="s">
        <v>2762</v>
      </c>
      <c r="D33">
        <v>-4</v>
      </c>
    </row>
    <row r="34" spans="1:4" x14ac:dyDescent="0.25">
      <c r="A34" t="s">
        <v>40</v>
      </c>
      <c r="B34" t="s">
        <v>1698</v>
      </c>
      <c r="C34" t="s">
        <v>1828</v>
      </c>
      <c r="D34">
        <v>-2</v>
      </c>
    </row>
    <row r="35" spans="1:4" x14ac:dyDescent="0.25">
      <c r="A35" t="s">
        <v>40</v>
      </c>
      <c r="B35" t="s">
        <v>503</v>
      </c>
      <c r="C35" t="s">
        <v>3560</v>
      </c>
      <c r="D35">
        <v>-5</v>
      </c>
    </row>
    <row r="36" spans="1:4" x14ac:dyDescent="0.25">
      <c r="A36" t="s">
        <v>40</v>
      </c>
      <c r="B36" t="s">
        <v>671</v>
      </c>
      <c r="C36" t="s">
        <v>2131</v>
      </c>
      <c r="D36">
        <v>-4</v>
      </c>
    </row>
    <row r="37" spans="1:4" x14ac:dyDescent="0.25">
      <c r="A37" t="s">
        <v>40</v>
      </c>
      <c r="B37" t="s">
        <v>198</v>
      </c>
      <c r="C37" t="s">
        <v>4064</v>
      </c>
      <c r="D37">
        <v>-2</v>
      </c>
    </row>
    <row r="38" spans="1:4" x14ac:dyDescent="0.25">
      <c r="A38" t="s">
        <v>40</v>
      </c>
      <c r="B38" t="s">
        <v>1222</v>
      </c>
      <c r="C38" t="s">
        <v>1221</v>
      </c>
      <c r="D38">
        <v>0</v>
      </c>
    </row>
    <row r="39" spans="1:4" x14ac:dyDescent="0.25">
      <c r="A39" t="s">
        <v>40</v>
      </c>
      <c r="B39" t="s">
        <v>394</v>
      </c>
      <c r="C39" t="s">
        <v>2218</v>
      </c>
      <c r="D39">
        <v>-3</v>
      </c>
    </row>
    <row r="40" spans="1:4" x14ac:dyDescent="0.25">
      <c r="A40" t="s">
        <v>40</v>
      </c>
      <c r="B40" t="s">
        <v>1002</v>
      </c>
      <c r="C40" t="s">
        <v>245</v>
      </c>
      <c r="D40">
        <v>0</v>
      </c>
    </row>
    <row r="41" spans="1:4" x14ac:dyDescent="0.25">
      <c r="A41" t="s">
        <v>80</v>
      </c>
      <c r="B41" t="s">
        <v>907</v>
      </c>
      <c r="C41" t="s">
        <v>248</v>
      </c>
      <c r="D41">
        <v>-2</v>
      </c>
    </row>
    <row r="42" spans="1:4" x14ac:dyDescent="0.25">
      <c r="A42" t="s">
        <v>80</v>
      </c>
      <c r="B42" t="s">
        <v>1924</v>
      </c>
      <c r="C42" t="s">
        <v>736</v>
      </c>
      <c r="D42">
        <v>1</v>
      </c>
    </row>
    <row r="43" spans="1:4" x14ac:dyDescent="0.25">
      <c r="A43" t="s">
        <v>80</v>
      </c>
      <c r="B43" t="s">
        <v>1691</v>
      </c>
      <c r="C43" t="s">
        <v>486</v>
      </c>
      <c r="D43">
        <v>4</v>
      </c>
    </row>
    <row r="44" spans="1:4" x14ac:dyDescent="0.25">
      <c r="A44" t="s">
        <v>80</v>
      </c>
      <c r="B44" t="s">
        <v>859</v>
      </c>
      <c r="C44" t="s">
        <v>2610</v>
      </c>
      <c r="D44">
        <v>3</v>
      </c>
    </row>
    <row r="45" spans="1:4" x14ac:dyDescent="0.25">
      <c r="A45" t="s">
        <v>80</v>
      </c>
      <c r="B45" t="s">
        <v>859</v>
      </c>
      <c r="C45" t="s">
        <v>2611</v>
      </c>
      <c r="D45">
        <v>2</v>
      </c>
    </row>
    <row r="46" spans="1:4" x14ac:dyDescent="0.25">
      <c r="A46" t="s">
        <v>80</v>
      </c>
      <c r="B46" t="s">
        <v>1244</v>
      </c>
      <c r="C46" t="s">
        <v>489</v>
      </c>
      <c r="D46">
        <v>4</v>
      </c>
    </row>
    <row r="47" spans="1:4" x14ac:dyDescent="0.25">
      <c r="A47" t="s">
        <v>80</v>
      </c>
      <c r="B47" t="s">
        <v>1768</v>
      </c>
      <c r="C47" t="s">
        <v>3963</v>
      </c>
      <c r="D47">
        <v>2</v>
      </c>
    </row>
    <row r="48" spans="1:4" x14ac:dyDescent="0.25">
      <c r="A48" t="s">
        <v>80</v>
      </c>
      <c r="B48" t="s">
        <v>458</v>
      </c>
      <c r="C48" t="s">
        <v>2727</v>
      </c>
      <c r="D48">
        <v>4</v>
      </c>
    </row>
    <row r="49" spans="1:4" x14ac:dyDescent="0.25">
      <c r="A49" t="s">
        <v>80</v>
      </c>
      <c r="B49" t="s">
        <v>779</v>
      </c>
      <c r="C49" t="s">
        <v>3583</v>
      </c>
      <c r="D49">
        <v>6</v>
      </c>
    </row>
    <row r="50" spans="1:4" x14ac:dyDescent="0.25">
      <c r="A50" t="s">
        <v>80</v>
      </c>
      <c r="B50" t="s">
        <v>135</v>
      </c>
      <c r="C50" t="s">
        <v>4225</v>
      </c>
      <c r="D50">
        <v>9</v>
      </c>
    </row>
    <row r="51" spans="1:4" x14ac:dyDescent="0.25">
      <c r="A51" t="s">
        <v>80</v>
      </c>
      <c r="B51" t="s">
        <v>95</v>
      </c>
      <c r="C51" t="s">
        <v>2275</v>
      </c>
      <c r="D51">
        <v>7</v>
      </c>
    </row>
    <row r="52" spans="1:4" x14ac:dyDescent="0.25">
      <c r="A52" t="s">
        <v>80</v>
      </c>
      <c r="B52" t="s">
        <v>961</v>
      </c>
      <c r="C52" t="s">
        <v>2177</v>
      </c>
      <c r="D52">
        <v>4</v>
      </c>
    </row>
    <row r="53" spans="1:4" x14ac:dyDescent="0.25">
      <c r="A53" t="s">
        <v>80</v>
      </c>
      <c r="B53" t="s">
        <v>661</v>
      </c>
      <c r="C53" t="s">
        <v>2450</v>
      </c>
      <c r="D53">
        <v>5</v>
      </c>
    </row>
    <row r="54" spans="1:4" x14ac:dyDescent="0.25">
      <c r="A54" t="s">
        <v>80</v>
      </c>
      <c r="B54" t="s">
        <v>661</v>
      </c>
      <c r="C54" t="s">
        <v>3982</v>
      </c>
      <c r="D54">
        <v>6</v>
      </c>
    </row>
    <row r="55" spans="1:4" x14ac:dyDescent="0.25">
      <c r="A55" t="s">
        <v>80</v>
      </c>
      <c r="B55" t="s">
        <v>519</v>
      </c>
      <c r="C55" t="s">
        <v>2340</v>
      </c>
      <c r="D55">
        <v>4</v>
      </c>
    </row>
    <row r="56" spans="1:4" x14ac:dyDescent="0.25">
      <c r="A56" t="s">
        <v>80</v>
      </c>
      <c r="B56" t="s">
        <v>1503</v>
      </c>
      <c r="C56" t="s">
        <v>1166</v>
      </c>
      <c r="D56">
        <v>7</v>
      </c>
    </row>
    <row r="57" spans="1:4" x14ac:dyDescent="0.25">
      <c r="A57" t="s">
        <v>80</v>
      </c>
      <c r="B57" t="s">
        <v>142</v>
      </c>
      <c r="C57" t="s">
        <v>1167</v>
      </c>
      <c r="D57">
        <v>5</v>
      </c>
    </row>
    <row r="58" spans="1:4" x14ac:dyDescent="0.25">
      <c r="A58" t="s">
        <v>80</v>
      </c>
      <c r="B58" t="s">
        <v>544</v>
      </c>
      <c r="C58" t="s">
        <v>1168</v>
      </c>
      <c r="D58">
        <v>7</v>
      </c>
    </row>
    <row r="59" spans="1:4" x14ac:dyDescent="0.25">
      <c r="A59" t="s">
        <v>80</v>
      </c>
      <c r="B59" t="s">
        <v>667</v>
      </c>
      <c r="C59" t="s">
        <v>1468</v>
      </c>
      <c r="D59">
        <v>9</v>
      </c>
    </row>
    <row r="60" spans="1:4" x14ac:dyDescent="0.25">
      <c r="A60" t="s">
        <v>80</v>
      </c>
      <c r="B60" t="s">
        <v>579</v>
      </c>
      <c r="C60" t="s">
        <v>1611</v>
      </c>
      <c r="D60">
        <v>7</v>
      </c>
    </row>
    <row r="61" spans="1:4" x14ac:dyDescent="0.25">
      <c r="A61" t="s">
        <v>80</v>
      </c>
      <c r="B61" t="s">
        <v>1045</v>
      </c>
      <c r="C61" t="s">
        <v>3442</v>
      </c>
      <c r="D61">
        <v>10</v>
      </c>
    </row>
    <row r="62" spans="1:4" x14ac:dyDescent="0.25">
      <c r="A62" t="s">
        <v>80</v>
      </c>
      <c r="B62" t="s">
        <v>529</v>
      </c>
      <c r="C62" t="s">
        <v>3352</v>
      </c>
      <c r="D62">
        <v>13</v>
      </c>
    </row>
    <row r="63" spans="1:4" x14ac:dyDescent="0.25">
      <c r="A63" t="s">
        <v>80</v>
      </c>
      <c r="B63" t="s">
        <v>152</v>
      </c>
      <c r="C63" t="s">
        <v>2887</v>
      </c>
      <c r="D63">
        <v>14</v>
      </c>
    </row>
    <row r="64" spans="1:4" x14ac:dyDescent="0.25">
      <c r="A64" t="s">
        <v>80</v>
      </c>
      <c r="B64" t="s">
        <v>152</v>
      </c>
      <c r="C64" t="s">
        <v>2799</v>
      </c>
      <c r="D64">
        <v>15</v>
      </c>
    </row>
    <row r="65" spans="1:4" x14ac:dyDescent="0.25">
      <c r="A65" t="s">
        <v>80</v>
      </c>
      <c r="B65" t="s">
        <v>296</v>
      </c>
      <c r="C65" t="s">
        <v>2188</v>
      </c>
      <c r="D65">
        <v>12</v>
      </c>
    </row>
    <row r="66" spans="1:4" x14ac:dyDescent="0.25">
      <c r="A66" t="s">
        <v>80</v>
      </c>
      <c r="B66" t="s">
        <v>348</v>
      </c>
      <c r="C66" t="s">
        <v>4670</v>
      </c>
      <c r="D66">
        <v>10</v>
      </c>
    </row>
    <row r="67" spans="1:4" x14ac:dyDescent="0.25">
      <c r="A67" t="s">
        <v>123</v>
      </c>
      <c r="B67" t="s">
        <v>352</v>
      </c>
      <c r="C67" t="s">
        <v>3702</v>
      </c>
      <c r="D67">
        <v>8</v>
      </c>
    </row>
    <row r="68" spans="1:4" x14ac:dyDescent="0.25">
      <c r="A68" t="s">
        <v>123</v>
      </c>
      <c r="B68" t="s">
        <v>205</v>
      </c>
      <c r="C68" t="s">
        <v>2996</v>
      </c>
      <c r="D68">
        <v>10</v>
      </c>
    </row>
    <row r="69" spans="1:4" x14ac:dyDescent="0.25">
      <c r="A69" t="s">
        <v>123</v>
      </c>
      <c r="B69" t="s">
        <v>1210</v>
      </c>
      <c r="C69" t="s">
        <v>1848</v>
      </c>
      <c r="D69">
        <v>8</v>
      </c>
    </row>
    <row r="70" spans="1:4" x14ac:dyDescent="0.25">
      <c r="A70" t="s">
        <v>123</v>
      </c>
      <c r="B70" t="s">
        <v>1768</v>
      </c>
      <c r="C70" t="s">
        <v>4190</v>
      </c>
      <c r="D70">
        <v>11</v>
      </c>
    </row>
    <row r="71" spans="1:4" x14ac:dyDescent="0.25">
      <c r="A71" t="s">
        <v>123</v>
      </c>
      <c r="B71" t="s">
        <v>332</v>
      </c>
      <c r="C71" t="s">
        <v>2285</v>
      </c>
      <c r="D71">
        <v>9</v>
      </c>
    </row>
    <row r="72" spans="1:4" x14ac:dyDescent="0.25">
      <c r="A72" t="s">
        <v>123</v>
      </c>
      <c r="B72" t="s">
        <v>1284</v>
      </c>
      <c r="C72" t="s">
        <v>2195</v>
      </c>
      <c r="D72">
        <v>11</v>
      </c>
    </row>
    <row r="73" spans="1:4" x14ac:dyDescent="0.25">
      <c r="A73" t="s">
        <v>123</v>
      </c>
      <c r="B73" t="s">
        <v>1284</v>
      </c>
      <c r="C73" t="s">
        <v>992</v>
      </c>
      <c r="D73">
        <v>12</v>
      </c>
    </row>
    <row r="74" spans="1:4" x14ac:dyDescent="0.25">
      <c r="A74" t="s">
        <v>123</v>
      </c>
      <c r="B74" t="s">
        <v>465</v>
      </c>
      <c r="C74" t="s">
        <v>3736</v>
      </c>
      <c r="D74">
        <v>9</v>
      </c>
    </row>
    <row r="75" spans="1:4" x14ac:dyDescent="0.25">
      <c r="A75" t="s">
        <v>123</v>
      </c>
      <c r="B75" t="s">
        <v>1725</v>
      </c>
      <c r="C75" t="s">
        <v>677</v>
      </c>
      <c r="D75">
        <v>6</v>
      </c>
    </row>
    <row r="76" spans="1:4" x14ac:dyDescent="0.25">
      <c r="A76" t="s">
        <v>123</v>
      </c>
      <c r="B76" t="s">
        <v>188</v>
      </c>
      <c r="C76" t="s">
        <v>4279</v>
      </c>
      <c r="D76">
        <v>9</v>
      </c>
    </row>
    <row r="77" spans="1:4" x14ac:dyDescent="0.25">
      <c r="A77" t="s">
        <v>123</v>
      </c>
      <c r="B77" t="s">
        <v>339</v>
      </c>
      <c r="C77" t="s">
        <v>2198</v>
      </c>
      <c r="D77">
        <v>11</v>
      </c>
    </row>
    <row r="78" spans="1:4" x14ac:dyDescent="0.25">
      <c r="A78" t="s">
        <v>123</v>
      </c>
      <c r="B78" t="s">
        <v>1700</v>
      </c>
      <c r="C78" t="s">
        <v>4510</v>
      </c>
      <c r="D78">
        <v>13</v>
      </c>
    </row>
    <row r="79" spans="1:4" x14ac:dyDescent="0.25">
      <c r="A79" t="s">
        <v>123</v>
      </c>
      <c r="B79" t="s">
        <v>317</v>
      </c>
      <c r="C79" t="s">
        <v>4553</v>
      </c>
      <c r="D79">
        <v>12</v>
      </c>
    </row>
    <row r="80" spans="1:4" x14ac:dyDescent="0.25">
      <c r="A80" t="s">
        <v>123</v>
      </c>
      <c r="B80" t="s">
        <v>607</v>
      </c>
      <c r="C80" t="s">
        <v>4404</v>
      </c>
      <c r="D80">
        <v>9</v>
      </c>
    </row>
    <row r="81" spans="1:4" x14ac:dyDescent="0.25">
      <c r="A81" t="s">
        <v>123</v>
      </c>
      <c r="B81" t="s">
        <v>386</v>
      </c>
      <c r="C81" t="s">
        <v>4405</v>
      </c>
      <c r="D81">
        <v>8</v>
      </c>
    </row>
    <row r="82" spans="1:4" x14ac:dyDescent="0.25">
      <c r="A82" t="s">
        <v>123</v>
      </c>
      <c r="B82" t="s">
        <v>148</v>
      </c>
      <c r="C82" t="s">
        <v>4650</v>
      </c>
      <c r="D82">
        <v>10</v>
      </c>
    </row>
    <row r="83" spans="1:4" x14ac:dyDescent="0.25">
      <c r="A83" t="s">
        <v>123</v>
      </c>
      <c r="B83" t="s">
        <v>877</v>
      </c>
      <c r="C83" t="s">
        <v>4220</v>
      </c>
      <c r="D83">
        <v>7</v>
      </c>
    </row>
    <row r="84" spans="1:4" x14ac:dyDescent="0.25">
      <c r="A84" t="s">
        <v>123</v>
      </c>
      <c r="B84" t="s">
        <v>996</v>
      </c>
      <c r="C84" t="s">
        <v>1861</v>
      </c>
      <c r="D84">
        <v>8</v>
      </c>
    </row>
    <row r="85" spans="1:4" x14ac:dyDescent="0.25">
      <c r="A85" t="s">
        <v>123</v>
      </c>
      <c r="B85" t="s">
        <v>996</v>
      </c>
      <c r="C85" t="s">
        <v>1862</v>
      </c>
      <c r="D85">
        <v>9</v>
      </c>
    </row>
    <row r="86" spans="1:4" x14ac:dyDescent="0.25">
      <c r="A86" t="s">
        <v>123</v>
      </c>
      <c r="B86" t="s">
        <v>1222</v>
      </c>
      <c r="C86" t="s">
        <v>2473</v>
      </c>
      <c r="D86">
        <v>8</v>
      </c>
    </row>
    <row r="87" spans="1:4" x14ac:dyDescent="0.25">
      <c r="A87" t="s">
        <v>123</v>
      </c>
      <c r="B87" t="s">
        <v>880</v>
      </c>
      <c r="C87" t="s">
        <v>4589</v>
      </c>
      <c r="D87">
        <v>7</v>
      </c>
    </row>
    <row r="88" spans="1:4" x14ac:dyDescent="0.25">
      <c r="A88" t="s">
        <v>123</v>
      </c>
      <c r="B88" t="s">
        <v>681</v>
      </c>
      <c r="C88" t="s">
        <v>3080</v>
      </c>
      <c r="D88">
        <v>5</v>
      </c>
    </row>
    <row r="89" spans="1:4" x14ac:dyDescent="0.25">
      <c r="A89" t="s">
        <v>123</v>
      </c>
      <c r="B89" t="s">
        <v>681</v>
      </c>
      <c r="C89" t="s">
        <v>4465</v>
      </c>
      <c r="D89">
        <v>4</v>
      </c>
    </row>
    <row r="90" spans="1:4" x14ac:dyDescent="0.25">
      <c r="A90" t="s">
        <v>123</v>
      </c>
      <c r="B90" t="s">
        <v>348</v>
      </c>
      <c r="C90" t="s">
        <v>4466</v>
      </c>
      <c r="D90">
        <v>5</v>
      </c>
    </row>
    <row r="91" spans="1:4" x14ac:dyDescent="0.25">
      <c r="A91" t="s">
        <v>123</v>
      </c>
      <c r="B91" t="s">
        <v>348</v>
      </c>
      <c r="C91" t="s">
        <v>4467</v>
      </c>
      <c r="D91">
        <v>6</v>
      </c>
    </row>
    <row r="92" spans="1:4" x14ac:dyDescent="0.25">
      <c r="A92" t="s">
        <v>123</v>
      </c>
      <c r="B92" t="s">
        <v>902</v>
      </c>
      <c r="C92" t="s">
        <v>4468</v>
      </c>
      <c r="D92">
        <v>4</v>
      </c>
    </row>
    <row r="93" spans="1:4" x14ac:dyDescent="0.25">
      <c r="A93" t="s">
        <v>123</v>
      </c>
      <c r="B93" t="s">
        <v>770</v>
      </c>
      <c r="C93" t="s">
        <v>4671</v>
      </c>
      <c r="D93">
        <v>5</v>
      </c>
    </row>
    <row r="94" spans="1:4" x14ac:dyDescent="0.25">
      <c r="A94" t="s">
        <v>123</v>
      </c>
      <c r="B94" t="s">
        <v>770</v>
      </c>
      <c r="C94" t="s">
        <v>4672</v>
      </c>
      <c r="D94">
        <v>6</v>
      </c>
    </row>
    <row r="96" spans="1:4" x14ac:dyDescent="0.25">
      <c r="A96" s="2" t="s">
        <v>157</v>
      </c>
    </row>
    <row r="97" spans="1:4" x14ac:dyDescent="0.25">
      <c r="A97" t="s">
        <v>158</v>
      </c>
      <c r="D97">
        <f>AVERAGE(D2:D94)</f>
        <v>5.333333333333333</v>
      </c>
    </row>
    <row r="98" spans="1:4" x14ac:dyDescent="0.25">
      <c r="A98" t="s">
        <v>159</v>
      </c>
      <c r="D98">
        <f>MAX(D2:D94)</f>
        <v>15</v>
      </c>
    </row>
    <row r="99" spans="1:4" x14ac:dyDescent="0.25">
      <c r="A99" t="s">
        <v>160</v>
      </c>
      <c r="D99">
        <f>MIN(D2:D94)</f>
        <v>-5</v>
      </c>
    </row>
    <row r="100" spans="1:4" x14ac:dyDescent="0.25">
      <c r="A100" t="s">
        <v>161</v>
      </c>
      <c r="D100">
        <f>COUNTIF(D2:D94,"&gt;0")</f>
        <v>78</v>
      </c>
    </row>
    <row r="101" spans="1:4" x14ac:dyDescent="0.25">
      <c r="A101" t="s">
        <v>162</v>
      </c>
      <c r="D101">
        <f>COUNTIF(D2:D94,"=0")</f>
        <v>4</v>
      </c>
    </row>
    <row r="102" spans="1:4" x14ac:dyDescent="0.25">
      <c r="A102" t="s">
        <v>1428</v>
      </c>
      <c r="D102">
        <f>COUNTIF(D2:D94,"&lt;0")</f>
        <v>11</v>
      </c>
    </row>
    <row r="104" spans="1:4" x14ac:dyDescent="0.25">
      <c r="A104" s="2" t="s">
        <v>164</v>
      </c>
    </row>
    <row r="105" spans="1:4" x14ac:dyDescent="0.25">
      <c r="A105" t="s">
        <v>165</v>
      </c>
      <c r="D105">
        <f>AVERAGE(D2,D3,D4,D5,D6,D7,D8,D9,D10,D11,D12,D13,D14,D15,D16,D17,D18,D19,D20,D21)</f>
        <v>3.75</v>
      </c>
    </row>
    <row r="106" spans="1:4" x14ac:dyDescent="0.25">
      <c r="A106" t="s">
        <v>166</v>
      </c>
      <c r="D106">
        <f>AVERAGE(D22,D23,D24,D25,D26,D27,D28,D29,D30,D31,D32,D33,D34,D35,D36,D37,D38,D39,D40)</f>
        <v>1.2105263157894737</v>
      </c>
    </row>
    <row r="107" spans="1:4" x14ac:dyDescent="0.25">
      <c r="A107" t="s">
        <v>167</v>
      </c>
      <c r="D107">
        <f>AVERAGE(D41,D42,D43,D44,D45,D46,D47,D48,D49,D50,D51,D52,D53,D54,D55,D56,D57,D58,D59,D60,D61,D62,D63,D64,D65,D66)</f>
        <v>6.4615384615384617</v>
      </c>
    </row>
    <row r="108" spans="1:4" x14ac:dyDescent="0.25">
      <c r="A108" t="s">
        <v>168</v>
      </c>
      <c r="D108">
        <f>AVERAGE(D67,D68,D69,D70,D71,D72,D73,D74,D75,D76,D77,D78,D79,D80,D81,D82,D83,D84,D85,D86,D87,D88,D89,D90,D91,D92,D93,D94)</f>
        <v>8.2142857142857135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D12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1541</v>
      </c>
      <c r="C2" t="s">
        <v>171</v>
      </c>
      <c r="D2">
        <v>3</v>
      </c>
    </row>
    <row r="3" spans="1:4" x14ac:dyDescent="0.25">
      <c r="A3" t="s">
        <v>4</v>
      </c>
      <c r="B3" t="s">
        <v>427</v>
      </c>
      <c r="C3" t="s">
        <v>174</v>
      </c>
      <c r="D3">
        <v>1</v>
      </c>
    </row>
    <row r="4" spans="1:4" x14ac:dyDescent="0.25">
      <c r="A4" t="s">
        <v>4</v>
      </c>
      <c r="B4" t="s">
        <v>205</v>
      </c>
      <c r="C4" t="s">
        <v>1347</v>
      </c>
      <c r="D4">
        <v>3</v>
      </c>
    </row>
    <row r="5" spans="1:4" x14ac:dyDescent="0.25">
      <c r="A5" t="s">
        <v>4</v>
      </c>
      <c r="B5" t="s">
        <v>205</v>
      </c>
      <c r="C5" t="s">
        <v>176</v>
      </c>
      <c r="D5">
        <v>4</v>
      </c>
    </row>
    <row r="6" spans="1:4" x14ac:dyDescent="0.25">
      <c r="A6" t="s">
        <v>4</v>
      </c>
      <c r="B6" t="s">
        <v>797</v>
      </c>
      <c r="C6" t="s">
        <v>178</v>
      </c>
      <c r="D6">
        <v>2</v>
      </c>
    </row>
    <row r="7" spans="1:4" x14ac:dyDescent="0.25">
      <c r="A7" t="s">
        <v>4</v>
      </c>
      <c r="B7" t="s">
        <v>355</v>
      </c>
      <c r="C7" t="s">
        <v>2046</v>
      </c>
      <c r="D7">
        <v>0</v>
      </c>
    </row>
    <row r="8" spans="1:4" x14ac:dyDescent="0.25">
      <c r="A8" t="s">
        <v>4</v>
      </c>
      <c r="B8" t="s">
        <v>211</v>
      </c>
      <c r="C8" t="s">
        <v>1574</v>
      </c>
      <c r="D8">
        <v>2</v>
      </c>
    </row>
    <row r="9" spans="1:4" x14ac:dyDescent="0.25">
      <c r="A9" t="s">
        <v>4</v>
      </c>
      <c r="B9" t="s">
        <v>332</v>
      </c>
      <c r="C9" t="s">
        <v>697</v>
      </c>
      <c r="D9">
        <v>-1</v>
      </c>
    </row>
    <row r="10" spans="1:4" x14ac:dyDescent="0.25">
      <c r="A10" t="s">
        <v>4</v>
      </c>
      <c r="B10" t="s">
        <v>361</v>
      </c>
      <c r="C10" t="s">
        <v>1743</v>
      </c>
      <c r="D10">
        <v>-3</v>
      </c>
    </row>
    <row r="11" spans="1:4" x14ac:dyDescent="0.25">
      <c r="A11" t="s">
        <v>4</v>
      </c>
      <c r="B11" t="s">
        <v>568</v>
      </c>
      <c r="C11" t="s">
        <v>1699</v>
      </c>
      <c r="D11">
        <v>-4</v>
      </c>
    </row>
    <row r="12" spans="1:4" x14ac:dyDescent="0.25">
      <c r="A12" t="s">
        <v>4</v>
      </c>
      <c r="B12" t="s">
        <v>572</v>
      </c>
      <c r="C12" t="s">
        <v>3697</v>
      </c>
      <c r="D12">
        <v>-5</v>
      </c>
    </row>
    <row r="13" spans="1:4" x14ac:dyDescent="0.25">
      <c r="A13" t="s">
        <v>4</v>
      </c>
      <c r="B13" t="s">
        <v>836</v>
      </c>
      <c r="C13" t="s">
        <v>4418</v>
      </c>
      <c r="D13">
        <v>-8</v>
      </c>
    </row>
    <row r="14" spans="1:4" x14ac:dyDescent="0.25">
      <c r="A14" t="s">
        <v>4</v>
      </c>
      <c r="B14" t="s">
        <v>184</v>
      </c>
      <c r="C14" t="s">
        <v>2607</v>
      </c>
      <c r="D14">
        <v>-6</v>
      </c>
    </row>
    <row r="15" spans="1:4" x14ac:dyDescent="0.25">
      <c r="A15" t="s">
        <v>4</v>
      </c>
      <c r="B15" t="s">
        <v>184</v>
      </c>
      <c r="C15" t="s">
        <v>2813</v>
      </c>
      <c r="D15">
        <v>-5</v>
      </c>
    </row>
    <row r="16" spans="1:4" x14ac:dyDescent="0.25">
      <c r="A16" t="s">
        <v>4</v>
      </c>
      <c r="B16" t="s">
        <v>62</v>
      </c>
      <c r="C16" t="s">
        <v>2397</v>
      </c>
      <c r="D16">
        <v>-6</v>
      </c>
    </row>
    <row r="17" spans="1:4" x14ac:dyDescent="0.25">
      <c r="A17" t="s">
        <v>4</v>
      </c>
      <c r="B17" t="s">
        <v>62</v>
      </c>
      <c r="C17" t="s">
        <v>3553</v>
      </c>
      <c r="D17">
        <v>-7</v>
      </c>
    </row>
    <row r="18" spans="1:4" x14ac:dyDescent="0.25">
      <c r="A18" t="s">
        <v>4</v>
      </c>
      <c r="B18" t="s">
        <v>221</v>
      </c>
      <c r="C18" t="s">
        <v>578</v>
      </c>
      <c r="D18">
        <v>-5</v>
      </c>
    </row>
    <row r="19" spans="1:4" x14ac:dyDescent="0.25">
      <c r="A19" t="s">
        <v>4</v>
      </c>
      <c r="B19" t="s">
        <v>1855</v>
      </c>
      <c r="C19" t="s">
        <v>3613</v>
      </c>
      <c r="D19">
        <v>-7</v>
      </c>
    </row>
    <row r="20" spans="1:4" x14ac:dyDescent="0.25">
      <c r="A20" t="s">
        <v>4</v>
      </c>
      <c r="B20" t="s">
        <v>807</v>
      </c>
      <c r="C20" t="s">
        <v>1506</v>
      </c>
      <c r="D20">
        <v>-5</v>
      </c>
    </row>
    <row r="21" spans="1:4" x14ac:dyDescent="0.25">
      <c r="A21" t="s">
        <v>4</v>
      </c>
      <c r="B21" t="s">
        <v>746</v>
      </c>
      <c r="C21" t="s">
        <v>2700</v>
      </c>
      <c r="D21">
        <v>-6</v>
      </c>
    </row>
    <row r="22" spans="1:4" x14ac:dyDescent="0.25">
      <c r="A22" t="s">
        <v>4</v>
      </c>
      <c r="B22" t="s">
        <v>746</v>
      </c>
      <c r="C22" t="s">
        <v>2432</v>
      </c>
      <c r="D22">
        <v>-7</v>
      </c>
    </row>
    <row r="23" spans="1:4" x14ac:dyDescent="0.25">
      <c r="A23" t="s">
        <v>4</v>
      </c>
      <c r="B23" t="s">
        <v>746</v>
      </c>
      <c r="C23" t="s">
        <v>3617</v>
      </c>
      <c r="D23">
        <v>-8</v>
      </c>
    </row>
    <row r="24" spans="1:4" x14ac:dyDescent="0.25">
      <c r="A24" t="s">
        <v>4</v>
      </c>
      <c r="B24" t="s">
        <v>2562</v>
      </c>
      <c r="C24" t="s">
        <v>2301</v>
      </c>
      <c r="D24">
        <v>-5</v>
      </c>
    </row>
    <row r="25" spans="1:4" x14ac:dyDescent="0.25">
      <c r="A25" t="s">
        <v>4</v>
      </c>
      <c r="B25" t="s">
        <v>288</v>
      </c>
      <c r="C25" t="s">
        <v>2328</v>
      </c>
      <c r="D25">
        <v>-2</v>
      </c>
    </row>
    <row r="26" spans="1:4" x14ac:dyDescent="0.25">
      <c r="A26" t="s">
        <v>4</v>
      </c>
      <c r="B26" t="s">
        <v>288</v>
      </c>
      <c r="C26" t="s">
        <v>589</v>
      </c>
      <c r="D26">
        <v>-1</v>
      </c>
    </row>
    <row r="27" spans="1:4" x14ac:dyDescent="0.25">
      <c r="A27" t="s">
        <v>4</v>
      </c>
      <c r="B27" t="s">
        <v>1043</v>
      </c>
      <c r="C27" t="s">
        <v>1511</v>
      </c>
      <c r="D27">
        <v>-3</v>
      </c>
    </row>
    <row r="28" spans="1:4" x14ac:dyDescent="0.25">
      <c r="A28" t="s">
        <v>4</v>
      </c>
      <c r="B28" t="s">
        <v>1043</v>
      </c>
      <c r="C28" t="s">
        <v>52</v>
      </c>
      <c r="D28">
        <v>-4</v>
      </c>
    </row>
    <row r="29" spans="1:4" x14ac:dyDescent="0.25">
      <c r="A29" t="s">
        <v>4</v>
      </c>
      <c r="B29" t="s">
        <v>1202</v>
      </c>
      <c r="C29" t="s">
        <v>53</v>
      </c>
      <c r="D29">
        <v>-3</v>
      </c>
    </row>
    <row r="30" spans="1:4" x14ac:dyDescent="0.25">
      <c r="A30" t="s">
        <v>4</v>
      </c>
      <c r="B30" t="s">
        <v>1202</v>
      </c>
      <c r="C30" t="s">
        <v>592</v>
      </c>
      <c r="D30">
        <v>-2</v>
      </c>
    </row>
    <row r="31" spans="1:4" x14ac:dyDescent="0.25">
      <c r="A31" t="s">
        <v>4</v>
      </c>
      <c r="B31" t="s">
        <v>292</v>
      </c>
      <c r="C31" t="s">
        <v>593</v>
      </c>
      <c r="D31">
        <v>-1</v>
      </c>
    </row>
    <row r="32" spans="1:4" x14ac:dyDescent="0.25">
      <c r="A32" t="s">
        <v>4</v>
      </c>
      <c r="B32" t="s">
        <v>292</v>
      </c>
      <c r="C32" t="s">
        <v>2331</v>
      </c>
      <c r="D32">
        <v>0</v>
      </c>
    </row>
    <row r="33" spans="1:4" x14ac:dyDescent="0.25">
      <c r="A33" t="s">
        <v>4</v>
      </c>
      <c r="B33" t="s">
        <v>529</v>
      </c>
      <c r="C33" t="s">
        <v>597</v>
      </c>
      <c r="D33">
        <v>-2</v>
      </c>
    </row>
    <row r="34" spans="1:4" x14ac:dyDescent="0.25">
      <c r="A34" t="s">
        <v>4</v>
      </c>
      <c r="B34" t="s">
        <v>120</v>
      </c>
      <c r="C34" t="s">
        <v>1715</v>
      </c>
      <c r="D34">
        <v>-3</v>
      </c>
    </row>
    <row r="35" spans="1:4" x14ac:dyDescent="0.25">
      <c r="A35" t="s">
        <v>4</v>
      </c>
      <c r="B35" t="s">
        <v>120</v>
      </c>
      <c r="C35" t="s">
        <v>599</v>
      </c>
      <c r="D35">
        <v>-4</v>
      </c>
    </row>
    <row r="36" spans="1:4" x14ac:dyDescent="0.25">
      <c r="A36" t="s">
        <v>4</v>
      </c>
      <c r="B36" t="s">
        <v>481</v>
      </c>
      <c r="C36" t="s">
        <v>463</v>
      </c>
      <c r="D36">
        <v>-2</v>
      </c>
    </row>
    <row r="37" spans="1:4" x14ac:dyDescent="0.25">
      <c r="A37" t="s">
        <v>4</v>
      </c>
      <c r="B37" t="s">
        <v>76</v>
      </c>
      <c r="C37" t="s">
        <v>1128</v>
      </c>
      <c r="D37">
        <v>1</v>
      </c>
    </row>
    <row r="38" spans="1:4" x14ac:dyDescent="0.25">
      <c r="A38" t="s">
        <v>4</v>
      </c>
      <c r="B38" t="s">
        <v>1162</v>
      </c>
      <c r="C38" t="s">
        <v>345</v>
      </c>
      <c r="D38">
        <v>0</v>
      </c>
    </row>
    <row r="39" spans="1:4" x14ac:dyDescent="0.25">
      <c r="A39" t="s">
        <v>40</v>
      </c>
      <c r="B39" t="s">
        <v>2421</v>
      </c>
      <c r="C39" t="s">
        <v>347</v>
      </c>
      <c r="D39">
        <v>2</v>
      </c>
    </row>
    <row r="40" spans="1:4" x14ac:dyDescent="0.25">
      <c r="A40" t="s">
        <v>40</v>
      </c>
      <c r="B40" t="s">
        <v>1027</v>
      </c>
      <c r="C40" t="s">
        <v>349</v>
      </c>
      <c r="D40">
        <v>3</v>
      </c>
    </row>
    <row r="41" spans="1:4" x14ac:dyDescent="0.25">
      <c r="A41" t="s">
        <v>40</v>
      </c>
      <c r="B41" t="s">
        <v>1027</v>
      </c>
      <c r="C41" t="s">
        <v>727</v>
      </c>
      <c r="D41">
        <v>4</v>
      </c>
    </row>
    <row r="42" spans="1:4" x14ac:dyDescent="0.25">
      <c r="A42" t="s">
        <v>40</v>
      </c>
      <c r="B42" t="s">
        <v>208</v>
      </c>
      <c r="C42" t="s">
        <v>940</v>
      </c>
      <c r="D42">
        <v>6</v>
      </c>
    </row>
    <row r="43" spans="1:4" x14ac:dyDescent="0.25">
      <c r="A43" t="s">
        <v>40</v>
      </c>
      <c r="B43" t="s">
        <v>359</v>
      </c>
      <c r="C43" t="s">
        <v>1667</v>
      </c>
      <c r="D43">
        <v>3</v>
      </c>
    </row>
    <row r="44" spans="1:4" x14ac:dyDescent="0.25">
      <c r="A44" t="s">
        <v>40</v>
      </c>
      <c r="B44" t="s">
        <v>460</v>
      </c>
      <c r="C44" t="s">
        <v>2304</v>
      </c>
      <c r="D44">
        <v>0</v>
      </c>
    </row>
    <row r="45" spans="1:4" x14ac:dyDescent="0.25">
      <c r="A45" t="s">
        <v>40</v>
      </c>
      <c r="B45" t="s">
        <v>56</v>
      </c>
      <c r="C45" t="s">
        <v>1830</v>
      </c>
      <c r="D45">
        <v>-1</v>
      </c>
    </row>
    <row r="46" spans="1:4" x14ac:dyDescent="0.25">
      <c r="A46" t="s">
        <v>40</v>
      </c>
      <c r="B46" t="s">
        <v>56</v>
      </c>
      <c r="C46" t="s">
        <v>4064</v>
      </c>
      <c r="D46">
        <v>-2</v>
      </c>
    </row>
    <row r="47" spans="1:4" x14ac:dyDescent="0.25">
      <c r="A47" t="s">
        <v>40</v>
      </c>
      <c r="B47" t="s">
        <v>2158</v>
      </c>
      <c r="C47" t="s">
        <v>1831</v>
      </c>
      <c r="D47">
        <v>-4</v>
      </c>
    </row>
    <row r="48" spans="1:4" x14ac:dyDescent="0.25">
      <c r="A48" t="s">
        <v>40</v>
      </c>
      <c r="B48" t="s">
        <v>19</v>
      </c>
      <c r="C48" t="s">
        <v>2133</v>
      </c>
      <c r="D48">
        <v>-5</v>
      </c>
    </row>
    <row r="49" spans="1:4" x14ac:dyDescent="0.25">
      <c r="A49" t="s">
        <v>40</v>
      </c>
      <c r="B49" t="s">
        <v>1170</v>
      </c>
      <c r="C49" t="s">
        <v>3536</v>
      </c>
      <c r="D49">
        <v>-7</v>
      </c>
    </row>
    <row r="50" spans="1:4" x14ac:dyDescent="0.25">
      <c r="A50" t="s">
        <v>40</v>
      </c>
      <c r="B50" t="s">
        <v>943</v>
      </c>
      <c r="C50" t="s">
        <v>3591</v>
      </c>
      <c r="D50">
        <v>-10</v>
      </c>
    </row>
    <row r="51" spans="1:4" x14ac:dyDescent="0.25">
      <c r="A51" t="s">
        <v>40</v>
      </c>
      <c r="B51" t="s">
        <v>1795</v>
      </c>
      <c r="C51" t="s">
        <v>3974</v>
      </c>
      <c r="D51">
        <v>-7</v>
      </c>
    </row>
    <row r="52" spans="1:4" x14ac:dyDescent="0.25">
      <c r="A52" t="s">
        <v>40</v>
      </c>
      <c r="B52" t="s">
        <v>984</v>
      </c>
      <c r="C52" t="s">
        <v>4371</v>
      </c>
      <c r="D52">
        <v>-6</v>
      </c>
    </row>
    <row r="53" spans="1:4" x14ac:dyDescent="0.25">
      <c r="A53" t="s">
        <v>40</v>
      </c>
      <c r="B53" t="s">
        <v>984</v>
      </c>
      <c r="C53" t="s">
        <v>96</v>
      </c>
      <c r="D53">
        <v>-5</v>
      </c>
    </row>
    <row r="54" spans="1:4" x14ac:dyDescent="0.25">
      <c r="A54" t="s">
        <v>40</v>
      </c>
      <c r="B54" t="s">
        <v>1739</v>
      </c>
      <c r="C54" t="s">
        <v>622</v>
      </c>
      <c r="D54">
        <v>-6</v>
      </c>
    </row>
    <row r="55" spans="1:4" x14ac:dyDescent="0.25">
      <c r="A55" t="s">
        <v>40</v>
      </c>
      <c r="B55" t="s">
        <v>894</v>
      </c>
      <c r="C55" t="s">
        <v>624</v>
      </c>
      <c r="D55">
        <v>-4</v>
      </c>
    </row>
    <row r="56" spans="1:4" x14ac:dyDescent="0.25">
      <c r="A56" t="s">
        <v>40</v>
      </c>
      <c r="B56" t="s">
        <v>1422</v>
      </c>
      <c r="C56" t="s">
        <v>102</v>
      </c>
      <c r="D56">
        <v>-7</v>
      </c>
    </row>
    <row r="57" spans="1:4" x14ac:dyDescent="0.25">
      <c r="A57" t="s">
        <v>40</v>
      </c>
      <c r="B57" t="s">
        <v>896</v>
      </c>
      <c r="C57" t="s">
        <v>627</v>
      </c>
      <c r="D57">
        <v>-5</v>
      </c>
    </row>
    <row r="58" spans="1:4" x14ac:dyDescent="0.25">
      <c r="A58" t="s">
        <v>40</v>
      </c>
      <c r="B58" t="s">
        <v>392</v>
      </c>
      <c r="C58" t="s">
        <v>377</v>
      </c>
      <c r="D58">
        <v>-2</v>
      </c>
    </row>
    <row r="59" spans="1:4" x14ac:dyDescent="0.25">
      <c r="A59" t="s">
        <v>40</v>
      </c>
      <c r="B59" t="s">
        <v>556</v>
      </c>
      <c r="C59" t="s">
        <v>2446</v>
      </c>
      <c r="D59">
        <v>0</v>
      </c>
    </row>
    <row r="60" spans="1:4" x14ac:dyDescent="0.25">
      <c r="A60" t="s">
        <v>40</v>
      </c>
      <c r="B60" t="s">
        <v>1135</v>
      </c>
      <c r="C60" t="s">
        <v>1730</v>
      </c>
      <c r="D60">
        <v>-1</v>
      </c>
    </row>
    <row r="61" spans="1:4" x14ac:dyDescent="0.25">
      <c r="A61" t="s">
        <v>80</v>
      </c>
      <c r="B61" t="s">
        <v>2421</v>
      </c>
      <c r="C61" t="s">
        <v>1232</v>
      </c>
      <c r="D61">
        <v>-4</v>
      </c>
    </row>
    <row r="62" spans="1:4" x14ac:dyDescent="0.25">
      <c r="A62" t="s">
        <v>80</v>
      </c>
      <c r="B62" t="s">
        <v>716</v>
      </c>
      <c r="C62" t="s">
        <v>751</v>
      </c>
      <c r="D62">
        <v>-1</v>
      </c>
    </row>
    <row r="63" spans="1:4" x14ac:dyDescent="0.25">
      <c r="A63" t="s">
        <v>80</v>
      </c>
      <c r="B63" t="s">
        <v>1765</v>
      </c>
      <c r="C63" t="s">
        <v>270</v>
      </c>
      <c r="D63">
        <v>-3</v>
      </c>
    </row>
    <row r="64" spans="1:4" x14ac:dyDescent="0.25">
      <c r="A64" t="s">
        <v>80</v>
      </c>
      <c r="B64" t="s">
        <v>1666</v>
      </c>
      <c r="C64" t="s">
        <v>272</v>
      </c>
      <c r="D64">
        <v>-6</v>
      </c>
    </row>
    <row r="65" spans="1:4" x14ac:dyDescent="0.25">
      <c r="A65" t="s">
        <v>80</v>
      </c>
      <c r="B65" t="s">
        <v>11</v>
      </c>
      <c r="C65" t="s">
        <v>121</v>
      </c>
      <c r="D65">
        <v>-4</v>
      </c>
    </row>
    <row r="66" spans="1:4" x14ac:dyDescent="0.25">
      <c r="A66" t="s">
        <v>80</v>
      </c>
      <c r="B66" t="s">
        <v>588</v>
      </c>
      <c r="C66" t="s">
        <v>1734</v>
      </c>
      <c r="D66">
        <v>-5</v>
      </c>
    </row>
    <row r="67" spans="1:4" x14ac:dyDescent="0.25">
      <c r="A67" t="s">
        <v>80</v>
      </c>
      <c r="B67" t="s">
        <v>588</v>
      </c>
      <c r="C67" t="s">
        <v>122</v>
      </c>
      <c r="D67">
        <v>-6</v>
      </c>
    </row>
    <row r="68" spans="1:4" x14ac:dyDescent="0.25">
      <c r="A68" t="s">
        <v>80</v>
      </c>
      <c r="B68" t="s">
        <v>1246</v>
      </c>
      <c r="C68" t="s">
        <v>3538</v>
      </c>
      <c r="D68">
        <v>-4</v>
      </c>
    </row>
    <row r="69" spans="1:4" x14ac:dyDescent="0.25">
      <c r="A69" t="s">
        <v>80</v>
      </c>
      <c r="B69" t="s">
        <v>1246</v>
      </c>
      <c r="C69" t="s">
        <v>276</v>
      </c>
      <c r="D69">
        <v>-3</v>
      </c>
    </row>
    <row r="70" spans="1:4" x14ac:dyDescent="0.25">
      <c r="A70" t="s">
        <v>80</v>
      </c>
      <c r="B70" t="s">
        <v>759</v>
      </c>
      <c r="C70" t="s">
        <v>2497</v>
      </c>
      <c r="D70">
        <v>-1</v>
      </c>
    </row>
    <row r="71" spans="1:4" x14ac:dyDescent="0.25">
      <c r="A71" t="s">
        <v>80</v>
      </c>
      <c r="B71" t="s">
        <v>254</v>
      </c>
      <c r="C71" t="s">
        <v>758</v>
      </c>
      <c r="D71">
        <v>-2</v>
      </c>
    </row>
    <row r="72" spans="1:4" x14ac:dyDescent="0.25">
      <c r="A72" t="s">
        <v>80</v>
      </c>
      <c r="B72" t="s">
        <v>405</v>
      </c>
      <c r="C72" t="s">
        <v>507</v>
      </c>
      <c r="D72">
        <v>0</v>
      </c>
    </row>
    <row r="73" spans="1:4" x14ac:dyDescent="0.25">
      <c r="A73" t="s">
        <v>80</v>
      </c>
      <c r="B73" t="s">
        <v>499</v>
      </c>
      <c r="C73" t="s">
        <v>2341</v>
      </c>
      <c r="D73">
        <v>-2</v>
      </c>
    </row>
    <row r="74" spans="1:4" x14ac:dyDescent="0.25">
      <c r="A74" t="s">
        <v>80</v>
      </c>
      <c r="B74" t="s">
        <v>1288</v>
      </c>
      <c r="C74" t="s">
        <v>2342</v>
      </c>
      <c r="D74">
        <v>0</v>
      </c>
    </row>
    <row r="75" spans="1:4" x14ac:dyDescent="0.25">
      <c r="A75" t="s">
        <v>80</v>
      </c>
      <c r="B75" t="s">
        <v>1288</v>
      </c>
      <c r="C75" t="s">
        <v>4284</v>
      </c>
      <c r="D75">
        <v>1</v>
      </c>
    </row>
    <row r="76" spans="1:4" x14ac:dyDescent="0.25">
      <c r="A76" t="s">
        <v>80</v>
      </c>
      <c r="B76" t="s">
        <v>2311</v>
      </c>
      <c r="C76" t="s">
        <v>2314</v>
      </c>
      <c r="D76">
        <v>-2</v>
      </c>
    </row>
    <row r="77" spans="1:4" x14ac:dyDescent="0.25">
      <c r="A77" t="s">
        <v>80</v>
      </c>
      <c r="B77" t="s">
        <v>805</v>
      </c>
      <c r="C77" t="s">
        <v>513</v>
      </c>
      <c r="D77">
        <v>-1</v>
      </c>
    </row>
    <row r="78" spans="1:4" x14ac:dyDescent="0.25">
      <c r="A78" t="s">
        <v>80</v>
      </c>
      <c r="B78" t="s">
        <v>805</v>
      </c>
      <c r="C78" t="s">
        <v>653</v>
      </c>
      <c r="D78">
        <v>0</v>
      </c>
    </row>
    <row r="79" spans="1:4" x14ac:dyDescent="0.25">
      <c r="A79" t="s">
        <v>80</v>
      </c>
      <c r="B79" t="s">
        <v>1698</v>
      </c>
      <c r="C79" t="s">
        <v>656</v>
      </c>
      <c r="D79">
        <v>2</v>
      </c>
    </row>
    <row r="80" spans="1:4" x14ac:dyDescent="0.25">
      <c r="A80" t="s">
        <v>80</v>
      </c>
      <c r="B80" t="s">
        <v>1739</v>
      </c>
      <c r="C80" t="s">
        <v>657</v>
      </c>
      <c r="D80">
        <v>0</v>
      </c>
    </row>
    <row r="81" spans="1:4" x14ac:dyDescent="0.25">
      <c r="A81" t="s">
        <v>80</v>
      </c>
      <c r="B81" t="s">
        <v>228</v>
      </c>
      <c r="C81" t="s">
        <v>658</v>
      </c>
      <c r="D81">
        <v>-1</v>
      </c>
    </row>
    <row r="82" spans="1:4" x14ac:dyDescent="0.25">
      <c r="A82" t="s">
        <v>80</v>
      </c>
      <c r="B82" t="s">
        <v>228</v>
      </c>
      <c r="C82" t="s">
        <v>2242</v>
      </c>
      <c r="D82">
        <v>-2</v>
      </c>
    </row>
    <row r="83" spans="1:4" x14ac:dyDescent="0.25">
      <c r="A83" t="s">
        <v>80</v>
      </c>
      <c r="B83" t="s">
        <v>2317</v>
      </c>
      <c r="C83" t="s">
        <v>3577</v>
      </c>
      <c r="D83">
        <v>-1</v>
      </c>
    </row>
    <row r="84" spans="1:4" x14ac:dyDescent="0.25">
      <c r="A84" t="s">
        <v>80</v>
      </c>
      <c r="B84" t="s">
        <v>2317</v>
      </c>
      <c r="C84" t="s">
        <v>2343</v>
      </c>
      <c r="D84">
        <v>-2</v>
      </c>
    </row>
    <row r="85" spans="1:4" x14ac:dyDescent="0.25">
      <c r="A85" t="s">
        <v>80</v>
      </c>
      <c r="B85" t="s">
        <v>2317</v>
      </c>
      <c r="C85" t="s">
        <v>2344</v>
      </c>
      <c r="D85">
        <v>-3</v>
      </c>
    </row>
    <row r="86" spans="1:4" x14ac:dyDescent="0.25">
      <c r="A86" t="s">
        <v>80</v>
      </c>
      <c r="B86" t="s">
        <v>1356</v>
      </c>
      <c r="C86" t="s">
        <v>2244</v>
      </c>
      <c r="D86">
        <v>-1</v>
      </c>
    </row>
    <row r="87" spans="1:4" x14ac:dyDescent="0.25">
      <c r="A87" t="s">
        <v>80</v>
      </c>
      <c r="B87" t="s">
        <v>1050</v>
      </c>
      <c r="C87" t="s">
        <v>3567</v>
      </c>
      <c r="D87">
        <v>-4</v>
      </c>
    </row>
    <row r="88" spans="1:4" x14ac:dyDescent="0.25">
      <c r="A88" t="s">
        <v>80</v>
      </c>
      <c r="B88" t="s">
        <v>1206</v>
      </c>
      <c r="C88" t="s">
        <v>3036</v>
      </c>
      <c r="D88">
        <v>-2</v>
      </c>
    </row>
    <row r="89" spans="1:4" x14ac:dyDescent="0.25">
      <c r="A89" t="s">
        <v>80</v>
      </c>
      <c r="B89" t="s">
        <v>1261</v>
      </c>
      <c r="C89" t="s">
        <v>2148</v>
      </c>
      <c r="D89">
        <v>-4</v>
      </c>
    </row>
    <row r="90" spans="1:4" x14ac:dyDescent="0.25">
      <c r="A90" t="s">
        <v>80</v>
      </c>
      <c r="B90" t="s">
        <v>817</v>
      </c>
      <c r="C90" t="s">
        <v>860</v>
      </c>
      <c r="D90">
        <v>-3</v>
      </c>
    </row>
    <row r="91" spans="1:4" x14ac:dyDescent="0.25">
      <c r="A91" t="s">
        <v>80</v>
      </c>
      <c r="B91" t="s">
        <v>817</v>
      </c>
      <c r="C91" t="s">
        <v>2149</v>
      </c>
      <c r="D91">
        <v>-2</v>
      </c>
    </row>
    <row r="92" spans="1:4" x14ac:dyDescent="0.25">
      <c r="A92" t="s">
        <v>80</v>
      </c>
      <c r="B92" t="s">
        <v>817</v>
      </c>
      <c r="C92" t="s">
        <v>535</v>
      </c>
      <c r="D92">
        <v>-1</v>
      </c>
    </row>
    <row r="93" spans="1:4" x14ac:dyDescent="0.25">
      <c r="A93" t="s">
        <v>123</v>
      </c>
      <c r="B93" t="s">
        <v>428</v>
      </c>
      <c r="C93" t="s">
        <v>3073</v>
      </c>
      <c r="D93">
        <v>1</v>
      </c>
    </row>
    <row r="94" spans="1:4" x14ac:dyDescent="0.25">
      <c r="A94" t="s">
        <v>123</v>
      </c>
      <c r="B94" t="s">
        <v>329</v>
      </c>
      <c r="C94" t="s">
        <v>1854</v>
      </c>
      <c r="D94">
        <v>4</v>
      </c>
    </row>
    <row r="95" spans="1:4" x14ac:dyDescent="0.25">
      <c r="A95" t="s">
        <v>123</v>
      </c>
      <c r="B95" t="s">
        <v>172</v>
      </c>
      <c r="C95" t="s">
        <v>4673</v>
      </c>
      <c r="D95">
        <v>5</v>
      </c>
    </row>
    <row r="96" spans="1:4" x14ac:dyDescent="0.25">
      <c r="A96" t="s">
        <v>123</v>
      </c>
      <c r="B96" t="s">
        <v>172</v>
      </c>
      <c r="C96" t="s">
        <v>4130</v>
      </c>
      <c r="D96">
        <v>6</v>
      </c>
    </row>
    <row r="97" spans="1:4" x14ac:dyDescent="0.25">
      <c r="A97" t="s">
        <v>123</v>
      </c>
      <c r="B97" t="s">
        <v>1771</v>
      </c>
      <c r="C97" t="s">
        <v>2509</v>
      </c>
      <c r="D97">
        <v>3</v>
      </c>
    </row>
    <row r="98" spans="1:4" x14ac:dyDescent="0.25">
      <c r="A98" t="s">
        <v>123</v>
      </c>
      <c r="B98" t="s">
        <v>54</v>
      </c>
      <c r="C98" t="s">
        <v>543</v>
      </c>
      <c r="D98">
        <v>1</v>
      </c>
    </row>
    <row r="99" spans="1:4" x14ac:dyDescent="0.25">
      <c r="A99" t="s">
        <v>123</v>
      </c>
      <c r="B99" t="s">
        <v>1033</v>
      </c>
      <c r="C99" t="s">
        <v>545</v>
      </c>
      <c r="D99">
        <v>-2</v>
      </c>
    </row>
    <row r="100" spans="1:4" x14ac:dyDescent="0.25">
      <c r="A100" t="s">
        <v>123</v>
      </c>
      <c r="B100" t="s">
        <v>366</v>
      </c>
      <c r="C100" t="s">
        <v>548</v>
      </c>
      <c r="D100">
        <v>-4</v>
      </c>
    </row>
    <row r="101" spans="1:4" x14ac:dyDescent="0.25">
      <c r="A101" t="s">
        <v>123</v>
      </c>
      <c r="B101" t="s">
        <v>1724</v>
      </c>
      <c r="C101" t="s">
        <v>549</v>
      </c>
      <c r="D101">
        <v>-2</v>
      </c>
    </row>
    <row r="102" spans="1:4" x14ac:dyDescent="0.25">
      <c r="A102" t="s">
        <v>123</v>
      </c>
      <c r="B102" t="s">
        <v>941</v>
      </c>
      <c r="C102" t="s">
        <v>3969</v>
      </c>
      <c r="D102">
        <v>1</v>
      </c>
    </row>
    <row r="103" spans="1:4" x14ac:dyDescent="0.25">
      <c r="A103" t="s">
        <v>123</v>
      </c>
      <c r="B103" t="s">
        <v>1695</v>
      </c>
      <c r="C103" t="s">
        <v>2262</v>
      </c>
      <c r="D103">
        <v>-2</v>
      </c>
    </row>
    <row r="104" spans="1:4" x14ac:dyDescent="0.25">
      <c r="A104" t="s">
        <v>123</v>
      </c>
      <c r="B104" t="s">
        <v>984</v>
      </c>
      <c r="C104" t="s">
        <v>3656</v>
      </c>
      <c r="D104">
        <v>-5</v>
      </c>
    </row>
    <row r="105" spans="1:4" x14ac:dyDescent="0.25">
      <c r="A105" t="s">
        <v>123</v>
      </c>
      <c r="B105" t="s">
        <v>118</v>
      </c>
      <c r="C105" t="s">
        <v>2632</v>
      </c>
      <c r="D105">
        <v>-7</v>
      </c>
    </row>
    <row r="106" spans="1:4" x14ac:dyDescent="0.25">
      <c r="A106" t="s">
        <v>123</v>
      </c>
      <c r="B106" t="s">
        <v>1356</v>
      </c>
      <c r="C106" t="s">
        <v>2634</v>
      </c>
      <c r="D106">
        <v>-9</v>
      </c>
    </row>
    <row r="107" spans="1:4" x14ac:dyDescent="0.25">
      <c r="A107" t="s">
        <v>123</v>
      </c>
      <c r="B107" t="s">
        <v>2608</v>
      </c>
      <c r="C107" t="s">
        <v>4674</v>
      </c>
      <c r="D107">
        <v>-7</v>
      </c>
    </row>
    <row r="108" spans="1:4" x14ac:dyDescent="0.25">
      <c r="A108" t="s">
        <v>123</v>
      </c>
      <c r="B108" t="s">
        <v>927</v>
      </c>
      <c r="C108" t="s">
        <v>4675</v>
      </c>
      <c r="D108">
        <v>-8</v>
      </c>
    </row>
    <row r="109" spans="1:4" x14ac:dyDescent="0.25">
      <c r="A109" t="s">
        <v>123</v>
      </c>
      <c r="B109" t="s">
        <v>927</v>
      </c>
      <c r="C109" t="s">
        <v>4676</v>
      </c>
      <c r="D109">
        <v>-9</v>
      </c>
    </row>
    <row r="110" spans="1:4" x14ac:dyDescent="0.25">
      <c r="A110" t="s">
        <v>123</v>
      </c>
      <c r="B110" t="s">
        <v>582</v>
      </c>
      <c r="C110" t="s">
        <v>4677</v>
      </c>
      <c r="D110">
        <v>-7</v>
      </c>
    </row>
    <row r="111" spans="1:4" x14ac:dyDescent="0.25">
      <c r="A111" t="s">
        <v>123</v>
      </c>
      <c r="B111" t="s">
        <v>76</v>
      </c>
      <c r="C111" t="s">
        <v>4678</v>
      </c>
      <c r="D111">
        <v>-4</v>
      </c>
    </row>
    <row r="112" spans="1:4" x14ac:dyDescent="0.25">
      <c r="A112" t="s">
        <v>123</v>
      </c>
      <c r="B112" t="s">
        <v>36</v>
      </c>
      <c r="C112" t="s">
        <v>4679</v>
      </c>
      <c r="D112">
        <v>-5</v>
      </c>
    </row>
    <row r="113" spans="1:4" x14ac:dyDescent="0.25">
      <c r="A113" t="s">
        <v>123</v>
      </c>
      <c r="B113" t="s">
        <v>36</v>
      </c>
      <c r="C113" t="s">
        <v>4680</v>
      </c>
      <c r="D113">
        <v>-6</v>
      </c>
    </row>
    <row r="115" spans="1:4" x14ac:dyDescent="0.25">
      <c r="A115" s="2" t="s">
        <v>157</v>
      </c>
    </row>
    <row r="116" spans="1:4" x14ac:dyDescent="0.25">
      <c r="A116" t="s">
        <v>158</v>
      </c>
      <c r="D116">
        <f>AVERAGE(D2:D113)</f>
        <v>-2.4642857142857144</v>
      </c>
    </row>
    <row r="117" spans="1:4" x14ac:dyDescent="0.25">
      <c r="A117" t="s">
        <v>159</v>
      </c>
      <c r="D117">
        <f>MAX(D2:D113)</f>
        <v>6</v>
      </c>
    </row>
    <row r="118" spans="1:4" x14ac:dyDescent="0.25">
      <c r="A118" t="s">
        <v>160</v>
      </c>
      <c r="D118">
        <f>MIN(D2:D113)</f>
        <v>-10</v>
      </c>
    </row>
    <row r="119" spans="1:4" x14ac:dyDescent="0.25">
      <c r="A119" t="s">
        <v>161</v>
      </c>
      <c r="D119">
        <f>COUNTIF(D2:D113,"&gt;0")</f>
        <v>21</v>
      </c>
    </row>
    <row r="120" spans="1:4" x14ac:dyDescent="0.25">
      <c r="A120" t="s">
        <v>162</v>
      </c>
      <c r="D120">
        <f>COUNTIF(D2:D113,"=0")</f>
        <v>9</v>
      </c>
    </row>
    <row r="121" spans="1:4" x14ac:dyDescent="0.25">
      <c r="A121" t="s">
        <v>1428</v>
      </c>
      <c r="D121">
        <f>COUNTIF(D2:D113,"&lt;0")</f>
        <v>82</v>
      </c>
    </row>
    <row r="123" spans="1:4" x14ac:dyDescent="0.25">
      <c r="A123" s="2" t="s">
        <v>164</v>
      </c>
    </row>
    <row r="124" spans="1:4" x14ac:dyDescent="0.25">
      <c r="A124" t="s">
        <v>165</v>
      </c>
      <c r="D124">
        <f>AVERAGE(D2,D3,D4,D5,D6,D7,D8,D9,D10,D11,D12,D13,D14,D15,D16,D17,D18,D19,D20,D21,D22,D23,D24,D25,D26,D27,D28,D29,D30,D31,D32,D33,D34,D35,D36,D37,D38)</f>
        <v>-2.6756756756756759</v>
      </c>
    </row>
    <row r="125" spans="1:4" x14ac:dyDescent="0.25">
      <c r="A125" t="s">
        <v>166</v>
      </c>
      <c r="D125">
        <f>AVERAGE(D39,D40,D41,D42,D43,D44,D45,D46,D47,D48,D49,D50,D51,D52,D53,D54,D55,D56,D57,D58,D59,D60)</f>
        <v>-2.4545454545454546</v>
      </c>
    </row>
    <row r="126" spans="1:4" x14ac:dyDescent="0.25">
      <c r="A126" t="s">
        <v>167</v>
      </c>
      <c r="D126">
        <f>AVERAGE(D61,D62,D63,D64,D65,D66,D67,D68,D69,D70,D71,D72,D73,D74,D75,D76,D77,D78,D79,D80,D81,D82,D83,D84,D85,D86,D87,D88,D89,D90,D91,D92)</f>
        <v>-2.09375</v>
      </c>
    </row>
    <row r="127" spans="1:4" x14ac:dyDescent="0.25">
      <c r="A127" t="s">
        <v>168</v>
      </c>
      <c r="D127">
        <f>AVERAGE(D93,D94,D95,D96,D97,D98,D99,D100,D101,D102,D103,D104,D105,D106,D107,D108,D109,D110,D111,D112,D113)</f>
        <v>-2.6666666666666665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D10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1345</v>
      </c>
    </row>
    <row r="2" spans="1:4" x14ac:dyDescent="0.25">
      <c r="A2" t="s">
        <v>4</v>
      </c>
      <c r="B2" t="s">
        <v>1009</v>
      </c>
      <c r="C2" t="s">
        <v>6</v>
      </c>
      <c r="D2">
        <v>2</v>
      </c>
    </row>
    <row r="3" spans="1:4" x14ac:dyDescent="0.25">
      <c r="A3" t="s">
        <v>4</v>
      </c>
      <c r="B3" t="s">
        <v>797</v>
      </c>
      <c r="C3" t="s">
        <v>1572</v>
      </c>
      <c r="D3">
        <v>5</v>
      </c>
    </row>
    <row r="4" spans="1:4" x14ac:dyDescent="0.25">
      <c r="A4" t="s">
        <v>4</v>
      </c>
      <c r="B4" t="s">
        <v>11</v>
      </c>
      <c r="C4" t="s">
        <v>2643</v>
      </c>
      <c r="D4">
        <v>7</v>
      </c>
    </row>
    <row r="5" spans="1:4" x14ac:dyDescent="0.25">
      <c r="A5" t="s">
        <v>4</v>
      </c>
      <c r="B5" t="s">
        <v>514</v>
      </c>
      <c r="C5" t="s">
        <v>2475</v>
      </c>
      <c r="D5">
        <v>9</v>
      </c>
    </row>
    <row r="6" spans="1:4" x14ac:dyDescent="0.25">
      <c r="A6" t="s">
        <v>4</v>
      </c>
      <c r="B6" t="s">
        <v>335</v>
      </c>
      <c r="C6" t="s">
        <v>2593</v>
      </c>
      <c r="D6">
        <v>7</v>
      </c>
    </row>
    <row r="7" spans="1:4" x14ac:dyDescent="0.25">
      <c r="A7" t="s">
        <v>4</v>
      </c>
      <c r="B7" t="s">
        <v>93</v>
      </c>
      <c r="C7" t="s">
        <v>3466</v>
      </c>
      <c r="D7">
        <v>8</v>
      </c>
    </row>
    <row r="8" spans="1:4" x14ac:dyDescent="0.25">
      <c r="A8" t="s">
        <v>4</v>
      </c>
      <c r="B8" t="s">
        <v>368</v>
      </c>
      <c r="C8" t="s">
        <v>183</v>
      </c>
      <c r="D8">
        <v>6</v>
      </c>
    </row>
    <row r="9" spans="1:4" x14ac:dyDescent="0.25">
      <c r="A9" t="s">
        <v>4</v>
      </c>
      <c r="B9" t="s">
        <v>2158</v>
      </c>
      <c r="C9" t="s">
        <v>2356</v>
      </c>
      <c r="D9">
        <v>8</v>
      </c>
    </row>
    <row r="10" spans="1:4" x14ac:dyDescent="0.25">
      <c r="A10" t="s">
        <v>4</v>
      </c>
      <c r="B10" t="s">
        <v>1795</v>
      </c>
      <c r="C10" t="s">
        <v>4029</v>
      </c>
      <c r="D10">
        <v>11</v>
      </c>
    </row>
    <row r="11" spans="1:4" x14ac:dyDescent="0.25">
      <c r="A11" t="s">
        <v>4</v>
      </c>
      <c r="B11" t="s">
        <v>337</v>
      </c>
      <c r="C11" t="s">
        <v>2511</v>
      </c>
      <c r="D11">
        <v>9</v>
      </c>
    </row>
    <row r="12" spans="1:4" x14ac:dyDescent="0.25">
      <c r="A12" t="s">
        <v>4</v>
      </c>
      <c r="B12" t="s">
        <v>378</v>
      </c>
      <c r="C12" t="s">
        <v>2513</v>
      </c>
      <c r="D12">
        <v>12</v>
      </c>
    </row>
    <row r="13" spans="1:4" x14ac:dyDescent="0.25">
      <c r="A13" t="s">
        <v>4</v>
      </c>
      <c r="B13" t="s">
        <v>285</v>
      </c>
      <c r="C13" t="s">
        <v>194</v>
      </c>
      <c r="D13">
        <v>9</v>
      </c>
    </row>
    <row r="14" spans="1:4" x14ac:dyDescent="0.25">
      <c r="A14" t="s">
        <v>4</v>
      </c>
      <c r="B14" t="s">
        <v>1202</v>
      </c>
      <c r="C14" t="s">
        <v>787</v>
      </c>
      <c r="D14">
        <v>7</v>
      </c>
    </row>
    <row r="15" spans="1:4" x14ac:dyDescent="0.25">
      <c r="A15" t="s">
        <v>4</v>
      </c>
      <c r="B15" t="s">
        <v>1048</v>
      </c>
      <c r="C15" t="s">
        <v>2921</v>
      </c>
      <c r="D15">
        <v>8</v>
      </c>
    </row>
    <row r="16" spans="1:4" x14ac:dyDescent="0.25">
      <c r="A16" t="s">
        <v>4</v>
      </c>
      <c r="B16" t="s">
        <v>1048</v>
      </c>
      <c r="C16" t="s">
        <v>1357</v>
      </c>
      <c r="D16">
        <v>9</v>
      </c>
    </row>
    <row r="17" spans="1:4" x14ac:dyDescent="0.25">
      <c r="A17" t="s">
        <v>4</v>
      </c>
      <c r="B17" t="s">
        <v>1622</v>
      </c>
      <c r="C17" t="s">
        <v>199</v>
      </c>
      <c r="D17">
        <v>7</v>
      </c>
    </row>
    <row r="18" spans="1:4" x14ac:dyDescent="0.25">
      <c r="A18" t="s">
        <v>4</v>
      </c>
      <c r="B18" t="s">
        <v>505</v>
      </c>
      <c r="C18" t="s">
        <v>200</v>
      </c>
      <c r="D18">
        <v>5</v>
      </c>
    </row>
    <row r="19" spans="1:4" x14ac:dyDescent="0.25">
      <c r="A19" t="s">
        <v>4</v>
      </c>
      <c r="B19" t="s">
        <v>1050</v>
      </c>
      <c r="C19" t="s">
        <v>1203</v>
      </c>
      <c r="D19">
        <v>6</v>
      </c>
    </row>
    <row r="20" spans="1:4" x14ac:dyDescent="0.25">
      <c r="A20" t="s">
        <v>4</v>
      </c>
      <c r="B20" t="s">
        <v>1050</v>
      </c>
      <c r="C20" t="s">
        <v>201</v>
      </c>
      <c r="D20">
        <v>7</v>
      </c>
    </row>
    <row r="21" spans="1:4" x14ac:dyDescent="0.25">
      <c r="A21" t="s">
        <v>4</v>
      </c>
      <c r="B21" t="s">
        <v>999</v>
      </c>
      <c r="C21" t="s">
        <v>1749</v>
      </c>
      <c r="D21">
        <v>5</v>
      </c>
    </row>
    <row r="22" spans="1:4" x14ac:dyDescent="0.25">
      <c r="A22" t="s">
        <v>4</v>
      </c>
      <c r="B22" t="s">
        <v>770</v>
      </c>
      <c r="C22" t="s">
        <v>1121</v>
      </c>
      <c r="D22">
        <v>2</v>
      </c>
    </row>
    <row r="23" spans="1:4" x14ac:dyDescent="0.25">
      <c r="A23" t="s">
        <v>40</v>
      </c>
      <c r="B23" t="s">
        <v>2421</v>
      </c>
      <c r="C23" t="s">
        <v>1122</v>
      </c>
      <c r="D23">
        <v>4</v>
      </c>
    </row>
    <row r="24" spans="1:4" x14ac:dyDescent="0.25">
      <c r="A24" t="s">
        <v>40</v>
      </c>
      <c r="B24" t="s">
        <v>487</v>
      </c>
      <c r="C24" t="s">
        <v>1123</v>
      </c>
      <c r="D24">
        <v>6</v>
      </c>
    </row>
    <row r="25" spans="1:4" x14ac:dyDescent="0.25">
      <c r="A25" t="s">
        <v>40</v>
      </c>
      <c r="B25" t="s">
        <v>2443</v>
      </c>
      <c r="C25" t="s">
        <v>214</v>
      </c>
      <c r="D25">
        <v>3</v>
      </c>
    </row>
    <row r="26" spans="1:4" x14ac:dyDescent="0.25">
      <c r="A26" t="s">
        <v>40</v>
      </c>
      <c r="B26" t="s">
        <v>1267</v>
      </c>
      <c r="C26" t="s">
        <v>216</v>
      </c>
      <c r="D26">
        <v>6</v>
      </c>
    </row>
    <row r="27" spans="1:4" x14ac:dyDescent="0.25">
      <c r="A27" t="s">
        <v>40</v>
      </c>
      <c r="B27" t="s">
        <v>1573</v>
      </c>
      <c r="C27" t="s">
        <v>2358</v>
      </c>
      <c r="D27">
        <v>4</v>
      </c>
    </row>
    <row r="28" spans="1:4" x14ac:dyDescent="0.25">
      <c r="A28" t="s">
        <v>40</v>
      </c>
      <c r="B28" t="s">
        <v>2074</v>
      </c>
      <c r="C28" t="s">
        <v>2484</v>
      </c>
      <c r="D28">
        <v>1</v>
      </c>
    </row>
    <row r="29" spans="1:4" x14ac:dyDescent="0.25">
      <c r="A29" t="s">
        <v>40</v>
      </c>
      <c r="B29" t="s">
        <v>566</v>
      </c>
      <c r="C29" t="s">
        <v>222</v>
      </c>
      <c r="D29">
        <v>4</v>
      </c>
    </row>
    <row r="30" spans="1:4" x14ac:dyDescent="0.25">
      <c r="A30" t="s">
        <v>40</v>
      </c>
      <c r="B30" t="s">
        <v>494</v>
      </c>
      <c r="C30" t="s">
        <v>725</v>
      </c>
      <c r="D30">
        <v>1</v>
      </c>
    </row>
    <row r="31" spans="1:4" x14ac:dyDescent="0.25">
      <c r="A31" t="s">
        <v>40</v>
      </c>
      <c r="B31" t="s">
        <v>277</v>
      </c>
      <c r="C31" t="s">
        <v>347</v>
      </c>
      <c r="D31">
        <v>2</v>
      </c>
    </row>
    <row r="32" spans="1:4" x14ac:dyDescent="0.25">
      <c r="A32" t="s">
        <v>40</v>
      </c>
      <c r="B32" t="s">
        <v>277</v>
      </c>
      <c r="C32" t="s">
        <v>349</v>
      </c>
      <c r="D32">
        <v>3</v>
      </c>
    </row>
    <row r="33" spans="1:4" x14ac:dyDescent="0.25">
      <c r="A33" t="s">
        <v>40</v>
      </c>
      <c r="B33" t="s">
        <v>497</v>
      </c>
      <c r="C33" t="s">
        <v>351</v>
      </c>
      <c r="D33">
        <v>1</v>
      </c>
    </row>
    <row r="34" spans="1:4" x14ac:dyDescent="0.25">
      <c r="A34" t="s">
        <v>40</v>
      </c>
      <c r="B34" t="s">
        <v>259</v>
      </c>
      <c r="C34" t="s">
        <v>1828</v>
      </c>
      <c r="D34">
        <v>-2</v>
      </c>
    </row>
    <row r="35" spans="1:4" x14ac:dyDescent="0.25">
      <c r="A35" t="s">
        <v>40</v>
      </c>
      <c r="B35" t="s">
        <v>1598</v>
      </c>
      <c r="C35" t="s">
        <v>232</v>
      </c>
      <c r="D35">
        <v>0</v>
      </c>
    </row>
    <row r="36" spans="1:4" x14ac:dyDescent="0.25">
      <c r="A36" t="s">
        <v>40</v>
      </c>
      <c r="B36" t="s">
        <v>99</v>
      </c>
      <c r="C36" t="s">
        <v>2763</v>
      </c>
      <c r="D36">
        <v>-2</v>
      </c>
    </row>
    <row r="37" spans="1:4" x14ac:dyDescent="0.25">
      <c r="A37" t="s">
        <v>40</v>
      </c>
      <c r="B37" t="s">
        <v>313</v>
      </c>
      <c r="C37" t="s">
        <v>358</v>
      </c>
      <c r="D37">
        <v>1</v>
      </c>
    </row>
    <row r="38" spans="1:4" x14ac:dyDescent="0.25">
      <c r="A38" t="s">
        <v>40</v>
      </c>
      <c r="B38" t="s">
        <v>1016</v>
      </c>
      <c r="C38" t="s">
        <v>1722</v>
      </c>
      <c r="D38">
        <v>-1</v>
      </c>
    </row>
    <row r="39" spans="1:4" x14ac:dyDescent="0.25">
      <c r="A39" t="s">
        <v>40</v>
      </c>
      <c r="B39" t="s">
        <v>1040</v>
      </c>
      <c r="C39" t="s">
        <v>733</v>
      </c>
      <c r="D39">
        <v>0</v>
      </c>
    </row>
    <row r="40" spans="1:4" x14ac:dyDescent="0.25">
      <c r="A40" t="s">
        <v>40</v>
      </c>
      <c r="B40" t="s">
        <v>1040</v>
      </c>
      <c r="C40" t="s">
        <v>362</v>
      </c>
      <c r="D40">
        <v>1</v>
      </c>
    </row>
    <row r="41" spans="1:4" x14ac:dyDescent="0.25">
      <c r="A41" t="s">
        <v>40</v>
      </c>
      <c r="B41" t="s">
        <v>288</v>
      </c>
      <c r="C41" t="s">
        <v>243</v>
      </c>
      <c r="D41">
        <v>-1</v>
      </c>
    </row>
    <row r="42" spans="1:4" x14ac:dyDescent="0.25">
      <c r="A42" t="s">
        <v>40</v>
      </c>
      <c r="B42" t="s">
        <v>472</v>
      </c>
      <c r="C42" t="s">
        <v>3706</v>
      </c>
      <c r="D42">
        <v>-3</v>
      </c>
    </row>
    <row r="43" spans="1:4" x14ac:dyDescent="0.25">
      <c r="A43" t="s">
        <v>40</v>
      </c>
      <c r="B43" t="s">
        <v>146</v>
      </c>
      <c r="C43" t="s">
        <v>3561</v>
      </c>
      <c r="D43">
        <v>-4</v>
      </c>
    </row>
    <row r="44" spans="1:4" x14ac:dyDescent="0.25">
      <c r="A44" t="s">
        <v>40</v>
      </c>
      <c r="B44" t="s">
        <v>120</v>
      </c>
      <c r="C44" t="s">
        <v>252</v>
      </c>
      <c r="D44">
        <v>-1</v>
      </c>
    </row>
    <row r="45" spans="1:4" x14ac:dyDescent="0.25">
      <c r="A45" t="s">
        <v>80</v>
      </c>
      <c r="B45" t="s">
        <v>128</v>
      </c>
      <c r="C45" t="s">
        <v>624</v>
      </c>
      <c r="D45">
        <v>-4</v>
      </c>
    </row>
    <row r="46" spans="1:4" x14ac:dyDescent="0.25">
      <c r="A46" t="s">
        <v>80</v>
      </c>
      <c r="B46" t="s">
        <v>719</v>
      </c>
      <c r="C46" t="s">
        <v>626</v>
      </c>
      <c r="D46">
        <v>-5</v>
      </c>
    </row>
    <row r="47" spans="1:4" x14ac:dyDescent="0.25">
      <c r="A47" t="s">
        <v>80</v>
      </c>
      <c r="B47" t="s">
        <v>719</v>
      </c>
      <c r="C47" t="s">
        <v>100</v>
      </c>
      <c r="D47">
        <v>-6</v>
      </c>
    </row>
    <row r="48" spans="1:4" x14ac:dyDescent="0.25">
      <c r="A48" t="s">
        <v>80</v>
      </c>
      <c r="B48" t="s">
        <v>1735</v>
      </c>
      <c r="C48" t="s">
        <v>1726</v>
      </c>
      <c r="D48">
        <v>-5</v>
      </c>
    </row>
    <row r="49" spans="1:4" x14ac:dyDescent="0.25">
      <c r="A49" t="s">
        <v>80</v>
      </c>
      <c r="B49" t="s">
        <v>1735</v>
      </c>
      <c r="C49" t="s">
        <v>3082</v>
      </c>
      <c r="D49">
        <v>-4</v>
      </c>
    </row>
    <row r="50" spans="1:4" x14ac:dyDescent="0.25">
      <c r="A50" t="s">
        <v>80</v>
      </c>
      <c r="B50" t="s">
        <v>1453</v>
      </c>
      <c r="C50" t="s">
        <v>1727</v>
      </c>
      <c r="D50">
        <v>-2</v>
      </c>
    </row>
    <row r="51" spans="1:4" x14ac:dyDescent="0.25">
      <c r="A51" t="s">
        <v>80</v>
      </c>
      <c r="B51" t="s">
        <v>834</v>
      </c>
      <c r="C51" t="s">
        <v>2225</v>
      </c>
      <c r="D51">
        <v>-5</v>
      </c>
    </row>
    <row r="52" spans="1:4" x14ac:dyDescent="0.25">
      <c r="A52" t="s">
        <v>80</v>
      </c>
      <c r="B52" t="s">
        <v>1441</v>
      </c>
      <c r="C52" t="s">
        <v>1229</v>
      </c>
      <c r="D52">
        <v>-4</v>
      </c>
    </row>
    <row r="53" spans="1:4" x14ac:dyDescent="0.25">
      <c r="A53" t="s">
        <v>80</v>
      </c>
      <c r="B53" t="s">
        <v>1441</v>
      </c>
      <c r="C53" t="s">
        <v>2765</v>
      </c>
      <c r="D53">
        <v>-3</v>
      </c>
    </row>
    <row r="54" spans="1:4" x14ac:dyDescent="0.25">
      <c r="A54" t="s">
        <v>80</v>
      </c>
      <c r="B54" t="s">
        <v>1776</v>
      </c>
      <c r="C54" t="s">
        <v>2227</v>
      </c>
      <c r="D54">
        <v>-5</v>
      </c>
    </row>
    <row r="55" spans="1:4" x14ac:dyDescent="0.25">
      <c r="A55" t="s">
        <v>80</v>
      </c>
      <c r="B55" t="s">
        <v>1855</v>
      </c>
      <c r="C55" t="s">
        <v>750</v>
      </c>
      <c r="D55">
        <v>-3</v>
      </c>
    </row>
    <row r="56" spans="1:4" x14ac:dyDescent="0.25">
      <c r="A56" t="s">
        <v>80</v>
      </c>
      <c r="B56" t="s">
        <v>223</v>
      </c>
      <c r="C56" t="s">
        <v>632</v>
      </c>
      <c r="D56">
        <v>-4</v>
      </c>
    </row>
    <row r="57" spans="1:4" x14ac:dyDescent="0.25">
      <c r="A57" t="s">
        <v>80</v>
      </c>
      <c r="B57" t="s">
        <v>467</v>
      </c>
      <c r="C57" t="s">
        <v>837</v>
      </c>
      <c r="D57">
        <v>-6</v>
      </c>
    </row>
    <row r="58" spans="1:4" x14ac:dyDescent="0.25">
      <c r="A58" t="s">
        <v>80</v>
      </c>
      <c r="B58" t="s">
        <v>987</v>
      </c>
      <c r="C58" t="s">
        <v>838</v>
      </c>
      <c r="D58">
        <v>-3</v>
      </c>
    </row>
    <row r="59" spans="1:4" x14ac:dyDescent="0.25">
      <c r="A59" t="s">
        <v>80</v>
      </c>
      <c r="B59" t="s">
        <v>667</v>
      </c>
      <c r="C59" t="s">
        <v>839</v>
      </c>
      <c r="D59">
        <v>-4</v>
      </c>
    </row>
    <row r="60" spans="1:4" x14ac:dyDescent="0.25">
      <c r="A60" t="s">
        <v>80</v>
      </c>
      <c r="B60" t="s">
        <v>414</v>
      </c>
      <c r="C60" t="s">
        <v>4129</v>
      </c>
      <c r="D60">
        <v>-5</v>
      </c>
    </row>
    <row r="61" spans="1:4" x14ac:dyDescent="0.25">
      <c r="A61" t="s">
        <v>80</v>
      </c>
      <c r="B61" t="s">
        <v>2453</v>
      </c>
      <c r="C61" t="s">
        <v>4681</v>
      </c>
      <c r="D61">
        <v>-7</v>
      </c>
    </row>
    <row r="62" spans="1:4" x14ac:dyDescent="0.25">
      <c r="A62" t="s">
        <v>80</v>
      </c>
      <c r="B62" t="s">
        <v>732</v>
      </c>
      <c r="C62" t="s">
        <v>4333</v>
      </c>
      <c r="D62">
        <v>-9</v>
      </c>
    </row>
    <row r="63" spans="1:4" x14ac:dyDescent="0.25">
      <c r="A63" t="s">
        <v>80</v>
      </c>
      <c r="B63" t="s">
        <v>999</v>
      </c>
      <c r="C63" t="s">
        <v>3607</v>
      </c>
      <c r="D63">
        <v>-12</v>
      </c>
    </row>
    <row r="64" spans="1:4" x14ac:dyDescent="0.25">
      <c r="A64" t="s">
        <v>80</v>
      </c>
      <c r="B64" t="s">
        <v>76</v>
      </c>
      <c r="C64" t="s">
        <v>2578</v>
      </c>
      <c r="D64">
        <v>-13</v>
      </c>
    </row>
    <row r="65" spans="1:4" x14ac:dyDescent="0.25">
      <c r="A65" t="s">
        <v>80</v>
      </c>
      <c r="B65" t="s">
        <v>76</v>
      </c>
      <c r="C65" t="s">
        <v>3608</v>
      </c>
      <c r="D65">
        <v>-14</v>
      </c>
    </row>
    <row r="66" spans="1:4" x14ac:dyDescent="0.25">
      <c r="A66" t="s">
        <v>80</v>
      </c>
      <c r="B66" t="s">
        <v>1568</v>
      </c>
      <c r="C66" t="s">
        <v>4121</v>
      </c>
      <c r="D66">
        <v>-13</v>
      </c>
    </row>
    <row r="67" spans="1:4" x14ac:dyDescent="0.25">
      <c r="A67" t="s">
        <v>123</v>
      </c>
      <c r="B67" t="s">
        <v>1022</v>
      </c>
      <c r="C67" t="s">
        <v>3958</v>
      </c>
      <c r="D67">
        <v>-15</v>
      </c>
    </row>
    <row r="68" spans="1:4" x14ac:dyDescent="0.25">
      <c r="A68" t="s">
        <v>123</v>
      </c>
      <c r="B68" t="s">
        <v>1664</v>
      </c>
      <c r="C68" t="s">
        <v>4682</v>
      </c>
      <c r="D68">
        <v>-12</v>
      </c>
    </row>
    <row r="69" spans="1:4" x14ac:dyDescent="0.25">
      <c r="A69" t="s">
        <v>123</v>
      </c>
      <c r="B69" t="s">
        <v>7</v>
      </c>
      <c r="C69" t="s">
        <v>1780</v>
      </c>
      <c r="D69">
        <v>-14</v>
      </c>
    </row>
    <row r="70" spans="1:4" x14ac:dyDescent="0.25">
      <c r="A70" t="s">
        <v>123</v>
      </c>
      <c r="B70" t="s">
        <v>205</v>
      </c>
      <c r="C70" t="s">
        <v>4126</v>
      </c>
      <c r="D70">
        <v>-16</v>
      </c>
    </row>
    <row r="71" spans="1:4" x14ac:dyDescent="0.25">
      <c r="A71" t="s">
        <v>123</v>
      </c>
      <c r="B71" t="s">
        <v>1117</v>
      </c>
      <c r="C71" t="s">
        <v>4683</v>
      </c>
      <c r="D71">
        <v>-18</v>
      </c>
    </row>
    <row r="72" spans="1:4" x14ac:dyDescent="0.25">
      <c r="A72" t="s">
        <v>123</v>
      </c>
      <c r="B72" t="s">
        <v>954</v>
      </c>
      <c r="C72" t="s">
        <v>4684</v>
      </c>
      <c r="D72">
        <v>-15</v>
      </c>
    </row>
    <row r="73" spans="1:4" x14ac:dyDescent="0.25">
      <c r="A73" t="s">
        <v>123</v>
      </c>
      <c r="B73" t="s">
        <v>621</v>
      </c>
      <c r="C73" t="s">
        <v>3098</v>
      </c>
      <c r="D73">
        <v>-13</v>
      </c>
    </row>
    <row r="74" spans="1:4" x14ac:dyDescent="0.25">
      <c r="A74" t="s">
        <v>123</v>
      </c>
      <c r="B74" t="s">
        <v>1529</v>
      </c>
      <c r="C74" t="s">
        <v>4128</v>
      </c>
      <c r="D74">
        <v>-16</v>
      </c>
    </row>
    <row r="75" spans="1:4" x14ac:dyDescent="0.25">
      <c r="A75" t="s">
        <v>123</v>
      </c>
      <c r="B75" t="s">
        <v>462</v>
      </c>
      <c r="C75" t="s">
        <v>4685</v>
      </c>
      <c r="D75">
        <v>-13</v>
      </c>
    </row>
    <row r="76" spans="1:4" x14ac:dyDescent="0.25">
      <c r="A76" t="s">
        <v>123</v>
      </c>
      <c r="B76" t="s">
        <v>179</v>
      </c>
      <c r="C76" t="s">
        <v>4686</v>
      </c>
      <c r="D76">
        <v>-15</v>
      </c>
    </row>
    <row r="77" spans="1:4" x14ac:dyDescent="0.25">
      <c r="A77" t="s">
        <v>123</v>
      </c>
      <c r="B77" t="s">
        <v>726</v>
      </c>
      <c r="C77" t="s">
        <v>4687</v>
      </c>
      <c r="D77">
        <v>-13</v>
      </c>
    </row>
    <row r="78" spans="1:4" x14ac:dyDescent="0.25">
      <c r="A78" t="s">
        <v>123</v>
      </c>
      <c r="B78" t="s">
        <v>190</v>
      </c>
      <c r="C78" t="s">
        <v>3961</v>
      </c>
      <c r="D78">
        <v>-10</v>
      </c>
    </row>
    <row r="79" spans="1:4" x14ac:dyDescent="0.25">
      <c r="A79" t="s">
        <v>123</v>
      </c>
      <c r="B79" t="s">
        <v>380</v>
      </c>
      <c r="C79" t="s">
        <v>3542</v>
      </c>
      <c r="D79">
        <v>-9</v>
      </c>
    </row>
    <row r="80" spans="1:4" x14ac:dyDescent="0.25">
      <c r="A80" t="s">
        <v>123</v>
      </c>
      <c r="B80" t="s">
        <v>380</v>
      </c>
      <c r="C80" t="s">
        <v>3979</v>
      </c>
      <c r="D80">
        <v>-8</v>
      </c>
    </row>
    <row r="81" spans="1:4" x14ac:dyDescent="0.25">
      <c r="A81" t="s">
        <v>123</v>
      </c>
      <c r="B81" t="s">
        <v>2048</v>
      </c>
      <c r="C81" t="s">
        <v>4558</v>
      </c>
      <c r="D81">
        <v>-10</v>
      </c>
    </row>
    <row r="82" spans="1:4" x14ac:dyDescent="0.25">
      <c r="A82" t="s">
        <v>123</v>
      </c>
      <c r="B82" t="s">
        <v>152</v>
      </c>
      <c r="C82" t="s">
        <v>863</v>
      </c>
      <c r="D82">
        <v>-8</v>
      </c>
    </row>
    <row r="83" spans="1:4" x14ac:dyDescent="0.25">
      <c r="A83" t="s">
        <v>123</v>
      </c>
      <c r="B83" t="s">
        <v>346</v>
      </c>
      <c r="C83" t="s">
        <v>4179</v>
      </c>
      <c r="D83">
        <v>-10</v>
      </c>
    </row>
    <row r="84" spans="1:4" x14ac:dyDescent="0.25">
      <c r="A84" t="s">
        <v>123</v>
      </c>
      <c r="B84" t="s">
        <v>675</v>
      </c>
      <c r="C84" t="s">
        <v>2777</v>
      </c>
      <c r="D84">
        <v>-11</v>
      </c>
    </row>
    <row r="85" spans="1:4" x14ac:dyDescent="0.25">
      <c r="A85" t="s">
        <v>123</v>
      </c>
      <c r="B85" t="s">
        <v>675</v>
      </c>
      <c r="C85" t="s">
        <v>4621</v>
      </c>
      <c r="D85">
        <v>-12</v>
      </c>
    </row>
    <row r="86" spans="1:4" x14ac:dyDescent="0.25">
      <c r="A86" t="s">
        <v>123</v>
      </c>
      <c r="B86" t="s">
        <v>582</v>
      </c>
      <c r="C86" t="s">
        <v>3545</v>
      </c>
      <c r="D86">
        <v>-11</v>
      </c>
    </row>
    <row r="87" spans="1:4" x14ac:dyDescent="0.25">
      <c r="A87" t="s">
        <v>123</v>
      </c>
      <c r="B87" t="s">
        <v>582</v>
      </c>
      <c r="C87" t="s">
        <v>4484</v>
      </c>
      <c r="D87">
        <v>-10</v>
      </c>
    </row>
    <row r="88" spans="1:4" x14ac:dyDescent="0.25">
      <c r="A88" t="s">
        <v>123</v>
      </c>
      <c r="B88" t="s">
        <v>582</v>
      </c>
      <c r="C88" t="s">
        <v>1799</v>
      </c>
      <c r="D88">
        <v>-11</v>
      </c>
    </row>
    <row r="89" spans="1:4" x14ac:dyDescent="0.25">
      <c r="A89" t="s">
        <v>123</v>
      </c>
      <c r="B89" t="s">
        <v>582</v>
      </c>
      <c r="C89" t="s">
        <v>4485</v>
      </c>
      <c r="D89">
        <v>-12</v>
      </c>
    </row>
    <row r="90" spans="1:4" x14ac:dyDescent="0.25">
      <c r="A90" t="s">
        <v>123</v>
      </c>
      <c r="B90" t="s">
        <v>394</v>
      </c>
      <c r="C90" t="s">
        <v>1800</v>
      </c>
      <c r="D90">
        <v>-11</v>
      </c>
    </row>
    <row r="91" spans="1:4" x14ac:dyDescent="0.25">
      <c r="A91" t="s">
        <v>123</v>
      </c>
      <c r="B91" t="s">
        <v>1135</v>
      </c>
      <c r="C91" t="s">
        <v>1801</v>
      </c>
      <c r="D91">
        <v>-12</v>
      </c>
    </row>
    <row r="92" spans="1:4" x14ac:dyDescent="0.25">
      <c r="A92" t="s">
        <v>123</v>
      </c>
      <c r="B92" t="s">
        <v>422</v>
      </c>
      <c r="C92" t="s">
        <v>4183</v>
      </c>
      <c r="D92">
        <v>-10</v>
      </c>
    </row>
    <row r="93" spans="1:4" x14ac:dyDescent="0.25">
      <c r="A93" t="s">
        <v>123</v>
      </c>
      <c r="B93" t="s">
        <v>451</v>
      </c>
      <c r="C93" t="s">
        <v>1562</v>
      </c>
      <c r="D93">
        <v>-11</v>
      </c>
    </row>
    <row r="95" spans="1:4" x14ac:dyDescent="0.25">
      <c r="A95" s="2" t="s">
        <v>157</v>
      </c>
    </row>
    <row r="96" spans="1:4" x14ac:dyDescent="0.25">
      <c r="A96" t="s">
        <v>158</v>
      </c>
      <c r="D96">
        <f>AVERAGE(D2:D93)</f>
        <v>-3.152173913043478</v>
      </c>
    </row>
    <row r="97" spans="1:4" x14ac:dyDescent="0.25">
      <c r="A97" t="s">
        <v>159</v>
      </c>
      <c r="D97">
        <f>MAX(D2:D93)</f>
        <v>12</v>
      </c>
    </row>
    <row r="98" spans="1:4" x14ac:dyDescent="0.25">
      <c r="A98" t="s">
        <v>160</v>
      </c>
      <c r="D98">
        <f>MIN(D2:D93)</f>
        <v>-18</v>
      </c>
    </row>
    <row r="99" spans="1:4" x14ac:dyDescent="0.25">
      <c r="A99" t="s">
        <v>161</v>
      </c>
      <c r="D99">
        <f>COUNTIF(D2:D93,"&gt;0")</f>
        <v>34</v>
      </c>
    </row>
    <row r="100" spans="1:4" x14ac:dyDescent="0.25">
      <c r="A100" t="s">
        <v>162</v>
      </c>
      <c r="D100">
        <f>COUNTIF(D2:D93,"=0")</f>
        <v>2</v>
      </c>
    </row>
    <row r="101" spans="1:4" x14ac:dyDescent="0.25">
      <c r="A101" t="s">
        <v>1428</v>
      </c>
      <c r="D101">
        <f>COUNTIF(D2:D93,"&lt;0")</f>
        <v>56</v>
      </c>
    </row>
    <row r="103" spans="1:4" x14ac:dyDescent="0.25">
      <c r="A103" s="2" t="s">
        <v>164</v>
      </c>
    </row>
    <row r="104" spans="1:4" x14ac:dyDescent="0.25">
      <c r="A104" t="s">
        <v>165</v>
      </c>
      <c r="D104">
        <f>AVERAGE(D2,D3,D4,D5,D6,D7,D8,D9,D10,D11,D12,D13,D14,D15,D16,D17,D18,D19,D20,D21,D22)</f>
        <v>7.0952380952380949</v>
      </c>
    </row>
    <row r="105" spans="1:4" x14ac:dyDescent="0.25">
      <c r="A105" t="s">
        <v>166</v>
      </c>
      <c r="D105">
        <f>AVERAGE(D23,D24,D25,D26,D27,D28,D29,D30,D31,D32,D33,D34,D35,D36,D37,D38,D39,D40,D41,D42,D43,D44)</f>
        <v>1.0454545454545454</v>
      </c>
    </row>
    <row r="106" spans="1:4" x14ac:dyDescent="0.25">
      <c r="A106" t="s">
        <v>167</v>
      </c>
      <c r="D106">
        <f>AVERAGE(D45,D46,D47,D48,D49,D50,D51,D52,D53,D54,D55,D56,D57,D58,D59,D60,D61,D62,D63,D64,D65,D66)</f>
        <v>-6.1818181818181817</v>
      </c>
    </row>
    <row r="107" spans="1:4" x14ac:dyDescent="0.25">
      <c r="A107" t="s">
        <v>168</v>
      </c>
      <c r="D107">
        <f>AVERAGE(D67,D68,D69,D70,D71,D72,D73,D74,D75,D76,D77,D78,D79,D80,D81,D82,D83,D84,D85,D86,D87,D88,D89,D90,D91,D92,D93)</f>
        <v>-12.074074074074074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R193"/>
  <sheetViews>
    <sheetView tabSelected="1" workbookViewId="0"/>
  </sheetViews>
  <sheetFormatPr defaultRowHeight="15" x14ac:dyDescent="0.25"/>
  <cols>
    <col min="1" max="1" width="22" customWidth="1"/>
    <col min="2" max="2" width="10" customWidth="1"/>
    <col min="3" max="3" width="22" customWidth="1"/>
    <col min="4" max="4" width="18.28515625" bestFit="1" customWidth="1"/>
    <col min="5" max="6" width="12" customWidth="1"/>
    <col min="7" max="7" width="14" customWidth="1"/>
    <col min="8" max="9" width="16" customWidth="1"/>
    <col min="10" max="11" width="12" customWidth="1"/>
    <col min="12" max="18" width="14" customWidth="1"/>
  </cols>
  <sheetData>
    <row r="1" spans="1:18" ht="42" customHeight="1" x14ac:dyDescent="0.25">
      <c r="A1" s="3" t="s">
        <v>4688</v>
      </c>
      <c r="B1" s="3" t="s">
        <v>4689</v>
      </c>
      <c r="C1" s="3" t="s">
        <v>4690</v>
      </c>
      <c r="D1" s="3" t="s">
        <v>4691</v>
      </c>
      <c r="E1" s="3" t="s">
        <v>4692</v>
      </c>
      <c r="F1" s="3" t="s">
        <v>4693</v>
      </c>
      <c r="G1" s="3" t="s">
        <v>4694</v>
      </c>
      <c r="H1" s="3" t="s">
        <v>158</v>
      </c>
      <c r="I1" s="3" t="s">
        <v>4695</v>
      </c>
      <c r="J1" s="3" t="s">
        <v>159</v>
      </c>
      <c r="K1" s="3" t="s">
        <v>160</v>
      </c>
      <c r="L1" s="3" t="s">
        <v>4696</v>
      </c>
      <c r="M1" s="3" t="s">
        <v>4697</v>
      </c>
      <c r="N1" s="3" t="s">
        <v>4698</v>
      </c>
      <c r="O1" s="3" t="s">
        <v>4699</v>
      </c>
      <c r="P1" s="3" t="s">
        <v>4700</v>
      </c>
      <c r="Q1" s="3" t="s">
        <v>4701</v>
      </c>
      <c r="R1" s="3" t="s">
        <v>4702</v>
      </c>
    </row>
    <row r="2" spans="1:18" x14ac:dyDescent="0.25">
      <c r="A2" t="s">
        <v>4703</v>
      </c>
      <c r="B2" t="s">
        <v>589</v>
      </c>
      <c r="C2" t="s">
        <v>4704</v>
      </c>
      <c r="D2" s="4">
        <v>44849.760416666657</v>
      </c>
      <c r="E2" t="s">
        <v>4705</v>
      </c>
      <c r="F2" t="s">
        <v>4706</v>
      </c>
      <c r="G2" t="s">
        <v>156</v>
      </c>
      <c r="H2">
        <v>-5.3250000000000002</v>
      </c>
      <c r="I2">
        <f t="shared" ref="I2:I33" si="0">IF(E2="MIN",H2,-H2)</f>
        <v>-5.3250000000000002</v>
      </c>
      <c r="J2">
        <v>4</v>
      </c>
      <c r="K2">
        <v>-12</v>
      </c>
      <c r="L2">
        <v>6</v>
      </c>
      <c r="M2">
        <v>4</v>
      </c>
      <c r="N2">
        <v>70</v>
      </c>
      <c r="O2">
        <v>-0.1111</v>
      </c>
      <c r="P2">
        <v>-4.6666999999999996</v>
      </c>
      <c r="Q2">
        <v>-6.8182</v>
      </c>
      <c r="R2">
        <v>-9.2631999999999994</v>
      </c>
    </row>
    <row r="3" spans="1:18" x14ac:dyDescent="0.25">
      <c r="A3" t="s">
        <v>4707</v>
      </c>
      <c r="B3" t="s">
        <v>589</v>
      </c>
      <c r="C3" t="s">
        <v>4704</v>
      </c>
      <c r="D3" s="4">
        <v>44852.791666666657</v>
      </c>
      <c r="E3" t="s">
        <v>4708</v>
      </c>
      <c r="F3" t="s">
        <v>4705</v>
      </c>
      <c r="G3" t="s">
        <v>423</v>
      </c>
      <c r="H3">
        <v>-3.6999999999999998E-2</v>
      </c>
      <c r="I3">
        <f t="shared" si="0"/>
        <v>3.6999999999999998E-2</v>
      </c>
      <c r="J3">
        <v>10</v>
      </c>
      <c r="K3">
        <v>-11</v>
      </c>
      <c r="L3">
        <v>36</v>
      </c>
      <c r="M3">
        <v>3</v>
      </c>
      <c r="N3">
        <v>42</v>
      </c>
      <c r="O3">
        <v>5.8571</v>
      </c>
      <c r="P3">
        <v>3.8889</v>
      </c>
      <c r="Q3">
        <v>-2.7618999999999998</v>
      </c>
      <c r="R3">
        <v>-6.5713999999999997</v>
      </c>
    </row>
    <row r="4" spans="1:18" x14ac:dyDescent="0.25">
      <c r="A4" t="s">
        <v>4709</v>
      </c>
      <c r="B4" t="s">
        <v>589</v>
      </c>
      <c r="C4" t="s">
        <v>4704</v>
      </c>
      <c r="D4" s="4">
        <v>44854.875</v>
      </c>
      <c r="E4" t="s">
        <v>4710</v>
      </c>
      <c r="F4" t="s">
        <v>4705</v>
      </c>
      <c r="G4" t="s">
        <v>3961</v>
      </c>
      <c r="H4">
        <v>3.9493999999999998</v>
      </c>
      <c r="I4">
        <f t="shared" si="0"/>
        <v>-3.9493999999999998</v>
      </c>
      <c r="J4">
        <v>10</v>
      </c>
      <c r="K4">
        <v>-2</v>
      </c>
      <c r="L4">
        <v>65</v>
      </c>
      <c r="M4">
        <v>6</v>
      </c>
      <c r="N4">
        <v>8</v>
      </c>
      <c r="O4">
        <v>3.6154000000000002</v>
      </c>
      <c r="P4">
        <v>3.6316000000000002</v>
      </c>
      <c r="Q4">
        <v>1.5</v>
      </c>
      <c r="R4">
        <v>8.1052999999999997</v>
      </c>
    </row>
    <row r="5" spans="1:18" x14ac:dyDescent="0.25">
      <c r="A5" t="s">
        <v>4711</v>
      </c>
      <c r="B5" t="s">
        <v>589</v>
      </c>
      <c r="C5" t="s">
        <v>4704</v>
      </c>
      <c r="D5" s="4">
        <v>44858.791666666657</v>
      </c>
      <c r="E5" t="s">
        <v>4705</v>
      </c>
      <c r="F5" t="s">
        <v>4712</v>
      </c>
      <c r="G5" t="s">
        <v>560</v>
      </c>
      <c r="H5">
        <v>0.23400000000000001</v>
      </c>
      <c r="I5">
        <f t="shared" si="0"/>
        <v>0.23400000000000001</v>
      </c>
      <c r="J5">
        <v>9</v>
      </c>
      <c r="K5">
        <v>-5</v>
      </c>
      <c r="L5">
        <v>39</v>
      </c>
      <c r="M5">
        <v>13</v>
      </c>
      <c r="N5">
        <v>42</v>
      </c>
      <c r="O5">
        <v>-0.7</v>
      </c>
      <c r="P5">
        <v>0.3846</v>
      </c>
      <c r="Q5">
        <v>3.9443999999999999</v>
      </c>
      <c r="R5">
        <v>-1.9</v>
      </c>
    </row>
    <row r="6" spans="1:18" x14ac:dyDescent="0.25">
      <c r="A6" t="s">
        <v>4713</v>
      </c>
      <c r="B6" t="s">
        <v>589</v>
      </c>
      <c r="C6" t="s">
        <v>4704</v>
      </c>
      <c r="D6" s="4">
        <v>44862.791666666657</v>
      </c>
      <c r="E6" t="s">
        <v>4705</v>
      </c>
      <c r="F6" t="s">
        <v>4714</v>
      </c>
      <c r="G6" t="s">
        <v>686</v>
      </c>
      <c r="H6">
        <v>-0.45650000000000002</v>
      </c>
      <c r="I6">
        <f t="shared" si="0"/>
        <v>-0.45650000000000002</v>
      </c>
      <c r="J6">
        <v>9</v>
      </c>
      <c r="K6">
        <v>-9</v>
      </c>
      <c r="L6">
        <v>42</v>
      </c>
      <c r="M6">
        <v>9</v>
      </c>
      <c r="N6">
        <v>41</v>
      </c>
      <c r="O6">
        <v>-0.33329999999999999</v>
      </c>
      <c r="P6">
        <v>-4.1429</v>
      </c>
      <c r="Q6">
        <v>-3.2778</v>
      </c>
      <c r="R6">
        <v>3.1429</v>
      </c>
    </row>
    <row r="7" spans="1:18" x14ac:dyDescent="0.25">
      <c r="A7" t="s">
        <v>4715</v>
      </c>
      <c r="B7" t="s">
        <v>589</v>
      </c>
      <c r="C7" t="s">
        <v>4704</v>
      </c>
      <c r="D7" s="4">
        <v>44870.708333333343</v>
      </c>
      <c r="E7" t="s">
        <v>4705</v>
      </c>
      <c r="F7" t="s">
        <v>4716</v>
      </c>
      <c r="G7" t="s">
        <v>774</v>
      </c>
      <c r="H7">
        <v>1.5135000000000001</v>
      </c>
      <c r="I7">
        <f t="shared" si="0"/>
        <v>1.5135000000000001</v>
      </c>
      <c r="J7">
        <v>9</v>
      </c>
      <c r="K7">
        <v>-4</v>
      </c>
      <c r="L7">
        <v>46</v>
      </c>
      <c r="M7">
        <v>8</v>
      </c>
      <c r="N7">
        <v>20</v>
      </c>
      <c r="O7">
        <v>1.619</v>
      </c>
      <c r="P7">
        <v>1.9375</v>
      </c>
      <c r="Q7">
        <v>-0.57889999999999997</v>
      </c>
      <c r="R7">
        <v>3.2222</v>
      </c>
    </row>
    <row r="8" spans="1:18" x14ac:dyDescent="0.25">
      <c r="A8" t="s">
        <v>4717</v>
      </c>
      <c r="B8" t="s">
        <v>589</v>
      </c>
      <c r="C8" t="s">
        <v>4704</v>
      </c>
      <c r="D8" s="4">
        <v>44882.833333333343</v>
      </c>
      <c r="E8" t="s">
        <v>4718</v>
      </c>
      <c r="F8" t="s">
        <v>4705</v>
      </c>
      <c r="G8" t="s">
        <v>4719</v>
      </c>
      <c r="H8">
        <v>-1.9189000000000001</v>
      </c>
      <c r="I8">
        <f t="shared" si="0"/>
        <v>1.9189000000000001</v>
      </c>
      <c r="J8">
        <v>10</v>
      </c>
      <c r="K8">
        <v>-12</v>
      </c>
      <c r="L8">
        <v>38</v>
      </c>
      <c r="M8">
        <v>8</v>
      </c>
      <c r="N8">
        <v>65</v>
      </c>
      <c r="O8">
        <v>4.3056000000000001</v>
      </c>
      <c r="P8">
        <v>-8.1</v>
      </c>
      <c r="Q8">
        <v>-4.8484999999999996</v>
      </c>
      <c r="R8">
        <v>-2.0909</v>
      </c>
    </row>
    <row r="9" spans="1:18" x14ac:dyDescent="0.25">
      <c r="A9" t="s">
        <v>4720</v>
      </c>
      <c r="B9" t="s">
        <v>589</v>
      </c>
      <c r="C9" t="s">
        <v>4704</v>
      </c>
      <c r="D9" s="4">
        <v>44884.75</v>
      </c>
      <c r="E9" t="s">
        <v>4721</v>
      </c>
      <c r="F9" t="s">
        <v>4705</v>
      </c>
      <c r="G9" t="s">
        <v>4722</v>
      </c>
      <c r="H9">
        <v>11.3452</v>
      </c>
      <c r="I9">
        <f t="shared" si="0"/>
        <v>-11.3452</v>
      </c>
      <c r="J9">
        <v>24</v>
      </c>
      <c r="K9">
        <v>-5</v>
      </c>
      <c r="L9">
        <v>77</v>
      </c>
      <c r="M9">
        <v>0</v>
      </c>
      <c r="N9">
        <v>7</v>
      </c>
      <c r="O9">
        <v>1.4348000000000001</v>
      </c>
      <c r="P9">
        <v>8.1578999999999997</v>
      </c>
      <c r="Q9">
        <v>19.411799999999999</v>
      </c>
      <c r="R9">
        <v>17.399999999999999</v>
      </c>
    </row>
    <row r="10" spans="1:18" x14ac:dyDescent="0.25">
      <c r="A10" t="s">
        <v>4723</v>
      </c>
      <c r="B10" t="s">
        <v>589</v>
      </c>
      <c r="C10" t="s">
        <v>4704</v>
      </c>
      <c r="D10" s="4">
        <v>44888.791666666657</v>
      </c>
      <c r="E10" t="s">
        <v>4705</v>
      </c>
      <c r="F10" t="s">
        <v>4724</v>
      </c>
      <c r="G10" t="s">
        <v>1102</v>
      </c>
      <c r="H10">
        <v>28.615400000000001</v>
      </c>
      <c r="I10">
        <f t="shared" si="0"/>
        <v>28.615400000000001</v>
      </c>
      <c r="J10">
        <v>58</v>
      </c>
      <c r="K10">
        <v>-3</v>
      </c>
      <c r="L10">
        <v>76</v>
      </c>
      <c r="M10">
        <v>0</v>
      </c>
      <c r="N10">
        <v>2</v>
      </c>
      <c r="O10">
        <v>6.3888999999999996</v>
      </c>
      <c r="P10">
        <v>18.7727</v>
      </c>
      <c r="Q10">
        <v>37.85</v>
      </c>
      <c r="R10">
        <v>52.6111</v>
      </c>
    </row>
    <row r="11" spans="1:18" x14ac:dyDescent="0.25">
      <c r="A11" t="s">
        <v>4725</v>
      </c>
      <c r="B11" t="s">
        <v>589</v>
      </c>
      <c r="C11" t="s">
        <v>4704</v>
      </c>
      <c r="D11" s="4">
        <v>44894.791666666657</v>
      </c>
      <c r="E11" t="s">
        <v>4705</v>
      </c>
      <c r="F11" t="s">
        <v>4726</v>
      </c>
      <c r="G11" t="s">
        <v>1185</v>
      </c>
      <c r="H11">
        <v>4.9390000000000001</v>
      </c>
      <c r="I11">
        <f t="shared" si="0"/>
        <v>4.9390000000000001</v>
      </c>
      <c r="J11">
        <v>14</v>
      </c>
      <c r="K11">
        <v>-3</v>
      </c>
      <c r="L11">
        <v>73</v>
      </c>
      <c r="M11">
        <v>3</v>
      </c>
      <c r="N11">
        <v>6</v>
      </c>
      <c r="O11">
        <v>0.6</v>
      </c>
      <c r="P11">
        <v>3.0455000000000001</v>
      </c>
      <c r="Q11">
        <v>9.1428999999999991</v>
      </c>
      <c r="R11">
        <v>5.7083000000000004</v>
      </c>
    </row>
    <row r="12" spans="1:18" x14ac:dyDescent="0.25">
      <c r="A12" t="s">
        <v>4727</v>
      </c>
      <c r="B12" t="s">
        <v>589</v>
      </c>
      <c r="C12" t="s">
        <v>4704</v>
      </c>
      <c r="D12" s="4">
        <v>44898.625</v>
      </c>
      <c r="E12" t="s">
        <v>4728</v>
      </c>
      <c r="F12" t="s">
        <v>4705</v>
      </c>
      <c r="G12" t="s">
        <v>1000</v>
      </c>
      <c r="H12">
        <v>-3.2099000000000002</v>
      </c>
      <c r="I12">
        <f t="shared" si="0"/>
        <v>3.2099000000000002</v>
      </c>
      <c r="J12">
        <v>9</v>
      </c>
      <c r="K12">
        <v>-24</v>
      </c>
      <c r="L12">
        <v>35</v>
      </c>
      <c r="M12">
        <v>3</v>
      </c>
      <c r="N12">
        <v>43</v>
      </c>
      <c r="O12">
        <v>4.4090999999999996</v>
      </c>
      <c r="P12">
        <v>3.7222</v>
      </c>
      <c r="Q12">
        <v>-4.3635999999999999</v>
      </c>
      <c r="R12">
        <v>-17.263200000000001</v>
      </c>
    </row>
    <row r="13" spans="1:18" x14ac:dyDescent="0.25">
      <c r="A13" t="s">
        <v>4729</v>
      </c>
      <c r="B13" t="s">
        <v>589</v>
      </c>
      <c r="C13" t="s">
        <v>4704</v>
      </c>
      <c r="D13" s="4">
        <v>44903.791666666657</v>
      </c>
      <c r="E13" t="s">
        <v>4705</v>
      </c>
      <c r="F13" t="s">
        <v>4730</v>
      </c>
      <c r="G13" t="s">
        <v>1343</v>
      </c>
      <c r="H13">
        <v>23.567599999999999</v>
      </c>
      <c r="I13">
        <f t="shared" si="0"/>
        <v>23.567599999999999</v>
      </c>
      <c r="J13">
        <v>39</v>
      </c>
      <c r="K13">
        <v>3</v>
      </c>
      <c r="L13">
        <v>74</v>
      </c>
      <c r="M13">
        <v>0</v>
      </c>
      <c r="N13">
        <v>0</v>
      </c>
      <c r="O13">
        <v>8.4614999999999991</v>
      </c>
      <c r="P13">
        <v>18.2</v>
      </c>
      <c r="Q13">
        <v>28.333300000000001</v>
      </c>
      <c r="R13">
        <v>33.043500000000002</v>
      </c>
    </row>
    <row r="14" spans="1:18" x14ac:dyDescent="0.25">
      <c r="A14" t="s">
        <v>4731</v>
      </c>
      <c r="B14" t="s">
        <v>589</v>
      </c>
      <c r="C14" t="s">
        <v>4704</v>
      </c>
      <c r="D14" s="4">
        <v>44914.854166666657</v>
      </c>
      <c r="E14" t="s">
        <v>4732</v>
      </c>
      <c r="F14" t="s">
        <v>4705</v>
      </c>
      <c r="G14" t="s">
        <v>4535</v>
      </c>
      <c r="H14">
        <v>21.4878</v>
      </c>
      <c r="I14">
        <f t="shared" si="0"/>
        <v>-21.4878</v>
      </c>
      <c r="J14">
        <v>36</v>
      </c>
      <c r="K14">
        <v>-2</v>
      </c>
      <c r="L14">
        <v>81</v>
      </c>
      <c r="M14">
        <v>0</v>
      </c>
      <c r="N14">
        <v>1</v>
      </c>
      <c r="O14">
        <v>4.5556000000000001</v>
      </c>
      <c r="P14">
        <v>18.409099999999999</v>
      </c>
      <c r="Q14">
        <v>30.583300000000001</v>
      </c>
      <c r="R14">
        <v>30.055599999999998</v>
      </c>
    </row>
    <row r="15" spans="1:18" x14ac:dyDescent="0.25">
      <c r="A15" t="s">
        <v>4733</v>
      </c>
      <c r="B15" t="s">
        <v>589</v>
      </c>
      <c r="C15" t="s">
        <v>4704</v>
      </c>
      <c r="D15" s="4">
        <v>44916.8125</v>
      </c>
      <c r="E15" t="s">
        <v>4734</v>
      </c>
      <c r="F15" t="s">
        <v>4705</v>
      </c>
      <c r="G15" t="s">
        <v>4620</v>
      </c>
      <c r="H15">
        <v>8.0259999999999998</v>
      </c>
      <c r="I15">
        <f t="shared" si="0"/>
        <v>-8.0259999999999998</v>
      </c>
      <c r="J15">
        <v>18</v>
      </c>
      <c r="K15">
        <v>-3</v>
      </c>
      <c r="L15">
        <v>68</v>
      </c>
      <c r="M15">
        <v>2</v>
      </c>
      <c r="N15">
        <v>7</v>
      </c>
      <c r="O15">
        <v>0.36840000000000001</v>
      </c>
      <c r="P15">
        <v>6.1111000000000004</v>
      </c>
      <c r="Q15">
        <v>11.35</v>
      </c>
      <c r="R15">
        <v>13.7</v>
      </c>
    </row>
    <row r="16" spans="1:18" x14ac:dyDescent="0.25">
      <c r="A16" t="s">
        <v>4735</v>
      </c>
      <c r="B16" t="s">
        <v>589</v>
      </c>
      <c r="C16" t="s">
        <v>4704</v>
      </c>
      <c r="D16" s="4">
        <v>44922.833333333343</v>
      </c>
      <c r="E16" t="s">
        <v>4736</v>
      </c>
      <c r="F16" t="s">
        <v>4705</v>
      </c>
      <c r="G16" t="s">
        <v>4737</v>
      </c>
      <c r="H16">
        <v>-4.7222</v>
      </c>
      <c r="I16">
        <f t="shared" si="0"/>
        <v>4.7222</v>
      </c>
      <c r="J16">
        <v>5</v>
      </c>
      <c r="K16">
        <v>-17</v>
      </c>
      <c r="L16">
        <v>16</v>
      </c>
      <c r="M16">
        <v>4</v>
      </c>
      <c r="N16">
        <v>70</v>
      </c>
      <c r="O16">
        <v>-2.9091</v>
      </c>
      <c r="P16">
        <v>-1.7619</v>
      </c>
      <c r="Q16">
        <v>-0.82609999999999995</v>
      </c>
      <c r="R16">
        <v>-12.708299999999999</v>
      </c>
    </row>
    <row r="17" spans="1:18" x14ac:dyDescent="0.25">
      <c r="A17" t="s">
        <v>4738</v>
      </c>
      <c r="B17" t="s">
        <v>589</v>
      </c>
      <c r="C17" t="s">
        <v>4704</v>
      </c>
      <c r="D17" s="4">
        <v>44932.791666666657</v>
      </c>
      <c r="E17" t="s">
        <v>4705</v>
      </c>
      <c r="F17" t="s">
        <v>4739</v>
      </c>
      <c r="G17" t="s">
        <v>1632</v>
      </c>
      <c r="H17">
        <v>6.0609999999999999</v>
      </c>
      <c r="I17">
        <f t="shared" si="0"/>
        <v>6.0609999999999999</v>
      </c>
      <c r="J17">
        <v>12</v>
      </c>
      <c r="K17">
        <v>0</v>
      </c>
      <c r="L17">
        <v>81</v>
      </c>
      <c r="M17">
        <v>1</v>
      </c>
      <c r="N17">
        <v>0</v>
      </c>
      <c r="O17">
        <v>3.9474</v>
      </c>
      <c r="P17">
        <v>7.0587999999999997</v>
      </c>
      <c r="Q17">
        <v>7.2941000000000003</v>
      </c>
      <c r="R17">
        <v>6.1379000000000001</v>
      </c>
    </row>
    <row r="18" spans="1:18" x14ac:dyDescent="0.25">
      <c r="A18" t="s">
        <v>4740</v>
      </c>
      <c r="B18" t="s">
        <v>589</v>
      </c>
      <c r="C18" t="s">
        <v>4704</v>
      </c>
      <c r="D18" s="4">
        <v>44936.791666666657</v>
      </c>
      <c r="E18" t="s">
        <v>4705</v>
      </c>
      <c r="F18" t="s">
        <v>4710</v>
      </c>
      <c r="G18" t="s">
        <v>395</v>
      </c>
      <c r="H18">
        <v>0.37880000000000003</v>
      </c>
      <c r="I18">
        <f t="shared" si="0"/>
        <v>0.37880000000000003</v>
      </c>
      <c r="J18">
        <v>15</v>
      </c>
      <c r="K18">
        <v>-13</v>
      </c>
      <c r="L18">
        <v>35</v>
      </c>
      <c r="M18">
        <v>2</v>
      </c>
      <c r="N18">
        <v>29</v>
      </c>
      <c r="O18">
        <v>-5</v>
      </c>
      <c r="P18">
        <v>-9.125</v>
      </c>
      <c r="Q18">
        <v>5.6841999999999997</v>
      </c>
      <c r="R18">
        <v>9.5333000000000006</v>
      </c>
    </row>
    <row r="19" spans="1:18" x14ac:dyDescent="0.25">
      <c r="A19" t="s">
        <v>4741</v>
      </c>
      <c r="B19" t="s">
        <v>589</v>
      </c>
      <c r="C19" t="s">
        <v>4704</v>
      </c>
      <c r="D19" s="4">
        <v>44938.791666666657</v>
      </c>
      <c r="E19" t="s">
        <v>4705</v>
      </c>
      <c r="F19" t="s">
        <v>4708</v>
      </c>
      <c r="G19" t="s">
        <v>412</v>
      </c>
      <c r="H19">
        <v>-2.2799999999999998</v>
      </c>
      <c r="I19">
        <f t="shared" si="0"/>
        <v>-2.2799999999999998</v>
      </c>
      <c r="J19">
        <v>9</v>
      </c>
      <c r="K19">
        <v>-9</v>
      </c>
      <c r="L19">
        <v>15</v>
      </c>
      <c r="M19">
        <v>6</v>
      </c>
      <c r="N19">
        <v>54</v>
      </c>
      <c r="O19">
        <v>-4.1764999999999999</v>
      </c>
      <c r="P19">
        <v>-4.625</v>
      </c>
      <c r="Q19">
        <v>-1.2104999999999999</v>
      </c>
      <c r="R19">
        <v>2.2667000000000002</v>
      </c>
    </row>
    <row r="20" spans="1:18" x14ac:dyDescent="0.25">
      <c r="A20" t="s">
        <v>4742</v>
      </c>
      <c r="B20" t="s">
        <v>4743</v>
      </c>
      <c r="C20" t="s">
        <v>4744</v>
      </c>
      <c r="D20" s="4">
        <v>44949.791666666657</v>
      </c>
      <c r="E20" t="s">
        <v>4705</v>
      </c>
      <c r="F20" t="s">
        <v>4732</v>
      </c>
      <c r="G20" t="s">
        <v>1815</v>
      </c>
      <c r="H20">
        <v>-5.7054</v>
      </c>
      <c r="I20">
        <f t="shared" si="0"/>
        <v>-5.7054</v>
      </c>
      <c r="J20">
        <v>7</v>
      </c>
      <c r="K20">
        <v>-17</v>
      </c>
      <c r="L20">
        <v>28</v>
      </c>
      <c r="M20">
        <v>1</v>
      </c>
      <c r="N20">
        <v>83</v>
      </c>
      <c r="O20">
        <v>-0.25</v>
      </c>
      <c r="P20">
        <v>0.75</v>
      </c>
      <c r="Q20">
        <v>-6.96</v>
      </c>
      <c r="R20">
        <v>-13.6</v>
      </c>
    </row>
    <row r="21" spans="1:18" x14ac:dyDescent="0.25">
      <c r="A21" t="s">
        <v>4745</v>
      </c>
      <c r="B21" t="s">
        <v>589</v>
      </c>
      <c r="C21" t="s">
        <v>4704</v>
      </c>
      <c r="D21" s="4">
        <v>44956.8125</v>
      </c>
      <c r="E21" t="s">
        <v>4724</v>
      </c>
      <c r="F21" t="s">
        <v>4705</v>
      </c>
      <c r="G21" t="s">
        <v>4746</v>
      </c>
      <c r="H21">
        <v>2.4</v>
      </c>
      <c r="I21">
        <f t="shared" si="0"/>
        <v>-2.4</v>
      </c>
      <c r="J21">
        <v>11</v>
      </c>
      <c r="K21">
        <v>-8</v>
      </c>
      <c r="L21">
        <v>55</v>
      </c>
      <c r="M21">
        <v>10</v>
      </c>
      <c r="N21">
        <v>25</v>
      </c>
      <c r="O21">
        <v>0.27779999999999999</v>
      </c>
      <c r="P21">
        <v>-2</v>
      </c>
      <c r="Q21">
        <v>4.5651999999999999</v>
      </c>
      <c r="R21">
        <v>7.7142999999999997</v>
      </c>
    </row>
    <row r="22" spans="1:18" x14ac:dyDescent="0.25">
      <c r="A22" t="s">
        <v>4747</v>
      </c>
      <c r="B22" t="s">
        <v>589</v>
      </c>
      <c r="C22" t="s">
        <v>4704</v>
      </c>
      <c r="D22" s="4">
        <v>44967.833333333343</v>
      </c>
      <c r="E22" t="s">
        <v>4714</v>
      </c>
      <c r="F22" t="s">
        <v>4705</v>
      </c>
      <c r="G22" t="s">
        <v>2947</v>
      </c>
      <c r="H22">
        <v>-10.973699999999999</v>
      </c>
      <c r="I22">
        <f t="shared" si="0"/>
        <v>10.973699999999999</v>
      </c>
      <c r="J22">
        <v>5</v>
      </c>
      <c r="K22">
        <v>-26</v>
      </c>
      <c r="L22">
        <v>13</v>
      </c>
      <c r="M22">
        <v>2</v>
      </c>
      <c r="N22">
        <v>61</v>
      </c>
      <c r="O22">
        <v>0.4118</v>
      </c>
      <c r="P22">
        <v>-5.0434999999999999</v>
      </c>
      <c r="Q22">
        <v>-18.538499999999999</v>
      </c>
      <c r="R22">
        <v>-21.043500000000002</v>
      </c>
    </row>
    <row r="23" spans="1:18" x14ac:dyDescent="0.25">
      <c r="A23" t="s">
        <v>4748</v>
      </c>
      <c r="B23" t="s">
        <v>589</v>
      </c>
      <c r="C23" t="s">
        <v>4704</v>
      </c>
      <c r="D23" s="4">
        <v>44969.75</v>
      </c>
      <c r="E23" t="s">
        <v>4716</v>
      </c>
      <c r="F23" t="s">
        <v>4705</v>
      </c>
      <c r="G23" t="s">
        <v>4587</v>
      </c>
      <c r="H23">
        <v>6.1859999999999999</v>
      </c>
      <c r="I23">
        <f t="shared" si="0"/>
        <v>-6.1859999999999999</v>
      </c>
      <c r="J23">
        <v>16</v>
      </c>
      <c r="K23">
        <v>-3</v>
      </c>
      <c r="L23">
        <v>78</v>
      </c>
      <c r="M23">
        <v>2</v>
      </c>
      <c r="N23">
        <v>6</v>
      </c>
      <c r="O23">
        <v>2.5217000000000001</v>
      </c>
      <c r="P23">
        <v>8.9474</v>
      </c>
      <c r="Q23">
        <v>11.833299999999999</v>
      </c>
      <c r="R23">
        <v>3.5</v>
      </c>
    </row>
    <row r="24" spans="1:18" x14ac:dyDescent="0.25">
      <c r="A24" t="s">
        <v>4749</v>
      </c>
      <c r="B24" t="s">
        <v>589</v>
      </c>
      <c r="C24" t="s">
        <v>4704</v>
      </c>
      <c r="D24" s="4">
        <v>44972.791666666657</v>
      </c>
      <c r="E24" t="s">
        <v>4705</v>
      </c>
      <c r="F24" t="s">
        <v>4718</v>
      </c>
      <c r="G24" t="s">
        <v>2043</v>
      </c>
      <c r="H24">
        <v>22.716000000000001</v>
      </c>
      <c r="I24">
        <f t="shared" si="0"/>
        <v>22.716000000000001</v>
      </c>
      <c r="J24">
        <v>33</v>
      </c>
      <c r="K24">
        <v>1</v>
      </c>
      <c r="L24">
        <v>81</v>
      </c>
      <c r="M24">
        <v>0</v>
      </c>
      <c r="N24">
        <v>0</v>
      </c>
      <c r="O24">
        <v>13.7857</v>
      </c>
      <c r="P24">
        <v>25.263200000000001</v>
      </c>
      <c r="Q24">
        <v>30.352900000000002</v>
      </c>
      <c r="R24">
        <v>26.941199999999998</v>
      </c>
    </row>
    <row r="25" spans="1:18" x14ac:dyDescent="0.25">
      <c r="A25" t="s">
        <v>4750</v>
      </c>
      <c r="B25" t="s">
        <v>589</v>
      </c>
      <c r="C25" t="s">
        <v>4704</v>
      </c>
      <c r="D25" s="4">
        <v>44974.791666666657</v>
      </c>
      <c r="E25" t="s">
        <v>4705</v>
      </c>
      <c r="F25" t="s">
        <v>4721</v>
      </c>
      <c r="G25" t="s">
        <v>2115</v>
      </c>
      <c r="H25">
        <v>18.584299999999999</v>
      </c>
      <c r="I25">
        <f t="shared" si="0"/>
        <v>18.584299999999999</v>
      </c>
      <c r="J25">
        <v>32</v>
      </c>
      <c r="K25">
        <v>-2</v>
      </c>
      <c r="L25">
        <v>85</v>
      </c>
      <c r="M25">
        <v>2</v>
      </c>
      <c r="N25">
        <v>2</v>
      </c>
      <c r="O25">
        <v>5.5909000000000004</v>
      </c>
      <c r="P25">
        <v>17.652200000000001</v>
      </c>
      <c r="Q25">
        <v>25.681799999999999</v>
      </c>
      <c r="R25">
        <v>25.454499999999999</v>
      </c>
    </row>
    <row r="26" spans="1:18" x14ac:dyDescent="0.25">
      <c r="A26" t="s">
        <v>4751</v>
      </c>
      <c r="B26" t="s">
        <v>589</v>
      </c>
      <c r="C26" t="s">
        <v>4704</v>
      </c>
      <c r="D26" s="4">
        <v>44986.833333333343</v>
      </c>
      <c r="E26" t="s">
        <v>4706</v>
      </c>
      <c r="F26" t="s">
        <v>4705</v>
      </c>
      <c r="G26" t="s">
        <v>3838</v>
      </c>
      <c r="H26">
        <v>-2.6707000000000001</v>
      </c>
      <c r="I26">
        <f t="shared" si="0"/>
        <v>2.6707000000000001</v>
      </c>
      <c r="J26">
        <v>7</v>
      </c>
      <c r="K26">
        <v>-10</v>
      </c>
      <c r="L26">
        <v>20</v>
      </c>
      <c r="M26">
        <v>3</v>
      </c>
      <c r="N26">
        <v>59</v>
      </c>
      <c r="O26">
        <v>0.78259999999999996</v>
      </c>
      <c r="P26">
        <v>-0.55559999999999998</v>
      </c>
      <c r="Q26">
        <v>-5.4090999999999996</v>
      </c>
      <c r="R26">
        <v>-5.6841999999999997</v>
      </c>
    </row>
    <row r="27" spans="1:18" x14ac:dyDescent="0.25">
      <c r="A27" t="s">
        <v>4752</v>
      </c>
      <c r="B27" t="s">
        <v>589</v>
      </c>
      <c r="C27" t="s">
        <v>4704</v>
      </c>
      <c r="D27" s="4">
        <v>44999.833333333343</v>
      </c>
      <c r="E27" t="s">
        <v>4705</v>
      </c>
      <c r="F27" t="s">
        <v>4736</v>
      </c>
      <c r="G27" t="s">
        <v>2198</v>
      </c>
      <c r="H27">
        <v>5.5888999999999998</v>
      </c>
      <c r="I27">
        <f t="shared" si="0"/>
        <v>5.5888999999999998</v>
      </c>
      <c r="J27">
        <v>16</v>
      </c>
      <c r="K27">
        <v>-4</v>
      </c>
      <c r="L27">
        <v>75</v>
      </c>
      <c r="M27">
        <v>3</v>
      </c>
      <c r="N27">
        <v>12</v>
      </c>
      <c r="O27">
        <v>-0.61899999999999999</v>
      </c>
      <c r="P27">
        <v>6.7895000000000003</v>
      </c>
      <c r="Q27">
        <v>5.08</v>
      </c>
      <c r="R27">
        <v>10.4</v>
      </c>
    </row>
    <row r="28" spans="1:18" x14ac:dyDescent="0.25">
      <c r="A28" t="s">
        <v>4753</v>
      </c>
      <c r="B28" t="s">
        <v>589</v>
      </c>
      <c r="C28" t="s">
        <v>4704</v>
      </c>
      <c r="D28" s="4">
        <v>45006.833333333343</v>
      </c>
      <c r="E28" t="s">
        <v>4712</v>
      </c>
      <c r="F28" t="s">
        <v>4705</v>
      </c>
      <c r="G28" t="s">
        <v>4754</v>
      </c>
      <c r="H28">
        <v>-4.5426000000000002</v>
      </c>
      <c r="I28">
        <f t="shared" si="0"/>
        <v>4.5426000000000002</v>
      </c>
      <c r="J28">
        <v>1</v>
      </c>
      <c r="K28">
        <v>-10</v>
      </c>
      <c r="L28">
        <v>2</v>
      </c>
      <c r="M28">
        <v>3</v>
      </c>
      <c r="N28">
        <v>89</v>
      </c>
      <c r="O28">
        <v>-3</v>
      </c>
      <c r="P28">
        <v>-7.0434999999999999</v>
      </c>
      <c r="Q28">
        <v>-4.0769000000000002</v>
      </c>
      <c r="R28">
        <v>-4.0909000000000004</v>
      </c>
    </row>
    <row r="29" spans="1:18" x14ac:dyDescent="0.25">
      <c r="A29" t="s">
        <v>4755</v>
      </c>
      <c r="B29" t="s">
        <v>589</v>
      </c>
      <c r="C29" t="s">
        <v>4704</v>
      </c>
      <c r="D29" s="4">
        <v>45008.833333333343</v>
      </c>
      <c r="E29" t="s">
        <v>4730</v>
      </c>
      <c r="F29" t="s">
        <v>4705</v>
      </c>
      <c r="G29" t="s">
        <v>4756</v>
      </c>
      <c r="H29">
        <v>5.42</v>
      </c>
      <c r="I29">
        <f t="shared" si="0"/>
        <v>-5.42</v>
      </c>
      <c r="J29">
        <v>19</v>
      </c>
      <c r="K29">
        <v>-5</v>
      </c>
      <c r="L29">
        <v>72</v>
      </c>
      <c r="M29">
        <v>6</v>
      </c>
      <c r="N29">
        <v>22</v>
      </c>
      <c r="O29">
        <v>-1.6153999999999999</v>
      </c>
      <c r="P29">
        <v>3.2</v>
      </c>
      <c r="Q29">
        <v>6.92</v>
      </c>
      <c r="R29">
        <v>13.791700000000001</v>
      </c>
    </row>
    <row r="30" spans="1:18" x14ac:dyDescent="0.25">
      <c r="A30" t="s">
        <v>4757</v>
      </c>
      <c r="B30" t="s">
        <v>589</v>
      </c>
      <c r="C30" t="s">
        <v>4704</v>
      </c>
      <c r="D30" s="4">
        <v>45013.833333333343</v>
      </c>
      <c r="E30" t="s">
        <v>4705</v>
      </c>
      <c r="F30" t="s">
        <v>4732</v>
      </c>
      <c r="G30" t="s">
        <v>1631</v>
      </c>
      <c r="H30">
        <v>-0.8478</v>
      </c>
      <c r="I30">
        <f t="shared" si="0"/>
        <v>-0.8478</v>
      </c>
      <c r="J30">
        <v>6</v>
      </c>
      <c r="K30">
        <v>-7</v>
      </c>
      <c r="L30">
        <v>29</v>
      </c>
      <c r="M30">
        <v>7</v>
      </c>
      <c r="N30">
        <v>56</v>
      </c>
      <c r="O30">
        <v>-2.56</v>
      </c>
      <c r="P30">
        <v>1.3182</v>
      </c>
      <c r="Q30">
        <v>-2.3332999999999999</v>
      </c>
      <c r="R30">
        <v>0.25</v>
      </c>
    </row>
    <row r="31" spans="1:18" x14ac:dyDescent="0.25">
      <c r="A31" t="s">
        <v>4758</v>
      </c>
      <c r="B31" t="s">
        <v>589</v>
      </c>
      <c r="C31" t="s">
        <v>4704</v>
      </c>
      <c r="D31" s="4">
        <v>45016.791666666657</v>
      </c>
      <c r="E31" t="s">
        <v>4705</v>
      </c>
      <c r="F31" t="s">
        <v>4734</v>
      </c>
      <c r="G31" t="s">
        <v>2352</v>
      </c>
      <c r="H31">
        <v>-0.92130000000000001</v>
      </c>
      <c r="I31">
        <f t="shared" si="0"/>
        <v>-0.92130000000000001</v>
      </c>
      <c r="J31">
        <v>9</v>
      </c>
      <c r="K31">
        <v>-8</v>
      </c>
      <c r="L31">
        <v>24</v>
      </c>
      <c r="M31">
        <v>7</v>
      </c>
      <c r="N31">
        <v>58</v>
      </c>
      <c r="O31">
        <v>-2.3809999999999998</v>
      </c>
      <c r="P31">
        <v>-1.4231</v>
      </c>
      <c r="Q31">
        <v>4.4211</v>
      </c>
      <c r="R31">
        <v>-3.4348000000000001</v>
      </c>
    </row>
    <row r="32" spans="1:18" x14ac:dyDescent="0.25">
      <c r="A32" t="s">
        <v>4759</v>
      </c>
      <c r="B32" t="s">
        <v>589</v>
      </c>
      <c r="C32" t="s">
        <v>4704</v>
      </c>
      <c r="D32" s="4">
        <v>45019.791666666657</v>
      </c>
      <c r="E32" t="s">
        <v>4705</v>
      </c>
      <c r="F32" t="s">
        <v>4728</v>
      </c>
      <c r="G32" t="s">
        <v>2394</v>
      </c>
      <c r="H32">
        <v>11.7826</v>
      </c>
      <c r="I32">
        <f t="shared" si="0"/>
        <v>11.7826</v>
      </c>
      <c r="J32">
        <v>35</v>
      </c>
      <c r="K32">
        <v>-3</v>
      </c>
      <c r="L32">
        <v>83</v>
      </c>
      <c r="M32">
        <v>4</v>
      </c>
      <c r="N32">
        <v>5</v>
      </c>
      <c r="O32">
        <v>2.8260999999999998</v>
      </c>
      <c r="P32">
        <v>1.6667000000000001</v>
      </c>
      <c r="Q32">
        <v>15.6364</v>
      </c>
      <c r="R32">
        <v>24.615400000000001</v>
      </c>
    </row>
    <row r="33" spans="1:18" x14ac:dyDescent="0.25">
      <c r="A33" t="s">
        <v>4760</v>
      </c>
      <c r="B33" t="s">
        <v>589</v>
      </c>
      <c r="C33" t="s">
        <v>4704</v>
      </c>
      <c r="D33" s="4">
        <v>45022.802083333343</v>
      </c>
      <c r="E33" t="s">
        <v>4739</v>
      </c>
      <c r="F33" t="s">
        <v>4705</v>
      </c>
      <c r="G33" t="s">
        <v>2284</v>
      </c>
      <c r="H33">
        <v>-6.0778999999999996</v>
      </c>
      <c r="I33">
        <f t="shared" si="0"/>
        <v>6.0778999999999996</v>
      </c>
      <c r="J33">
        <v>-1</v>
      </c>
      <c r="K33">
        <v>-13</v>
      </c>
      <c r="L33">
        <v>0</v>
      </c>
      <c r="M33">
        <v>0</v>
      </c>
      <c r="N33">
        <v>77</v>
      </c>
      <c r="O33">
        <v>-6.1111000000000004</v>
      </c>
      <c r="P33">
        <v>-6.5881999999999996</v>
      </c>
      <c r="Q33">
        <v>-5.2272999999999996</v>
      </c>
      <c r="R33">
        <v>-6.55</v>
      </c>
    </row>
    <row r="34" spans="1:18" x14ac:dyDescent="0.25">
      <c r="A34" t="s">
        <v>4761</v>
      </c>
      <c r="B34" t="s">
        <v>589</v>
      </c>
      <c r="C34" t="s">
        <v>4704</v>
      </c>
      <c r="D34" s="4">
        <v>45024.625</v>
      </c>
      <c r="E34" t="s">
        <v>4726</v>
      </c>
      <c r="F34" t="s">
        <v>4705</v>
      </c>
      <c r="G34" t="s">
        <v>2627</v>
      </c>
      <c r="H34">
        <v>0.1648</v>
      </c>
      <c r="I34">
        <f t="shared" ref="I34:I65" si="1">IF(E34="MIN",H34,-H34)</f>
        <v>-0.1648</v>
      </c>
      <c r="J34">
        <v>12</v>
      </c>
      <c r="K34">
        <v>-14</v>
      </c>
      <c r="L34">
        <v>50</v>
      </c>
      <c r="M34">
        <v>5</v>
      </c>
      <c r="N34">
        <v>36</v>
      </c>
      <c r="O34">
        <v>0.25</v>
      </c>
      <c r="P34">
        <v>-9.4762000000000004</v>
      </c>
      <c r="Q34">
        <v>0.35</v>
      </c>
      <c r="R34">
        <v>5.9706000000000001</v>
      </c>
    </row>
    <row r="35" spans="1:18" x14ac:dyDescent="0.25">
      <c r="A35" t="s">
        <v>4762</v>
      </c>
      <c r="B35" t="s">
        <v>589</v>
      </c>
      <c r="C35" t="s">
        <v>4704</v>
      </c>
      <c r="D35" s="4">
        <v>45043.833333333343</v>
      </c>
      <c r="E35" t="s">
        <v>4705</v>
      </c>
      <c r="F35" t="s">
        <v>4728</v>
      </c>
      <c r="G35" t="s">
        <v>2509</v>
      </c>
      <c r="H35">
        <v>1.9048</v>
      </c>
      <c r="I35">
        <f t="shared" si="1"/>
        <v>1.9048</v>
      </c>
      <c r="J35">
        <v>13</v>
      </c>
      <c r="K35">
        <v>-6</v>
      </c>
      <c r="L35">
        <v>48</v>
      </c>
      <c r="M35">
        <v>11</v>
      </c>
      <c r="N35">
        <v>25</v>
      </c>
      <c r="O35">
        <v>7.0416999999999996</v>
      </c>
      <c r="P35">
        <v>1.25</v>
      </c>
      <c r="Q35">
        <v>0.3</v>
      </c>
      <c r="R35">
        <v>-1.4582999999999999</v>
      </c>
    </row>
    <row r="36" spans="1:18" x14ac:dyDescent="0.25">
      <c r="A36" t="s">
        <v>4763</v>
      </c>
      <c r="B36" t="s">
        <v>589</v>
      </c>
      <c r="C36" t="s">
        <v>4704</v>
      </c>
      <c r="D36" s="4">
        <v>45046.8125</v>
      </c>
      <c r="E36" t="s">
        <v>4728</v>
      </c>
      <c r="F36" t="s">
        <v>4705</v>
      </c>
      <c r="G36" t="s">
        <v>674</v>
      </c>
      <c r="H36">
        <v>3.9540000000000002</v>
      </c>
      <c r="I36">
        <f t="shared" si="1"/>
        <v>-3.9540000000000002</v>
      </c>
      <c r="J36">
        <v>15</v>
      </c>
      <c r="K36">
        <v>-4</v>
      </c>
      <c r="L36">
        <v>61</v>
      </c>
      <c r="M36">
        <v>5</v>
      </c>
      <c r="N36">
        <v>21</v>
      </c>
      <c r="O36">
        <v>7.96</v>
      </c>
      <c r="P36">
        <v>7.3</v>
      </c>
      <c r="Q36">
        <v>1.8095000000000001</v>
      </c>
      <c r="R36">
        <v>-1.8571</v>
      </c>
    </row>
    <row r="37" spans="1:18" x14ac:dyDescent="0.25">
      <c r="A37" t="s">
        <v>4764</v>
      </c>
      <c r="B37" t="s">
        <v>589</v>
      </c>
      <c r="C37" t="s">
        <v>4704</v>
      </c>
      <c r="D37" s="4">
        <v>45048.833333333343</v>
      </c>
      <c r="E37" t="s">
        <v>4728</v>
      </c>
      <c r="F37" t="s">
        <v>4705</v>
      </c>
      <c r="G37" t="s">
        <v>3994</v>
      </c>
      <c r="H37">
        <v>5.65</v>
      </c>
      <c r="I37">
        <f t="shared" si="1"/>
        <v>-5.65</v>
      </c>
      <c r="J37">
        <v>12</v>
      </c>
      <c r="K37">
        <v>-3</v>
      </c>
      <c r="L37">
        <v>73</v>
      </c>
      <c r="M37">
        <v>3</v>
      </c>
      <c r="N37">
        <v>4</v>
      </c>
      <c r="O37">
        <v>2.5499999999999998</v>
      </c>
      <c r="P37">
        <v>8.4443999999999999</v>
      </c>
      <c r="Q37">
        <v>6.9130000000000003</v>
      </c>
      <c r="R37">
        <v>5.9286000000000003</v>
      </c>
    </row>
    <row r="38" spans="1:18" x14ac:dyDescent="0.25">
      <c r="A38" t="s">
        <v>4765</v>
      </c>
      <c r="B38" t="s">
        <v>589</v>
      </c>
      <c r="C38" t="s">
        <v>4704</v>
      </c>
      <c r="D38" s="4">
        <v>45053.729166666657</v>
      </c>
      <c r="E38" t="s">
        <v>4705</v>
      </c>
      <c r="F38" t="s">
        <v>4728</v>
      </c>
      <c r="G38" t="s">
        <v>2591</v>
      </c>
      <c r="H38">
        <v>-2.4567999999999999</v>
      </c>
      <c r="I38">
        <f t="shared" si="1"/>
        <v>-2.4567999999999999</v>
      </c>
      <c r="J38">
        <v>8</v>
      </c>
      <c r="K38">
        <v>-21</v>
      </c>
      <c r="L38">
        <v>44</v>
      </c>
      <c r="M38">
        <v>2</v>
      </c>
      <c r="N38">
        <v>35</v>
      </c>
      <c r="O38">
        <v>3.5</v>
      </c>
      <c r="P38">
        <v>5.3333000000000004</v>
      </c>
      <c r="Q38">
        <v>-3.1053000000000002</v>
      </c>
      <c r="R38">
        <v>-14.7273</v>
      </c>
    </row>
    <row r="39" spans="1:18" x14ac:dyDescent="0.25">
      <c r="A39" t="s">
        <v>4766</v>
      </c>
      <c r="B39" t="s">
        <v>589</v>
      </c>
      <c r="C39" t="s">
        <v>4704</v>
      </c>
      <c r="D39" s="4">
        <v>45055.791666666657</v>
      </c>
      <c r="E39" t="s">
        <v>4705</v>
      </c>
      <c r="F39" t="s">
        <v>4728</v>
      </c>
      <c r="G39" t="s">
        <v>2606</v>
      </c>
      <c r="H39">
        <v>4.5857000000000001</v>
      </c>
      <c r="I39">
        <f t="shared" si="1"/>
        <v>4.5857000000000001</v>
      </c>
      <c r="J39">
        <v>13</v>
      </c>
      <c r="K39">
        <v>-2</v>
      </c>
      <c r="L39">
        <v>63</v>
      </c>
      <c r="M39">
        <v>3</v>
      </c>
      <c r="N39">
        <v>4</v>
      </c>
      <c r="O39">
        <v>4.4286000000000003</v>
      </c>
      <c r="P39">
        <v>2.8420999999999998</v>
      </c>
      <c r="Q39">
        <v>3.25</v>
      </c>
      <c r="R39">
        <v>6.64</v>
      </c>
    </row>
    <row r="40" spans="1:18" x14ac:dyDescent="0.25">
      <c r="A40" t="s">
        <v>4767</v>
      </c>
      <c r="B40" t="s">
        <v>589</v>
      </c>
      <c r="C40" t="s">
        <v>4704</v>
      </c>
      <c r="D40" s="4">
        <v>45059.625</v>
      </c>
      <c r="E40" t="s">
        <v>4712</v>
      </c>
      <c r="F40" t="s">
        <v>4705</v>
      </c>
      <c r="G40" t="s">
        <v>4768</v>
      </c>
      <c r="H40">
        <v>-4.45</v>
      </c>
      <c r="I40">
        <f t="shared" si="1"/>
        <v>4.45</v>
      </c>
      <c r="J40">
        <v>5</v>
      </c>
      <c r="K40">
        <v>-17</v>
      </c>
      <c r="L40">
        <v>26</v>
      </c>
      <c r="M40">
        <v>7</v>
      </c>
      <c r="N40">
        <v>67</v>
      </c>
      <c r="O40">
        <v>-1.6153999999999999</v>
      </c>
      <c r="P40">
        <v>1.9615</v>
      </c>
      <c r="Q40">
        <v>-10.315799999999999</v>
      </c>
      <c r="R40">
        <v>-8.8965999999999994</v>
      </c>
    </row>
    <row r="41" spans="1:18" x14ac:dyDescent="0.25">
      <c r="A41" t="s">
        <v>4769</v>
      </c>
      <c r="B41" t="s">
        <v>589</v>
      </c>
      <c r="C41" t="s">
        <v>4704</v>
      </c>
      <c r="D41" s="4">
        <v>45062.8125</v>
      </c>
      <c r="E41" t="s">
        <v>4705</v>
      </c>
      <c r="F41" t="s">
        <v>4712</v>
      </c>
      <c r="G41" t="s">
        <v>2698</v>
      </c>
      <c r="H41">
        <v>12.235300000000001</v>
      </c>
      <c r="I41">
        <f t="shared" si="1"/>
        <v>12.235300000000001</v>
      </c>
      <c r="J41">
        <v>21</v>
      </c>
      <c r="K41">
        <v>3</v>
      </c>
      <c r="L41">
        <v>102</v>
      </c>
      <c r="M41">
        <v>0</v>
      </c>
      <c r="N41">
        <v>0</v>
      </c>
      <c r="O41">
        <v>6.6295999999999999</v>
      </c>
      <c r="P41">
        <v>15.222200000000001</v>
      </c>
      <c r="Q41">
        <v>13.6364</v>
      </c>
      <c r="R41">
        <v>13.7692</v>
      </c>
    </row>
    <row r="42" spans="1:18" x14ac:dyDescent="0.25">
      <c r="A42" t="s">
        <v>4770</v>
      </c>
      <c r="B42" t="s">
        <v>589</v>
      </c>
      <c r="C42" t="s">
        <v>4704</v>
      </c>
      <c r="D42" s="4">
        <v>45064.8125</v>
      </c>
      <c r="E42" t="s">
        <v>4705</v>
      </c>
      <c r="F42" t="s">
        <v>4712</v>
      </c>
      <c r="G42" t="s">
        <v>2720</v>
      </c>
      <c r="H42">
        <v>1.9504999999999999</v>
      </c>
      <c r="I42">
        <f t="shared" si="1"/>
        <v>1.9504999999999999</v>
      </c>
      <c r="J42">
        <v>13</v>
      </c>
      <c r="K42">
        <v>-6</v>
      </c>
      <c r="L42">
        <v>60</v>
      </c>
      <c r="M42">
        <v>7</v>
      </c>
      <c r="N42">
        <v>34</v>
      </c>
      <c r="O42">
        <v>-0.9677</v>
      </c>
      <c r="P42">
        <v>7.15</v>
      </c>
      <c r="Q42">
        <v>4.88</v>
      </c>
      <c r="R42">
        <v>-1.52</v>
      </c>
    </row>
    <row r="43" spans="1:18" x14ac:dyDescent="0.25">
      <c r="A43" t="s">
        <v>4771</v>
      </c>
      <c r="B43" t="s">
        <v>589</v>
      </c>
      <c r="C43" t="s">
        <v>4704</v>
      </c>
      <c r="D43" s="4">
        <v>45067.8125</v>
      </c>
      <c r="E43" t="s">
        <v>4712</v>
      </c>
      <c r="F43" t="s">
        <v>4705</v>
      </c>
      <c r="G43" t="s">
        <v>557</v>
      </c>
      <c r="H43">
        <v>0.58589999999999998</v>
      </c>
      <c r="I43">
        <f t="shared" si="1"/>
        <v>-0.58589999999999998</v>
      </c>
      <c r="J43">
        <v>11</v>
      </c>
      <c r="K43">
        <v>-10</v>
      </c>
      <c r="L43">
        <v>48</v>
      </c>
      <c r="M43">
        <v>12</v>
      </c>
      <c r="N43">
        <v>39</v>
      </c>
      <c r="O43">
        <v>0.15</v>
      </c>
      <c r="P43">
        <v>-4.4000000000000004</v>
      </c>
      <c r="Q43">
        <v>5.3929</v>
      </c>
      <c r="R43">
        <v>0.53849999999999998</v>
      </c>
    </row>
    <row r="44" spans="1:18" x14ac:dyDescent="0.25">
      <c r="A44" t="s">
        <v>4772</v>
      </c>
      <c r="B44" t="s">
        <v>589</v>
      </c>
      <c r="C44" t="s">
        <v>4704</v>
      </c>
      <c r="D44" s="4">
        <v>45069.8125</v>
      </c>
      <c r="E44" t="s">
        <v>4712</v>
      </c>
      <c r="F44" t="s">
        <v>4705</v>
      </c>
      <c r="G44" t="s">
        <v>4563</v>
      </c>
      <c r="H44">
        <v>-7.5777999999999999</v>
      </c>
      <c r="I44">
        <f t="shared" si="1"/>
        <v>7.5777999999999999</v>
      </c>
      <c r="J44">
        <v>1</v>
      </c>
      <c r="K44">
        <v>-16</v>
      </c>
      <c r="L44">
        <v>2</v>
      </c>
      <c r="M44">
        <v>1</v>
      </c>
      <c r="N44">
        <v>87</v>
      </c>
      <c r="O44">
        <v>-9.9582999999999995</v>
      </c>
      <c r="P44">
        <v>-4.0833000000000004</v>
      </c>
      <c r="Q44">
        <v>-6.72</v>
      </c>
      <c r="R44">
        <v>-10.411799999999999</v>
      </c>
    </row>
    <row r="45" spans="1:18" x14ac:dyDescent="0.25">
      <c r="A45" t="s">
        <v>4773</v>
      </c>
      <c r="B45" t="s">
        <v>2702</v>
      </c>
      <c r="C45" t="s">
        <v>4774</v>
      </c>
      <c r="D45" s="4">
        <v>45212.833333333343</v>
      </c>
      <c r="E45" t="s">
        <v>4706</v>
      </c>
      <c r="F45" t="s">
        <v>4705</v>
      </c>
      <c r="G45" t="s">
        <v>4499</v>
      </c>
      <c r="H45">
        <v>7.8414999999999999</v>
      </c>
      <c r="I45">
        <f t="shared" si="1"/>
        <v>-7.8414999999999999</v>
      </c>
      <c r="J45">
        <v>19</v>
      </c>
      <c r="K45">
        <v>-3</v>
      </c>
      <c r="L45">
        <v>62</v>
      </c>
      <c r="M45">
        <v>6</v>
      </c>
      <c r="N45">
        <v>14</v>
      </c>
      <c r="O45">
        <v>-0.3448</v>
      </c>
      <c r="P45">
        <v>9.0832999999999995</v>
      </c>
      <c r="Q45">
        <v>13.764699999999999</v>
      </c>
      <c r="R45">
        <v>16.75</v>
      </c>
    </row>
    <row r="46" spans="1:18" x14ac:dyDescent="0.25">
      <c r="A46" t="s">
        <v>4775</v>
      </c>
      <c r="B46" t="s">
        <v>2702</v>
      </c>
      <c r="C46" t="s">
        <v>4774</v>
      </c>
      <c r="D46" s="4">
        <v>45220.666666666657</v>
      </c>
      <c r="E46" t="s">
        <v>4776</v>
      </c>
      <c r="F46" t="s">
        <v>4705</v>
      </c>
      <c r="G46" t="s">
        <v>4777</v>
      </c>
      <c r="H46">
        <v>12.9398</v>
      </c>
      <c r="I46">
        <f t="shared" si="1"/>
        <v>-12.9398</v>
      </c>
      <c r="J46">
        <v>28</v>
      </c>
      <c r="K46">
        <v>-7</v>
      </c>
      <c r="L46">
        <v>68</v>
      </c>
      <c r="M46">
        <v>3</v>
      </c>
      <c r="N46">
        <v>12</v>
      </c>
      <c r="O46">
        <v>-0.32</v>
      </c>
      <c r="P46">
        <v>12.066700000000001</v>
      </c>
      <c r="Q46">
        <v>22.235299999999999</v>
      </c>
      <c r="R46">
        <v>20.115400000000001</v>
      </c>
    </row>
    <row r="47" spans="1:18" x14ac:dyDescent="0.25">
      <c r="A47" t="s">
        <v>4778</v>
      </c>
      <c r="B47" t="s">
        <v>2702</v>
      </c>
      <c r="C47" t="s">
        <v>4774</v>
      </c>
      <c r="D47" s="4">
        <v>45222.833333333343</v>
      </c>
      <c r="E47" t="s">
        <v>4779</v>
      </c>
      <c r="F47" t="s">
        <v>4705</v>
      </c>
      <c r="G47" t="s">
        <v>1242</v>
      </c>
      <c r="H47">
        <v>3.3382000000000001</v>
      </c>
      <c r="I47">
        <f t="shared" si="1"/>
        <v>-3.3382000000000001</v>
      </c>
      <c r="J47">
        <v>16</v>
      </c>
      <c r="K47">
        <v>-12</v>
      </c>
      <c r="L47">
        <v>41</v>
      </c>
      <c r="M47">
        <v>7</v>
      </c>
      <c r="N47">
        <v>20</v>
      </c>
      <c r="O47">
        <v>0.88239999999999996</v>
      </c>
      <c r="P47">
        <v>-6.4706000000000001</v>
      </c>
      <c r="Q47">
        <v>7.35</v>
      </c>
      <c r="R47">
        <v>12.5</v>
      </c>
    </row>
    <row r="48" spans="1:18" x14ac:dyDescent="0.25">
      <c r="A48" t="s">
        <v>4780</v>
      </c>
      <c r="B48" t="s">
        <v>2702</v>
      </c>
      <c r="C48" t="s">
        <v>4774</v>
      </c>
      <c r="D48" s="4">
        <v>45238.8125</v>
      </c>
      <c r="E48" t="s">
        <v>4724</v>
      </c>
      <c r="F48" t="s">
        <v>4705</v>
      </c>
      <c r="G48" t="s">
        <v>291</v>
      </c>
      <c r="H48">
        <v>3.1023000000000001</v>
      </c>
      <c r="I48">
        <f t="shared" si="1"/>
        <v>-3.1023000000000001</v>
      </c>
      <c r="J48">
        <v>16</v>
      </c>
      <c r="K48">
        <v>-5</v>
      </c>
      <c r="L48">
        <v>52</v>
      </c>
      <c r="M48">
        <v>7</v>
      </c>
      <c r="N48">
        <v>29</v>
      </c>
      <c r="O48">
        <v>1.9</v>
      </c>
      <c r="P48">
        <v>-1.7082999999999999</v>
      </c>
      <c r="Q48">
        <v>1.7273000000000001</v>
      </c>
      <c r="R48">
        <v>10.818199999999999</v>
      </c>
    </row>
    <row r="49" spans="1:18" x14ac:dyDescent="0.25">
      <c r="A49" t="s">
        <v>4781</v>
      </c>
      <c r="B49" t="s">
        <v>2702</v>
      </c>
      <c r="C49" t="s">
        <v>4774</v>
      </c>
      <c r="D49" s="4">
        <v>45240.833333333343</v>
      </c>
      <c r="E49" t="s">
        <v>4782</v>
      </c>
      <c r="F49" t="s">
        <v>4705</v>
      </c>
      <c r="G49" t="s">
        <v>856</v>
      </c>
      <c r="H49">
        <v>6.9166999999999996</v>
      </c>
      <c r="I49">
        <f t="shared" si="1"/>
        <v>-6.9166999999999996</v>
      </c>
      <c r="J49">
        <v>18</v>
      </c>
      <c r="K49">
        <v>-4</v>
      </c>
      <c r="L49">
        <v>74</v>
      </c>
      <c r="M49">
        <v>3</v>
      </c>
      <c r="N49">
        <v>7</v>
      </c>
      <c r="O49">
        <v>1.5333000000000001</v>
      </c>
      <c r="P49">
        <v>14.454499999999999</v>
      </c>
      <c r="Q49">
        <v>5.3</v>
      </c>
      <c r="R49">
        <v>4.9630000000000001</v>
      </c>
    </row>
    <row r="50" spans="1:18" x14ac:dyDescent="0.25">
      <c r="A50" t="s">
        <v>4783</v>
      </c>
      <c r="B50" t="s">
        <v>2702</v>
      </c>
      <c r="C50" t="s">
        <v>4774</v>
      </c>
      <c r="D50" s="4">
        <v>45246.791666666657</v>
      </c>
      <c r="E50" t="s">
        <v>4705</v>
      </c>
      <c r="F50" t="s">
        <v>4710</v>
      </c>
      <c r="G50" t="s">
        <v>2961</v>
      </c>
      <c r="H50">
        <v>11.935499999999999</v>
      </c>
      <c r="I50">
        <f t="shared" si="1"/>
        <v>11.935499999999999</v>
      </c>
      <c r="J50">
        <v>23</v>
      </c>
      <c r="K50">
        <v>0</v>
      </c>
      <c r="L50">
        <v>90</v>
      </c>
      <c r="M50">
        <v>3</v>
      </c>
      <c r="N50">
        <v>0</v>
      </c>
      <c r="O50">
        <v>5.15</v>
      </c>
      <c r="P50">
        <v>9.3214000000000006</v>
      </c>
      <c r="Q50">
        <v>13.6957</v>
      </c>
      <c r="R50">
        <v>19.590900000000001</v>
      </c>
    </row>
    <row r="51" spans="1:18" x14ac:dyDescent="0.25">
      <c r="A51" t="s">
        <v>4784</v>
      </c>
      <c r="B51" t="s">
        <v>2702</v>
      </c>
      <c r="C51" t="s">
        <v>4774</v>
      </c>
      <c r="D51" s="4">
        <v>45248.708333333343</v>
      </c>
      <c r="E51" t="s">
        <v>4705</v>
      </c>
      <c r="F51" t="s">
        <v>4712</v>
      </c>
      <c r="G51" t="s">
        <v>149</v>
      </c>
      <c r="H51">
        <v>-2.1446000000000001</v>
      </c>
      <c r="I51">
        <f t="shared" si="1"/>
        <v>-2.1446000000000001</v>
      </c>
      <c r="J51">
        <v>8</v>
      </c>
      <c r="K51">
        <v>-11</v>
      </c>
      <c r="L51">
        <v>30</v>
      </c>
      <c r="M51">
        <v>4</v>
      </c>
      <c r="N51">
        <v>49</v>
      </c>
      <c r="O51">
        <v>2.3332999999999999</v>
      </c>
      <c r="P51">
        <v>3.3889</v>
      </c>
      <c r="Q51">
        <v>-6.0869999999999997</v>
      </c>
      <c r="R51">
        <v>-7.0476000000000001</v>
      </c>
    </row>
    <row r="52" spans="1:18" x14ac:dyDescent="0.25">
      <c r="A52" t="s">
        <v>4785</v>
      </c>
      <c r="B52" t="s">
        <v>2702</v>
      </c>
      <c r="C52" t="s">
        <v>4774</v>
      </c>
      <c r="D52" s="4">
        <v>45253.833333333343</v>
      </c>
      <c r="E52" t="s">
        <v>4736</v>
      </c>
      <c r="F52" t="s">
        <v>4705</v>
      </c>
      <c r="G52" t="s">
        <v>2774</v>
      </c>
      <c r="H52">
        <v>9.3972999999999995</v>
      </c>
      <c r="I52">
        <f t="shared" si="1"/>
        <v>-9.3972999999999995</v>
      </c>
      <c r="J52">
        <v>16</v>
      </c>
      <c r="K52">
        <v>2</v>
      </c>
      <c r="L52">
        <v>73</v>
      </c>
      <c r="M52">
        <v>0</v>
      </c>
      <c r="N52">
        <v>0</v>
      </c>
      <c r="O52">
        <v>6.3042999999999996</v>
      </c>
      <c r="P52">
        <v>10.823499999999999</v>
      </c>
      <c r="Q52">
        <v>11.8667</v>
      </c>
      <c r="R52">
        <v>9.9443999999999999</v>
      </c>
    </row>
    <row r="53" spans="1:18" x14ac:dyDescent="0.25">
      <c r="A53" t="s">
        <v>4786</v>
      </c>
      <c r="B53" t="s">
        <v>2702</v>
      </c>
      <c r="C53" t="s">
        <v>4774</v>
      </c>
      <c r="D53" s="4">
        <v>45255.75</v>
      </c>
      <c r="E53" t="s">
        <v>4728</v>
      </c>
      <c r="F53" t="s">
        <v>4705</v>
      </c>
      <c r="G53" t="s">
        <v>4787</v>
      </c>
      <c r="H53">
        <v>11.529400000000001</v>
      </c>
      <c r="I53">
        <f t="shared" si="1"/>
        <v>-11.529400000000001</v>
      </c>
      <c r="J53">
        <v>20</v>
      </c>
      <c r="K53">
        <v>-1</v>
      </c>
      <c r="L53">
        <v>83</v>
      </c>
      <c r="M53">
        <v>1</v>
      </c>
      <c r="N53">
        <v>1</v>
      </c>
      <c r="O53">
        <v>7.4443999999999999</v>
      </c>
      <c r="P53">
        <v>13.875</v>
      </c>
      <c r="Q53">
        <v>11.952400000000001</v>
      </c>
      <c r="R53">
        <v>11.9091</v>
      </c>
    </row>
    <row r="54" spans="1:18" x14ac:dyDescent="0.25">
      <c r="A54" t="s">
        <v>4788</v>
      </c>
      <c r="B54" t="s">
        <v>2702</v>
      </c>
      <c r="C54" t="s">
        <v>4774</v>
      </c>
      <c r="D54" s="4">
        <v>45259.791666666657</v>
      </c>
      <c r="E54" t="s">
        <v>4705</v>
      </c>
      <c r="F54" t="s">
        <v>4739</v>
      </c>
      <c r="G54" t="s">
        <v>2509</v>
      </c>
      <c r="H54">
        <v>2.5333000000000001</v>
      </c>
      <c r="I54">
        <f t="shared" si="1"/>
        <v>2.5333000000000001</v>
      </c>
      <c r="J54">
        <v>10</v>
      </c>
      <c r="K54">
        <v>-4</v>
      </c>
      <c r="L54">
        <v>63</v>
      </c>
      <c r="M54">
        <v>7</v>
      </c>
      <c r="N54">
        <v>20</v>
      </c>
      <c r="O54">
        <v>1.75</v>
      </c>
      <c r="P54">
        <v>6.5</v>
      </c>
      <c r="Q54">
        <v>2.4762</v>
      </c>
      <c r="R54">
        <v>-7.4099999999999999E-2</v>
      </c>
    </row>
    <row r="55" spans="1:18" x14ac:dyDescent="0.25">
      <c r="A55" t="s">
        <v>4789</v>
      </c>
      <c r="B55" t="s">
        <v>2702</v>
      </c>
      <c r="C55" t="s">
        <v>4774</v>
      </c>
      <c r="D55" s="4">
        <v>45261.791666666657</v>
      </c>
      <c r="E55" t="s">
        <v>4705</v>
      </c>
      <c r="F55" t="s">
        <v>4726</v>
      </c>
      <c r="G55" t="s">
        <v>3080</v>
      </c>
      <c r="H55">
        <v>10.478300000000001</v>
      </c>
      <c r="I55">
        <f t="shared" si="1"/>
        <v>10.478300000000001</v>
      </c>
      <c r="J55">
        <v>24</v>
      </c>
      <c r="K55">
        <v>-2</v>
      </c>
      <c r="L55">
        <v>85</v>
      </c>
      <c r="M55">
        <v>4</v>
      </c>
      <c r="N55">
        <v>3</v>
      </c>
      <c r="O55">
        <v>7.0713999999999997</v>
      </c>
      <c r="P55">
        <v>16.555599999999998</v>
      </c>
      <c r="Q55">
        <v>16.608699999999999</v>
      </c>
      <c r="R55">
        <v>3.7391000000000001</v>
      </c>
    </row>
    <row r="56" spans="1:18" x14ac:dyDescent="0.25">
      <c r="A56" t="s">
        <v>4790</v>
      </c>
      <c r="B56" t="s">
        <v>2702</v>
      </c>
      <c r="C56" t="s">
        <v>4774</v>
      </c>
      <c r="D56" s="4">
        <v>45266.791666666657</v>
      </c>
      <c r="E56" t="s">
        <v>4705</v>
      </c>
      <c r="F56" t="s">
        <v>4718</v>
      </c>
      <c r="G56" t="s">
        <v>513</v>
      </c>
      <c r="H56">
        <v>-1.4308000000000001</v>
      </c>
      <c r="I56">
        <f t="shared" si="1"/>
        <v>-1.4308000000000001</v>
      </c>
      <c r="J56">
        <v>9</v>
      </c>
      <c r="K56">
        <v>-10</v>
      </c>
      <c r="L56">
        <v>20</v>
      </c>
      <c r="M56">
        <v>3</v>
      </c>
      <c r="N56">
        <v>42</v>
      </c>
      <c r="O56">
        <v>3.7618999999999998</v>
      </c>
      <c r="P56">
        <v>-4.2632000000000003</v>
      </c>
      <c r="Q56">
        <v>-4.75</v>
      </c>
      <c r="R56">
        <v>-2.6154000000000002</v>
      </c>
    </row>
    <row r="57" spans="1:18" x14ac:dyDescent="0.25">
      <c r="A57" t="s">
        <v>4791</v>
      </c>
      <c r="B57" t="s">
        <v>2702</v>
      </c>
      <c r="C57" t="s">
        <v>4774</v>
      </c>
      <c r="D57" s="4">
        <v>45274.791666666657</v>
      </c>
      <c r="E57" t="s">
        <v>4732</v>
      </c>
      <c r="F57" t="s">
        <v>4705</v>
      </c>
      <c r="G57" t="s">
        <v>4792</v>
      </c>
      <c r="H57">
        <v>-1.64</v>
      </c>
      <c r="I57">
        <f t="shared" si="1"/>
        <v>1.64</v>
      </c>
      <c r="J57">
        <v>13</v>
      </c>
      <c r="K57">
        <v>-17</v>
      </c>
      <c r="L57">
        <v>47</v>
      </c>
      <c r="M57">
        <v>6</v>
      </c>
      <c r="N57">
        <v>47</v>
      </c>
      <c r="O57">
        <v>3.8</v>
      </c>
      <c r="P57">
        <v>7.5926</v>
      </c>
      <c r="Q57">
        <v>-6.6154000000000002</v>
      </c>
      <c r="R57">
        <v>-13.2727</v>
      </c>
    </row>
    <row r="58" spans="1:18" x14ac:dyDescent="0.25">
      <c r="A58" t="s">
        <v>4793</v>
      </c>
      <c r="B58" t="s">
        <v>2702</v>
      </c>
      <c r="C58" t="s">
        <v>4774</v>
      </c>
      <c r="D58" s="4">
        <v>45276.708333333343</v>
      </c>
      <c r="E58" t="s">
        <v>4708</v>
      </c>
      <c r="F58" t="s">
        <v>4705</v>
      </c>
      <c r="G58" t="s">
        <v>4794</v>
      </c>
      <c r="H58">
        <v>14.6875</v>
      </c>
      <c r="I58">
        <f t="shared" si="1"/>
        <v>-14.6875</v>
      </c>
      <c r="J58">
        <v>30</v>
      </c>
      <c r="K58">
        <v>1</v>
      </c>
      <c r="L58">
        <v>80</v>
      </c>
      <c r="M58">
        <v>0</v>
      </c>
      <c r="N58">
        <v>0</v>
      </c>
      <c r="O58">
        <v>5.0416999999999996</v>
      </c>
      <c r="P58">
        <v>12.05</v>
      </c>
      <c r="Q58">
        <v>18.7895</v>
      </c>
      <c r="R58">
        <v>26.823499999999999</v>
      </c>
    </row>
    <row r="59" spans="1:18" x14ac:dyDescent="0.25">
      <c r="A59" t="s">
        <v>4795</v>
      </c>
      <c r="B59" t="s">
        <v>2702</v>
      </c>
      <c r="C59" t="s">
        <v>4774</v>
      </c>
      <c r="D59" s="4">
        <v>45280.791666666657</v>
      </c>
      <c r="E59" t="s">
        <v>4705</v>
      </c>
      <c r="F59" t="s">
        <v>4721</v>
      </c>
      <c r="G59" t="s">
        <v>3194</v>
      </c>
      <c r="H59">
        <v>17.851900000000001</v>
      </c>
      <c r="I59">
        <f t="shared" si="1"/>
        <v>17.851900000000001</v>
      </c>
      <c r="J59">
        <v>26</v>
      </c>
      <c r="K59">
        <v>2</v>
      </c>
      <c r="L59">
        <v>81</v>
      </c>
      <c r="M59">
        <v>0</v>
      </c>
      <c r="N59">
        <v>0</v>
      </c>
      <c r="O59">
        <v>9.8000000000000007</v>
      </c>
      <c r="P59">
        <v>20.036999999999999</v>
      </c>
      <c r="Q59">
        <v>22.235299999999999</v>
      </c>
      <c r="R59">
        <v>17.2727</v>
      </c>
    </row>
    <row r="60" spans="1:18" x14ac:dyDescent="0.25">
      <c r="A60" t="s">
        <v>4796</v>
      </c>
      <c r="B60" t="s">
        <v>2702</v>
      </c>
      <c r="C60" t="s">
        <v>4774</v>
      </c>
      <c r="D60" s="4">
        <v>45282.791666666657</v>
      </c>
      <c r="E60" t="s">
        <v>4705</v>
      </c>
      <c r="F60" t="s">
        <v>4734</v>
      </c>
      <c r="G60" t="s">
        <v>2461</v>
      </c>
      <c r="H60">
        <v>5.9772999999999996</v>
      </c>
      <c r="I60">
        <f t="shared" si="1"/>
        <v>5.9772999999999996</v>
      </c>
      <c r="J60">
        <v>14</v>
      </c>
      <c r="K60">
        <v>-5</v>
      </c>
      <c r="L60">
        <v>75</v>
      </c>
      <c r="M60">
        <v>6</v>
      </c>
      <c r="N60">
        <v>7</v>
      </c>
      <c r="O60">
        <v>4.1818</v>
      </c>
      <c r="P60">
        <v>10.9444</v>
      </c>
      <c r="Q60">
        <v>8.4091000000000005</v>
      </c>
      <c r="R60">
        <v>2</v>
      </c>
    </row>
    <row r="61" spans="1:18" x14ac:dyDescent="0.25">
      <c r="A61" t="s">
        <v>4797</v>
      </c>
      <c r="B61" t="s">
        <v>2702</v>
      </c>
      <c r="C61" t="s">
        <v>4774</v>
      </c>
      <c r="D61" s="4">
        <v>45287.791666666657</v>
      </c>
      <c r="E61" t="s">
        <v>4705</v>
      </c>
      <c r="F61" t="s">
        <v>4714</v>
      </c>
      <c r="G61" t="s">
        <v>3226</v>
      </c>
      <c r="H61">
        <v>11.3649</v>
      </c>
      <c r="I61">
        <f t="shared" si="1"/>
        <v>11.3649</v>
      </c>
      <c r="J61">
        <v>38</v>
      </c>
      <c r="K61">
        <v>-7</v>
      </c>
      <c r="L61">
        <v>57</v>
      </c>
      <c r="M61">
        <v>5</v>
      </c>
      <c r="N61">
        <v>12</v>
      </c>
      <c r="O61">
        <v>0.65</v>
      </c>
      <c r="P61">
        <v>1.1904999999999999</v>
      </c>
      <c r="Q61">
        <v>14.333299999999999</v>
      </c>
      <c r="R61">
        <v>32.666699999999999</v>
      </c>
    </row>
    <row r="62" spans="1:18" x14ac:dyDescent="0.25">
      <c r="A62" t="s">
        <v>4798</v>
      </c>
      <c r="B62" t="s">
        <v>2702</v>
      </c>
      <c r="C62" t="s">
        <v>4774</v>
      </c>
      <c r="D62" s="4">
        <v>45289.791666666657</v>
      </c>
      <c r="E62" t="s">
        <v>4705</v>
      </c>
      <c r="F62" t="s">
        <v>4716</v>
      </c>
      <c r="G62" t="s">
        <v>3267</v>
      </c>
      <c r="H62">
        <v>21.032599999999999</v>
      </c>
      <c r="I62">
        <f t="shared" si="1"/>
        <v>21.032599999999999</v>
      </c>
      <c r="J62">
        <v>35</v>
      </c>
      <c r="K62">
        <v>-2</v>
      </c>
      <c r="L62">
        <v>88</v>
      </c>
      <c r="M62">
        <v>2</v>
      </c>
      <c r="N62">
        <v>2</v>
      </c>
      <c r="O62">
        <v>5.45</v>
      </c>
      <c r="P62">
        <v>20.55</v>
      </c>
      <c r="Q62">
        <v>26.428599999999999</v>
      </c>
      <c r="R62">
        <v>27.741900000000001</v>
      </c>
    </row>
    <row r="63" spans="1:18" x14ac:dyDescent="0.25">
      <c r="A63" t="s">
        <v>4799</v>
      </c>
      <c r="B63" t="s">
        <v>2702</v>
      </c>
      <c r="C63" t="s">
        <v>4774</v>
      </c>
      <c r="D63" s="4">
        <v>45299.791666666657</v>
      </c>
      <c r="E63" t="s">
        <v>4705</v>
      </c>
      <c r="F63" t="s">
        <v>4776</v>
      </c>
      <c r="G63" t="s">
        <v>3338</v>
      </c>
      <c r="H63">
        <v>29.276299999999999</v>
      </c>
      <c r="I63">
        <f t="shared" si="1"/>
        <v>29.276299999999999</v>
      </c>
      <c r="J63">
        <v>44</v>
      </c>
      <c r="K63">
        <v>1</v>
      </c>
      <c r="L63">
        <v>76</v>
      </c>
      <c r="M63">
        <v>0</v>
      </c>
      <c r="N63">
        <v>0</v>
      </c>
      <c r="O63">
        <v>13.3529</v>
      </c>
      <c r="P63">
        <v>26.823499999999999</v>
      </c>
      <c r="Q63">
        <v>35.125</v>
      </c>
      <c r="R63">
        <v>38.833300000000001</v>
      </c>
    </row>
    <row r="64" spans="1:18" x14ac:dyDescent="0.25">
      <c r="A64" t="s">
        <v>4800</v>
      </c>
      <c r="B64" t="s">
        <v>2702</v>
      </c>
      <c r="C64" t="s">
        <v>4774</v>
      </c>
      <c r="D64" s="4">
        <v>45302.791666666657</v>
      </c>
      <c r="E64" t="s">
        <v>4705</v>
      </c>
      <c r="F64" t="s">
        <v>4706</v>
      </c>
      <c r="G64" t="s">
        <v>3360</v>
      </c>
      <c r="H64">
        <v>9.2955000000000005</v>
      </c>
      <c r="I64">
        <f t="shared" si="1"/>
        <v>9.2955000000000005</v>
      </c>
      <c r="J64">
        <v>21</v>
      </c>
      <c r="K64">
        <v>-3</v>
      </c>
      <c r="L64">
        <v>76</v>
      </c>
      <c r="M64">
        <v>5</v>
      </c>
      <c r="N64">
        <v>7</v>
      </c>
      <c r="O64">
        <v>0.63639999999999997</v>
      </c>
      <c r="P64">
        <v>7.4166999999999996</v>
      </c>
      <c r="Q64">
        <v>15.84</v>
      </c>
      <c r="R64">
        <v>13.529400000000001</v>
      </c>
    </row>
    <row r="65" spans="1:18" x14ac:dyDescent="0.25">
      <c r="A65" t="s">
        <v>4801</v>
      </c>
      <c r="B65" t="s">
        <v>2702</v>
      </c>
      <c r="C65" t="s">
        <v>4774</v>
      </c>
      <c r="D65" s="4">
        <v>45304.75</v>
      </c>
      <c r="E65" t="s">
        <v>4705</v>
      </c>
      <c r="F65" t="s">
        <v>4779</v>
      </c>
      <c r="G65" t="s">
        <v>3387</v>
      </c>
      <c r="H65">
        <v>14.7973</v>
      </c>
      <c r="I65">
        <f t="shared" si="1"/>
        <v>14.7973</v>
      </c>
      <c r="J65">
        <v>22</v>
      </c>
      <c r="K65">
        <v>2</v>
      </c>
      <c r="L65">
        <v>74</v>
      </c>
      <c r="M65">
        <v>0</v>
      </c>
      <c r="N65">
        <v>0</v>
      </c>
      <c r="O65">
        <v>11.526300000000001</v>
      </c>
      <c r="P65">
        <v>11</v>
      </c>
      <c r="Q65">
        <v>17.857099999999999</v>
      </c>
      <c r="R65">
        <v>18.055599999999998</v>
      </c>
    </row>
    <row r="66" spans="1:18" x14ac:dyDescent="0.25">
      <c r="A66" t="s">
        <v>4802</v>
      </c>
      <c r="B66" t="s">
        <v>2702</v>
      </c>
      <c r="C66" t="s">
        <v>4774</v>
      </c>
      <c r="D66" s="4">
        <v>45308.8125</v>
      </c>
      <c r="E66" t="s">
        <v>4721</v>
      </c>
      <c r="F66" t="s">
        <v>4705</v>
      </c>
      <c r="G66" t="s">
        <v>4803</v>
      </c>
      <c r="H66">
        <v>21.946200000000001</v>
      </c>
      <c r="I66">
        <f t="shared" ref="I66:I97" si="2">IF(E66="MIN",H66,-H66)</f>
        <v>-21.946200000000001</v>
      </c>
      <c r="J66">
        <v>44</v>
      </c>
      <c r="K66">
        <v>-4</v>
      </c>
      <c r="L66">
        <v>84</v>
      </c>
      <c r="M66">
        <v>3</v>
      </c>
      <c r="N66">
        <v>6</v>
      </c>
      <c r="O66">
        <v>4.8261000000000003</v>
      </c>
      <c r="P66">
        <v>18.083300000000001</v>
      </c>
      <c r="Q66">
        <v>30.230799999999999</v>
      </c>
      <c r="R66">
        <v>35.5</v>
      </c>
    </row>
    <row r="67" spans="1:18" x14ac:dyDescent="0.25">
      <c r="A67" t="s">
        <v>4804</v>
      </c>
      <c r="B67" t="s">
        <v>2702</v>
      </c>
      <c r="C67" t="s">
        <v>4774</v>
      </c>
      <c r="D67" s="4">
        <v>45310.791666666657</v>
      </c>
      <c r="E67" t="s">
        <v>4718</v>
      </c>
      <c r="F67" t="s">
        <v>4705</v>
      </c>
      <c r="G67" t="s">
        <v>4805</v>
      </c>
      <c r="H67">
        <v>7.5663</v>
      </c>
      <c r="I67">
        <f t="shared" si="2"/>
        <v>-7.5663</v>
      </c>
      <c r="J67">
        <v>19</v>
      </c>
      <c r="K67">
        <v>-3</v>
      </c>
      <c r="L67">
        <v>76</v>
      </c>
      <c r="M67">
        <v>3</v>
      </c>
      <c r="N67">
        <v>4</v>
      </c>
      <c r="O67">
        <v>1.4348000000000001</v>
      </c>
      <c r="P67">
        <v>8.3888999999999996</v>
      </c>
      <c r="Q67">
        <v>8.0769000000000002</v>
      </c>
      <c r="R67">
        <v>14.625</v>
      </c>
    </row>
    <row r="68" spans="1:18" x14ac:dyDescent="0.25">
      <c r="A68" t="s">
        <v>4806</v>
      </c>
      <c r="B68" t="s">
        <v>4807</v>
      </c>
      <c r="C68" t="s">
        <v>4808</v>
      </c>
      <c r="D68" s="4">
        <v>45318.791666666657</v>
      </c>
      <c r="E68" t="s">
        <v>4705</v>
      </c>
      <c r="F68" t="s">
        <v>4726</v>
      </c>
      <c r="G68" t="s">
        <v>1961</v>
      </c>
      <c r="H68">
        <v>8.7568000000000001</v>
      </c>
      <c r="I68">
        <f t="shared" si="2"/>
        <v>8.7568000000000001</v>
      </c>
      <c r="J68">
        <v>16</v>
      </c>
      <c r="K68">
        <v>1</v>
      </c>
      <c r="L68">
        <v>74</v>
      </c>
      <c r="M68">
        <v>0</v>
      </c>
      <c r="N68">
        <v>0</v>
      </c>
      <c r="O68">
        <v>8.16</v>
      </c>
      <c r="P68">
        <v>10.375</v>
      </c>
      <c r="Q68">
        <v>12.461499999999999</v>
      </c>
      <c r="R68">
        <v>5.8</v>
      </c>
    </row>
    <row r="69" spans="1:18" x14ac:dyDescent="0.25">
      <c r="A69" t="s">
        <v>4809</v>
      </c>
      <c r="B69" t="s">
        <v>4807</v>
      </c>
      <c r="C69" t="s">
        <v>4808</v>
      </c>
      <c r="D69" s="4">
        <v>45321.833333333343</v>
      </c>
      <c r="E69" t="s">
        <v>4705</v>
      </c>
      <c r="F69" t="s">
        <v>4739</v>
      </c>
      <c r="G69" t="s">
        <v>2259</v>
      </c>
      <c r="H69">
        <v>-0.81440000000000001</v>
      </c>
      <c r="I69">
        <f t="shared" si="2"/>
        <v>-0.81440000000000001</v>
      </c>
      <c r="J69">
        <v>5</v>
      </c>
      <c r="K69">
        <v>-8</v>
      </c>
      <c r="L69">
        <v>32</v>
      </c>
      <c r="M69">
        <v>14</v>
      </c>
      <c r="N69">
        <v>51</v>
      </c>
      <c r="O69">
        <v>0.9</v>
      </c>
      <c r="P69">
        <v>1.1499999999999999</v>
      </c>
      <c r="Q69">
        <v>-0.25929999999999997</v>
      </c>
      <c r="R69">
        <v>-3.7667000000000002</v>
      </c>
    </row>
    <row r="70" spans="1:18" x14ac:dyDescent="0.25">
      <c r="A70" t="s">
        <v>4810</v>
      </c>
      <c r="B70" t="s">
        <v>2702</v>
      </c>
      <c r="C70" t="s">
        <v>4774</v>
      </c>
      <c r="D70" s="4">
        <v>45330.791666666657</v>
      </c>
      <c r="E70" t="s">
        <v>4705</v>
      </c>
      <c r="F70" t="s">
        <v>4782</v>
      </c>
      <c r="G70" t="s">
        <v>3533</v>
      </c>
      <c r="H70">
        <v>30.989000000000001</v>
      </c>
      <c r="I70">
        <f t="shared" si="2"/>
        <v>30.989000000000001</v>
      </c>
      <c r="J70">
        <v>47</v>
      </c>
      <c r="K70">
        <v>1</v>
      </c>
      <c r="L70">
        <v>91</v>
      </c>
      <c r="M70">
        <v>0</v>
      </c>
      <c r="N70">
        <v>0</v>
      </c>
      <c r="O70">
        <v>14.913</v>
      </c>
      <c r="P70">
        <v>32.655200000000001</v>
      </c>
      <c r="Q70">
        <v>37.285699999999999</v>
      </c>
      <c r="R70">
        <v>41.5</v>
      </c>
    </row>
    <row r="71" spans="1:18" x14ac:dyDescent="0.25">
      <c r="A71" t="s">
        <v>4811</v>
      </c>
      <c r="B71" t="s">
        <v>2702</v>
      </c>
      <c r="C71" t="s">
        <v>4774</v>
      </c>
      <c r="D71" s="4">
        <v>45337.791666666657</v>
      </c>
      <c r="E71" t="s">
        <v>4705</v>
      </c>
      <c r="F71" t="s">
        <v>4736</v>
      </c>
      <c r="G71" t="s">
        <v>3550</v>
      </c>
      <c r="H71">
        <v>-1.7653000000000001</v>
      </c>
      <c r="I71">
        <f t="shared" si="2"/>
        <v>-1.7653000000000001</v>
      </c>
      <c r="J71">
        <v>11</v>
      </c>
      <c r="K71">
        <v>-11</v>
      </c>
      <c r="L71">
        <v>28</v>
      </c>
      <c r="M71">
        <v>1</v>
      </c>
      <c r="N71">
        <v>69</v>
      </c>
      <c r="O71">
        <v>5.6818</v>
      </c>
      <c r="P71">
        <v>-1.0417000000000001</v>
      </c>
      <c r="Q71">
        <v>-3.9091</v>
      </c>
      <c r="R71">
        <v>-6.2332999999999998</v>
      </c>
    </row>
    <row r="72" spans="1:18" x14ac:dyDescent="0.25">
      <c r="A72" t="s">
        <v>4812</v>
      </c>
      <c r="B72" t="s">
        <v>2702</v>
      </c>
      <c r="C72" t="s">
        <v>4774</v>
      </c>
      <c r="D72" s="4">
        <v>45351.833333333343</v>
      </c>
      <c r="E72" t="s">
        <v>4712</v>
      </c>
      <c r="F72" t="s">
        <v>4705</v>
      </c>
      <c r="G72" t="s">
        <v>4514</v>
      </c>
      <c r="H72">
        <v>-4.9222000000000001</v>
      </c>
      <c r="I72">
        <f t="shared" si="2"/>
        <v>4.9222000000000001</v>
      </c>
      <c r="J72">
        <v>1</v>
      </c>
      <c r="K72">
        <v>-11</v>
      </c>
      <c r="L72">
        <v>1</v>
      </c>
      <c r="M72">
        <v>3</v>
      </c>
      <c r="N72">
        <v>86</v>
      </c>
      <c r="O72">
        <v>-5.9230999999999998</v>
      </c>
      <c r="P72">
        <v>-4.3</v>
      </c>
      <c r="Q72">
        <v>-6.8635999999999999</v>
      </c>
      <c r="R72">
        <v>-2.3635999999999999</v>
      </c>
    </row>
    <row r="73" spans="1:18" x14ac:dyDescent="0.25">
      <c r="A73" t="s">
        <v>4813</v>
      </c>
      <c r="B73" t="s">
        <v>2702</v>
      </c>
      <c r="C73" t="s">
        <v>4774</v>
      </c>
      <c r="D73" s="4">
        <v>45353.75</v>
      </c>
      <c r="E73" t="s">
        <v>4710</v>
      </c>
      <c r="F73" t="s">
        <v>4705</v>
      </c>
      <c r="G73" t="s">
        <v>2323</v>
      </c>
      <c r="H73">
        <v>-0.59340000000000004</v>
      </c>
      <c r="I73">
        <f t="shared" si="2"/>
        <v>0.59340000000000004</v>
      </c>
      <c r="J73">
        <v>7</v>
      </c>
      <c r="K73">
        <v>-6</v>
      </c>
      <c r="L73">
        <v>29</v>
      </c>
      <c r="M73">
        <v>13</v>
      </c>
      <c r="N73">
        <v>49</v>
      </c>
      <c r="O73">
        <v>0</v>
      </c>
      <c r="P73">
        <v>0.52170000000000005</v>
      </c>
      <c r="Q73">
        <v>-3.125</v>
      </c>
      <c r="R73">
        <v>-1.2307999999999999</v>
      </c>
    </row>
    <row r="74" spans="1:18" x14ac:dyDescent="0.25">
      <c r="A74" t="s">
        <v>4814</v>
      </c>
      <c r="B74" t="s">
        <v>2702</v>
      </c>
      <c r="C74" t="s">
        <v>4774</v>
      </c>
      <c r="D74" s="4">
        <v>45362.791666666657</v>
      </c>
      <c r="E74" t="s">
        <v>4705</v>
      </c>
      <c r="F74" t="s">
        <v>4728</v>
      </c>
      <c r="G74" t="s">
        <v>3069</v>
      </c>
      <c r="H74">
        <v>4.8395000000000001</v>
      </c>
      <c r="I74">
        <f t="shared" si="2"/>
        <v>4.8395000000000001</v>
      </c>
      <c r="J74">
        <v>14</v>
      </c>
      <c r="K74">
        <v>-3</v>
      </c>
      <c r="L74">
        <v>75</v>
      </c>
      <c r="M74">
        <v>3</v>
      </c>
      <c r="N74">
        <v>3</v>
      </c>
      <c r="O74">
        <v>3.7894999999999999</v>
      </c>
      <c r="P74">
        <v>8.3181999999999992</v>
      </c>
      <c r="Q74">
        <v>5.8</v>
      </c>
      <c r="R74">
        <v>2</v>
      </c>
    </row>
    <row r="75" spans="1:18" x14ac:dyDescent="0.25">
      <c r="A75" t="s">
        <v>4815</v>
      </c>
      <c r="B75" t="s">
        <v>2702</v>
      </c>
      <c r="C75" t="s">
        <v>4774</v>
      </c>
      <c r="D75" s="4">
        <v>45371.666666666657</v>
      </c>
      <c r="E75" t="s">
        <v>4726</v>
      </c>
      <c r="F75" t="s">
        <v>4705</v>
      </c>
      <c r="G75" t="s">
        <v>2284</v>
      </c>
      <c r="H75">
        <v>-7.8718000000000004</v>
      </c>
      <c r="I75">
        <f t="shared" si="2"/>
        <v>7.8718000000000004</v>
      </c>
      <c r="J75">
        <v>3</v>
      </c>
      <c r="K75">
        <v>-17</v>
      </c>
      <c r="L75">
        <v>6</v>
      </c>
      <c r="M75">
        <v>5</v>
      </c>
      <c r="N75">
        <v>67</v>
      </c>
      <c r="O75">
        <v>-2.6</v>
      </c>
      <c r="P75">
        <v>-4.3684000000000003</v>
      </c>
      <c r="Q75">
        <v>-12.666700000000001</v>
      </c>
      <c r="R75">
        <v>-11.952400000000001</v>
      </c>
    </row>
    <row r="76" spans="1:18" x14ac:dyDescent="0.25">
      <c r="A76" t="s">
        <v>4816</v>
      </c>
      <c r="B76" t="s">
        <v>2702</v>
      </c>
      <c r="C76" t="s">
        <v>4774</v>
      </c>
      <c r="D76" s="4">
        <v>45373.8125</v>
      </c>
      <c r="E76" t="s">
        <v>4739</v>
      </c>
      <c r="F76" t="s">
        <v>4705</v>
      </c>
      <c r="G76" t="s">
        <v>4817</v>
      </c>
      <c r="H76">
        <v>-9.7448999999999995</v>
      </c>
      <c r="I76">
        <f t="shared" si="2"/>
        <v>9.7448999999999995</v>
      </c>
      <c r="J76">
        <v>1</v>
      </c>
      <c r="K76">
        <v>-24</v>
      </c>
      <c r="L76">
        <v>1</v>
      </c>
      <c r="M76">
        <v>1</v>
      </c>
      <c r="N76">
        <v>96</v>
      </c>
      <c r="O76">
        <v>-6.8148</v>
      </c>
      <c r="P76">
        <v>-8.375</v>
      </c>
      <c r="Q76">
        <v>-14.5</v>
      </c>
      <c r="R76">
        <v>-10.039999999999999</v>
      </c>
    </row>
    <row r="77" spans="1:18" x14ac:dyDescent="0.25">
      <c r="A77" t="s">
        <v>4818</v>
      </c>
      <c r="B77" t="s">
        <v>2702</v>
      </c>
      <c r="C77" t="s">
        <v>4774</v>
      </c>
      <c r="D77" s="4">
        <v>45376.791666666657</v>
      </c>
      <c r="E77" t="s">
        <v>4705</v>
      </c>
      <c r="F77" t="s">
        <v>4724</v>
      </c>
      <c r="G77" t="s">
        <v>3666</v>
      </c>
      <c r="H77">
        <v>6.5231000000000003</v>
      </c>
      <c r="I77">
        <f t="shared" si="2"/>
        <v>6.5231000000000003</v>
      </c>
      <c r="J77">
        <v>17</v>
      </c>
      <c r="K77">
        <v>-4</v>
      </c>
      <c r="L77">
        <v>55</v>
      </c>
      <c r="M77">
        <v>3</v>
      </c>
      <c r="N77">
        <v>7</v>
      </c>
      <c r="O77">
        <v>-0.35709999999999997</v>
      </c>
      <c r="P77">
        <v>6.5789</v>
      </c>
      <c r="Q77">
        <v>7.2667000000000002</v>
      </c>
      <c r="R77">
        <v>11.470599999999999</v>
      </c>
    </row>
    <row r="78" spans="1:18" x14ac:dyDescent="0.25">
      <c r="A78" t="s">
        <v>4819</v>
      </c>
      <c r="B78" t="s">
        <v>2702</v>
      </c>
      <c r="C78" t="s">
        <v>4774</v>
      </c>
      <c r="D78" s="4">
        <v>45378.791666666657</v>
      </c>
      <c r="E78" t="s">
        <v>4705</v>
      </c>
      <c r="F78" t="s">
        <v>4708</v>
      </c>
      <c r="G78" t="s">
        <v>3679</v>
      </c>
      <c r="H78">
        <v>8.6866000000000003</v>
      </c>
      <c r="I78">
        <f t="shared" si="2"/>
        <v>8.6866000000000003</v>
      </c>
      <c r="J78">
        <v>30</v>
      </c>
      <c r="K78">
        <v>-10</v>
      </c>
      <c r="L78">
        <v>42</v>
      </c>
      <c r="M78">
        <v>4</v>
      </c>
      <c r="N78">
        <v>21</v>
      </c>
      <c r="O78">
        <v>-2.2222</v>
      </c>
      <c r="P78">
        <v>-3.0588000000000002</v>
      </c>
      <c r="Q78">
        <v>15.7333</v>
      </c>
      <c r="R78">
        <v>25.764700000000001</v>
      </c>
    </row>
    <row r="79" spans="1:18" x14ac:dyDescent="0.25">
      <c r="A79" t="s">
        <v>4820</v>
      </c>
      <c r="B79" t="s">
        <v>2702</v>
      </c>
      <c r="C79" t="s">
        <v>4774</v>
      </c>
      <c r="D79" s="4">
        <v>45381.715277777781</v>
      </c>
      <c r="E79" t="s">
        <v>4705</v>
      </c>
      <c r="F79" t="s">
        <v>4732</v>
      </c>
      <c r="G79" t="s">
        <v>3695</v>
      </c>
      <c r="H79">
        <v>11.6234</v>
      </c>
      <c r="I79">
        <f t="shared" si="2"/>
        <v>11.6234</v>
      </c>
      <c r="J79">
        <v>22</v>
      </c>
      <c r="K79">
        <v>-3</v>
      </c>
      <c r="L79">
        <v>75</v>
      </c>
      <c r="M79">
        <v>1</v>
      </c>
      <c r="N79">
        <v>1</v>
      </c>
      <c r="O79">
        <v>5.9443999999999999</v>
      </c>
      <c r="P79">
        <v>8.3888999999999996</v>
      </c>
      <c r="Q79">
        <v>13.818199999999999</v>
      </c>
      <c r="R79">
        <v>17.526299999999999</v>
      </c>
    </row>
    <row r="80" spans="1:18" x14ac:dyDescent="0.25">
      <c r="A80" t="s">
        <v>4821</v>
      </c>
      <c r="B80" t="s">
        <v>2702</v>
      </c>
      <c r="C80" t="s">
        <v>4774</v>
      </c>
      <c r="D80" s="4">
        <v>45387.8125</v>
      </c>
      <c r="E80" t="s">
        <v>4734</v>
      </c>
      <c r="F80" t="s">
        <v>4705</v>
      </c>
      <c r="G80" t="s">
        <v>2427</v>
      </c>
      <c r="H80">
        <v>3.0394999999999999</v>
      </c>
      <c r="I80">
        <f t="shared" si="2"/>
        <v>-3.0394999999999999</v>
      </c>
      <c r="J80">
        <v>12</v>
      </c>
      <c r="K80">
        <v>-7</v>
      </c>
      <c r="L80">
        <v>53</v>
      </c>
      <c r="M80">
        <v>2</v>
      </c>
      <c r="N80">
        <v>21</v>
      </c>
      <c r="O80">
        <v>-3.65</v>
      </c>
      <c r="P80">
        <v>3.3332999999999999</v>
      </c>
      <c r="Q80">
        <v>5.5454999999999997</v>
      </c>
      <c r="R80">
        <v>6.9474</v>
      </c>
    </row>
    <row r="81" spans="1:18" x14ac:dyDescent="0.25">
      <c r="A81" t="s">
        <v>4822</v>
      </c>
      <c r="B81" t="s">
        <v>2702</v>
      </c>
      <c r="C81" t="s">
        <v>4774</v>
      </c>
      <c r="D81" s="4">
        <v>45392.833333333343</v>
      </c>
      <c r="E81" t="s">
        <v>4714</v>
      </c>
      <c r="F81" t="s">
        <v>4705</v>
      </c>
      <c r="G81" t="s">
        <v>3113</v>
      </c>
      <c r="H81">
        <v>1.21</v>
      </c>
      <c r="I81">
        <f t="shared" si="2"/>
        <v>-1.21</v>
      </c>
      <c r="J81">
        <v>18</v>
      </c>
      <c r="K81">
        <v>-10</v>
      </c>
      <c r="L81">
        <v>35</v>
      </c>
      <c r="M81">
        <v>7</v>
      </c>
      <c r="N81">
        <v>58</v>
      </c>
      <c r="O81">
        <v>-2.8094999999999999</v>
      </c>
      <c r="P81">
        <v>-4.625</v>
      </c>
      <c r="Q81">
        <v>-1.9615</v>
      </c>
      <c r="R81">
        <v>11.793100000000001</v>
      </c>
    </row>
    <row r="82" spans="1:18" x14ac:dyDescent="0.25">
      <c r="A82" t="s">
        <v>4823</v>
      </c>
      <c r="B82" t="s">
        <v>2702</v>
      </c>
      <c r="C82" t="s">
        <v>4774</v>
      </c>
      <c r="D82" s="4">
        <v>45394.8125</v>
      </c>
      <c r="E82" t="s">
        <v>4716</v>
      </c>
      <c r="F82" t="s">
        <v>4705</v>
      </c>
      <c r="G82" t="s">
        <v>4484</v>
      </c>
      <c r="H82">
        <v>4.25</v>
      </c>
      <c r="I82">
        <f t="shared" si="2"/>
        <v>-4.25</v>
      </c>
      <c r="J82">
        <v>14</v>
      </c>
      <c r="K82">
        <v>-4</v>
      </c>
      <c r="L82">
        <v>57</v>
      </c>
      <c r="M82">
        <v>7</v>
      </c>
      <c r="N82">
        <v>20</v>
      </c>
      <c r="O82">
        <v>-1.45</v>
      </c>
      <c r="P82">
        <v>1.84</v>
      </c>
      <c r="Q82">
        <v>10.8947</v>
      </c>
      <c r="R82">
        <v>6.65</v>
      </c>
    </row>
    <row r="83" spans="1:18" x14ac:dyDescent="0.25">
      <c r="A83" t="s">
        <v>4824</v>
      </c>
      <c r="B83" t="s">
        <v>2702</v>
      </c>
      <c r="C83" t="s">
        <v>4774</v>
      </c>
      <c r="D83" s="4">
        <v>45401.791666666657</v>
      </c>
      <c r="E83" t="s">
        <v>4716</v>
      </c>
      <c r="F83" t="s">
        <v>4705</v>
      </c>
      <c r="G83" t="s">
        <v>153</v>
      </c>
      <c r="H83">
        <v>7.7976000000000001</v>
      </c>
      <c r="I83">
        <f t="shared" si="2"/>
        <v>-7.7976000000000001</v>
      </c>
      <c r="J83">
        <v>16</v>
      </c>
      <c r="K83">
        <v>0</v>
      </c>
      <c r="L83">
        <v>83</v>
      </c>
      <c r="M83">
        <v>1</v>
      </c>
      <c r="N83">
        <v>0</v>
      </c>
      <c r="O83">
        <v>7.04</v>
      </c>
      <c r="P83">
        <v>6.5713999999999997</v>
      </c>
      <c r="Q83">
        <v>10.235300000000001</v>
      </c>
      <c r="R83">
        <v>7.9523999999999999</v>
      </c>
    </row>
    <row r="84" spans="1:18" x14ac:dyDescent="0.25">
      <c r="A84" t="s">
        <v>4825</v>
      </c>
      <c r="B84" t="s">
        <v>2702</v>
      </c>
      <c r="C84" t="s">
        <v>4774</v>
      </c>
      <c r="D84" s="4">
        <v>45405.791666666657</v>
      </c>
      <c r="E84" t="s">
        <v>4705</v>
      </c>
      <c r="F84" t="s">
        <v>4716</v>
      </c>
      <c r="G84" t="s">
        <v>2998</v>
      </c>
      <c r="H84">
        <v>2.8313000000000001</v>
      </c>
      <c r="I84">
        <f t="shared" si="2"/>
        <v>2.8313000000000001</v>
      </c>
      <c r="J84">
        <v>10</v>
      </c>
      <c r="K84">
        <v>-6</v>
      </c>
      <c r="L84">
        <v>60</v>
      </c>
      <c r="M84">
        <v>8</v>
      </c>
      <c r="N84">
        <v>15</v>
      </c>
      <c r="O84">
        <v>5.3529</v>
      </c>
      <c r="P84">
        <v>1.7619</v>
      </c>
      <c r="Q84">
        <v>-1.7646999999999999</v>
      </c>
      <c r="R84">
        <v>4.8929</v>
      </c>
    </row>
    <row r="85" spans="1:18" x14ac:dyDescent="0.25">
      <c r="A85" t="s">
        <v>4826</v>
      </c>
      <c r="B85" t="s">
        <v>2702</v>
      </c>
      <c r="C85" t="s">
        <v>4774</v>
      </c>
      <c r="D85" s="4">
        <v>45415.791666666657</v>
      </c>
      <c r="E85" t="s">
        <v>4705</v>
      </c>
      <c r="F85" t="s">
        <v>4736</v>
      </c>
      <c r="G85" t="s">
        <v>3755</v>
      </c>
      <c r="H85">
        <v>13.8611</v>
      </c>
      <c r="I85">
        <f t="shared" si="2"/>
        <v>13.8611</v>
      </c>
      <c r="J85">
        <v>31</v>
      </c>
      <c r="K85">
        <v>-3</v>
      </c>
      <c r="L85">
        <v>68</v>
      </c>
      <c r="M85">
        <v>1</v>
      </c>
      <c r="N85">
        <v>3</v>
      </c>
      <c r="O85">
        <v>3.1053000000000002</v>
      </c>
      <c r="P85">
        <v>3.6</v>
      </c>
      <c r="Q85">
        <v>24.095199999999998</v>
      </c>
      <c r="R85">
        <v>22.2941</v>
      </c>
    </row>
    <row r="86" spans="1:18" x14ac:dyDescent="0.25">
      <c r="A86" t="s">
        <v>4827</v>
      </c>
      <c r="B86" t="s">
        <v>2702</v>
      </c>
      <c r="C86" t="s">
        <v>4774</v>
      </c>
      <c r="D86" s="4">
        <v>45418.833333333343</v>
      </c>
      <c r="E86" t="s">
        <v>4736</v>
      </c>
      <c r="F86" t="s">
        <v>4705</v>
      </c>
      <c r="G86" t="s">
        <v>4828</v>
      </c>
      <c r="H86">
        <v>-19.180900000000001</v>
      </c>
      <c r="I86">
        <f t="shared" si="2"/>
        <v>19.180900000000001</v>
      </c>
      <c r="J86">
        <v>0</v>
      </c>
      <c r="K86">
        <v>-36</v>
      </c>
      <c r="L86">
        <v>0</v>
      </c>
      <c r="M86">
        <v>1</v>
      </c>
      <c r="N86">
        <v>93</v>
      </c>
      <c r="O86">
        <v>-6.5</v>
      </c>
      <c r="P86">
        <v>-16.36</v>
      </c>
      <c r="Q86">
        <v>-19.807700000000001</v>
      </c>
      <c r="R86">
        <v>-30.48</v>
      </c>
    </row>
    <row r="87" spans="1:18" x14ac:dyDescent="0.25">
      <c r="A87" t="s">
        <v>4829</v>
      </c>
      <c r="B87" t="s">
        <v>2702</v>
      </c>
      <c r="C87" t="s">
        <v>4774</v>
      </c>
      <c r="D87" s="4">
        <v>45420.833333333343</v>
      </c>
      <c r="E87" t="s">
        <v>4736</v>
      </c>
      <c r="F87" t="s">
        <v>4705</v>
      </c>
      <c r="G87" t="s">
        <v>2323</v>
      </c>
      <c r="H87">
        <v>3.3403999999999998</v>
      </c>
      <c r="I87">
        <f t="shared" si="2"/>
        <v>-3.3403999999999998</v>
      </c>
      <c r="J87">
        <v>11</v>
      </c>
      <c r="K87">
        <v>-7</v>
      </c>
      <c r="L87">
        <v>66</v>
      </c>
      <c r="M87">
        <v>6</v>
      </c>
      <c r="N87">
        <v>22</v>
      </c>
      <c r="O87">
        <v>0.35289999999999999</v>
      </c>
      <c r="P87">
        <v>-0.1</v>
      </c>
      <c r="Q87">
        <v>7.3243</v>
      </c>
      <c r="R87">
        <v>1.95</v>
      </c>
    </row>
    <row r="88" spans="1:18" x14ac:dyDescent="0.25">
      <c r="A88" t="s">
        <v>4830</v>
      </c>
      <c r="B88" t="s">
        <v>2702</v>
      </c>
      <c r="C88" t="s">
        <v>4774</v>
      </c>
      <c r="D88" s="4">
        <v>45423.604166666657</v>
      </c>
      <c r="E88" t="s">
        <v>4705</v>
      </c>
      <c r="F88" t="s">
        <v>4736</v>
      </c>
      <c r="G88" t="s">
        <v>3864</v>
      </c>
      <c r="H88">
        <v>18.936199999999999</v>
      </c>
      <c r="I88">
        <f t="shared" si="2"/>
        <v>18.936199999999999</v>
      </c>
      <c r="J88">
        <v>31</v>
      </c>
      <c r="K88">
        <v>-3</v>
      </c>
      <c r="L88">
        <v>90</v>
      </c>
      <c r="M88">
        <v>1</v>
      </c>
      <c r="N88">
        <v>3</v>
      </c>
      <c r="O88">
        <v>7</v>
      </c>
      <c r="P88">
        <v>21.714300000000001</v>
      </c>
      <c r="Q88">
        <v>24.52</v>
      </c>
      <c r="R88">
        <v>20.8889</v>
      </c>
    </row>
    <row r="89" spans="1:18" x14ac:dyDescent="0.25">
      <c r="A89" t="s">
        <v>4831</v>
      </c>
      <c r="B89" t="s">
        <v>2702</v>
      </c>
      <c r="C89" t="s">
        <v>4774</v>
      </c>
      <c r="D89" s="4">
        <v>45425.791666666657</v>
      </c>
      <c r="E89" t="s">
        <v>4705</v>
      </c>
      <c r="F89" t="s">
        <v>4736</v>
      </c>
      <c r="G89" t="s">
        <v>3879</v>
      </c>
      <c r="H89">
        <v>16.193200000000001</v>
      </c>
      <c r="I89">
        <f t="shared" si="2"/>
        <v>16.193200000000001</v>
      </c>
      <c r="J89">
        <v>31</v>
      </c>
      <c r="K89">
        <v>3</v>
      </c>
      <c r="L89">
        <v>88</v>
      </c>
      <c r="M89">
        <v>0</v>
      </c>
      <c r="N89">
        <v>0</v>
      </c>
      <c r="O89">
        <v>6.65</v>
      </c>
      <c r="P89">
        <v>12.761900000000001</v>
      </c>
      <c r="Q89">
        <v>15.6364</v>
      </c>
      <c r="R89">
        <v>27.2</v>
      </c>
    </row>
    <row r="90" spans="1:18" x14ac:dyDescent="0.25">
      <c r="A90" t="s">
        <v>4832</v>
      </c>
      <c r="B90" t="s">
        <v>2702</v>
      </c>
      <c r="C90" t="s">
        <v>4774</v>
      </c>
      <c r="D90" s="4">
        <v>45429.791666666657</v>
      </c>
      <c r="E90" t="s">
        <v>4712</v>
      </c>
      <c r="F90" t="s">
        <v>4705</v>
      </c>
      <c r="G90" t="s">
        <v>2034</v>
      </c>
      <c r="H90">
        <v>-13.1279</v>
      </c>
      <c r="I90">
        <f t="shared" si="2"/>
        <v>13.1279</v>
      </c>
      <c r="J90">
        <v>4</v>
      </c>
      <c r="K90">
        <v>-25</v>
      </c>
      <c r="L90">
        <v>11</v>
      </c>
      <c r="M90">
        <v>1</v>
      </c>
      <c r="N90">
        <v>74</v>
      </c>
      <c r="O90">
        <v>1.125</v>
      </c>
      <c r="P90">
        <v>-9.35</v>
      </c>
      <c r="Q90">
        <v>-18.2</v>
      </c>
      <c r="R90">
        <v>-20.2</v>
      </c>
    </row>
    <row r="91" spans="1:18" x14ac:dyDescent="0.25">
      <c r="A91" t="s">
        <v>4833</v>
      </c>
      <c r="B91" t="s">
        <v>2702</v>
      </c>
      <c r="C91" t="s">
        <v>4774</v>
      </c>
      <c r="D91" s="4">
        <v>45432.791666666657</v>
      </c>
      <c r="E91" t="s">
        <v>4705</v>
      </c>
      <c r="F91" t="s">
        <v>4712</v>
      </c>
      <c r="G91" t="s">
        <v>1482</v>
      </c>
      <c r="H91">
        <v>6.8243</v>
      </c>
      <c r="I91">
        <f t="shared" si="2"/>
        <v>6.8243</v>
      </c>
      <c r="J91">
        <v>17</v>
      </c>
      <c r="K91">
        <v>-2</v>
      </c>
      <c r="L91">
        <v>70</v>
      </c>
      <c r="M91">
        <v>2</v>
      </c>
      <c r="N91">
        <v>2</v>
      </c>
      <c r="O91">
        <v>4</v>
      </c>
      <c r="P91">
        <v>6.8261000000000003</v>
      </c>
      <c r="Q91">
        <v>5.1303999999999998</v>
      </c>
      <c r="R91">
        <v>13.833299999999999</v>
      </c>
    </row>
    <row r="92" spans="1:18" x14ac:dyDescent="0.25">
      <c r="A92" t="s">
        <v>4834</v>
      </c>
      <c r="B92" t="s">
        <v>2702</v>
      </c>
      <c r="C92" t="s">
        <v>4774</v>
      </c>
      <c r="D92" s="4">
        <v>45434.791666666657</v>
      </c>
      <c r="E92" t="s">
        <v>4705</v>
      </c>
      <c r="F92" t="s">
        <v>4712</v>
      </c>
      <c r="G92" t="s">
        <v>3961</v>
      </c>
      <c r="H92">
        <v>-10.117599999999999</v>
      </c>
      <c r="I92">
        <f t="shared" si="2"/>
        <v>-10.117599999999999</v>
      </c>
      <c r="J92">
        <v>2</v>
      </c>
      <c r="K92">
        <v>-22</v>
      </c>
      <c r="L92">
        <v>3</v>
      </c>
      <c r="M92">
        <v>2</v>
      </c>
      <c r="N92">
        <v>80</v>
      </c>
      <c r="O92">
        <v>-2.95</v>
      </c>
      <c r="P92">
        <v>-8.9375</v>
      </c>
      <c r="Q92">
        <v>-13.238099999999999</v>
      </c>
      <c r="R92">
        <v>-13.571400000000001</v>
      </c>
    </row>
    <row r="93" spans="1:18" x14ac:dyDescent="0.25">
      <c r="A93" t="s">
        <v>4835</v>
      </c>
      <c r="B93" t="s">
        <v>2702</v>
      </c>
      <c r="C93" t="s">
        <v>4774</v>
      </c>
      <c r="D93" s="4">
        <v>45437.715277777781</v>
      </c>
      <c r="E93" t="s">
        <v>4712</v>
      </c>
      <c r="F93" t="s">
        <v>4705</v>
      </c>
      <c r="G93" t="s">
        <v>2718</v>
      </c>
      <c r="H93">
        <v>0.20200000000000001</v>
      </c>
      <c r="I93">
        <f t="shared" si="2"/>
        <v>-0.20200000000000001</v>
      </c>
      <c r="J93">
        <v>9</v>
      </c>
      <c r="K93">
        <v>-8</v>
      </c>
      <c r="L93">
        <v>44</v>
      </c>
      <c r="M93">
        <v>17</v>
      </c>
      <c r="N93">
        <v>38</v>
      </c>
      <c r="O93">
        <v>0.4375</v>
      </c>
      <c r="P93">
        <v>0.86670000000000003</v>
      </c>
      <c r="Q93">
        <v>1.7273000000000001</v>
      </c>
      <c r="R93">
        <v>-3.8666999999999998</v>
      </c>
    </row>
    <row r="94" spans="1:18" x14ac:dyDescent="0.25">
      <c r="A94" t="s">
        <v>4836</v>
      </c>
      <c r="B94" t="s">
        <v>2702</v>
      </c>
      <c r="C94" t="s">
        <v>4774</v>
      </c>
      <c r="D94" s="4">
        <v>45439.833333333343</v>
      </c>
      <c r="E94" t="s">
        <v>4712</v>
      </c>
      <c r="F94" t="s">
        <v>4705</v>
      </c>
      <c r="G94" t="s">
        <v>677</v>
      </c>
      <c r="H94">
        <v>-2.6385999999999998</v>
      </c>
      <c r="I94">
        <f t="shared" si="2"/>
        <v>2.6385999999999998</v>
      </c>
      <c r="J94">
        <v>7</v>
      </c>
      <c r="K94">
        <v>-9</v>
      </c>
      <c r="L94">
        <v>17</v>
      </c>
      <c r="M94">
        <v>8</v>
      </c>
      <c r="N94">
        <v>58</v>
      </c>
      <c r="O94">
        <v>1.4286000000000001</v>
      </c>
      <c r="P94">
        <v>-3.1875</v>
      </c>
      <c r="Q94">
        <v>-1.7895000000000001</v>
      </c>
      <c r="R94">
        <v>-6.0740999999999996</v>
      </c>
    </row>
    <row r="95" spans="1:18" x14ac:dyDescent="0.25">
      <c r="A95" t="s">
        <v>4837</v>
      </c>
      <c r="B95" t="s">
        <v>2330</v>
      </c>
      <c r="C95" t="s">
        <v>4838</v>
      </c>
      <c r="D95" s="4">
        <v>45577.75</v>
      </c>
      <c r="E95" t="s">
        <v>4705</v>
      </c>
      <c r="F95" t="s">
        <v>4721</v>
      </c>
      <c r="G95" t="s">
        <v>3702</v>
      </c>
      <c r="H95">
        <v>2.0649000000000002</v>
      </c>
      <c r="I95">
        <f t="shared" si="2"/>
        <v>2.0649000000000002</v>
      </c>
      <c r="J95">
        <v>9</v>
      </c>
      <c r="K95">
        <v>-5</v>
      </c>
      <c r="L95">
        <v>44</v>
      </c>
      <c r="M95">
        <v>8</v>
      </c>
      <c r="N95">
        <v>25</v>
      </c>
      <c r="O95">
        <v>-1.125</v>
      </c>
      <c r="P95">
        <v>-0.64710000000000001</v>
      </c>
      <c r="Q95">
        <v>1.375</v>
      </c>
      <c r="R95">
        <v>5.9286000000000003</v>
      </c>
    </row>
    <row r="96" spans="1:18" x14ac:dyDescent="0.25">
      <c r="A96" t="s">
        <v>4839</v>
      </c>
      <c r="B96" t="s">
        <v>2330</v>
      </c>
      <c r="C96" t="s">
        <v>4838</v>
      </c>
      <c r="D96" s="4">
        <v>45580.833333333343</v>
      </c>
      <c r="E96" t="s">
        <v>4712</v>
      </c>
      <c r="F96" t="s">
        <v>4705</v>
      </c>
      <c r="G96" t="s">
        <v>677</v>
      </c>
      <c r="H96">
        <v>-3.6966000000000001</v>
      </c>
      <c r="I96">
        <f t="shared" si="2"/>
        <v>3.6966000000000001</v>
      </c>
      <c r="J96">
        <v>4</v>
      </c>
      <c r="K96">
        <v>-12</v>
      </c>
      <c r="L96">
        <v>19</v>
      </c>
      <c r="M96">
        <v>9</v>
      </c>
      <c r="N96">
        <v>61</v>
      </c>
      <c r="O96">
        <v>-2.8571</v>
      </c>
      <c r="P96">
        <v>0.91300000000000003</v>
      </c>
      <c r="Q96">
        <v>-1.375</v>
      </c>
      <c r="R96">
        <v>-9.2414000000000005</v>
      </c>
    </row>
    <row r="97" spans="1:18" x14ac:dyDescent="0.25">
      <c r="A97" t="s">
        <v>4840</v>
      </c>
      <c r="B97" t="s">
        <v>2330</v>
      </c>
      <c r="C97" t="s">
        <v>4838</v>
      </c>
      <c r="D97" s="4">
        <v>45582.8125</v>
      </c>
      <c r="E97" t="s">
        <v>4710</v>
      </c>
      <c r="F97" t="s">
        <v>4705</v>
      </c>
      <c r="G97" t="s">
        <v>4588</v>
      </c>
      <c r="H97">
        <v>4.4842000000000004</v>
      </c>
      <c r="I97">
        <f t="shared" si="2"/>
        <v>-4.4842000000000004</v>
      </c>
      <c r="J97">
        <v>17</v>
      </c>
      <c r="K97">
        <v>-6</v>
      </c>
      <c r="L97">
        <v>71</v>
      </c>
      <c r="M97">
        <v>5</v>
      </c>
      <c r="N97">
        <v>19</v>
      </c>
      <c r="O97">
        <v>-0.1154</v>
      </c>
      <c r="P97">
        <v>0.33329999999999999</v>
      </c>
      <c r="Q97">
        <v>9.5832999999999995</v>
      </c>
      <c r="R97">
        <v>7.1481000000000003</v>
      </c>
    </row>
    <row r="98" spans="1:18" x14ac:dyDescent="0.25">
      <c r="A98" t="s">
        <v>4841</v>
      </c>
      <c r="B98" t="s">
        <v>2330</v>
      </c>
      <c r="C98" t="s">
        <v>4838</v>
      </c>
      <c r="D98" s="4">
        <v>45586.791666666657</v>
      </c>
      <c r="E98" t="s">
        <v>4705</v>
      </c>
      <c r="F98" t="s">
        <v>4724</v>
      </c>
      <c r="G98" t="s">
        <v>3877</v>
      </c>
      <c r="H98">
        <v>7.1097999999999999</v>
      </c>
      <c r="I98">
        <f t="shared" ref="I98:I129" si="3">IF(E98="MIN",H98,-H98)</f>
        <v>7.1097999999999999</v>
      </c>
      <c r="J98">
        <v>27</v>
      </c>
      <c r="K98">
        <v>-8</v>
      </c>
      <c r="L98">
        <v>53</v>
      </c>
      <c r="M98">
        <v>4</v>
      </c>
      <c r="N98">
        <v>25</v>
      </c>
      <c r="O98">
        <v>-4.6364000000000001</v>
      </c>
      <c r="P98">
        <v>1.7619</v>
      </c>
      <c r="Q98">
        <v>14.35</v>
      </c>
      <c r="R98">
        <v>19</v>
      </c>
    </row>
    <row r="99" spans="1:18" x14ac:dyDescent="0.25">
      <c r="A99" t="s">
        <v>4842</v>
      </c>
      <c r="B99" t="s">
        <v>2330</v>
      </c>
      <c r="C99" t="s">
        <v>4838</v>
      </c>
      <c r="D99" s="4">
        <v>45589.791666666657</v>
      </c>
      <c r="E99" t="s">
        <v>4705</v>
      </c>
      <c r="F99" t="s">
        <v>4782</v>
      </c>
      <c r="G99" t="s">
        <v>3153</v>
      </c>
      <c r="H99">
        <v>10.216900000000001</v>
      </c>
      <c r="I99">
        <f t="shared" si="3"/>
        <v>10.216900000000001</v>
      </c>
      <c r="J99">
        <v>33</v>
      </c>
      <c r="K99">
        <v>-4</v>
      </c>
      <c r="L99">
        <v>71</v>
      </c>
      <c r="M99">
        <v>5</v>
      </c>
      <c r="N99">
        <v>7</v>
      </c>
      <c r="O99">
        <v>9.5652000000000008</v>
      </c>
      <c r="P99">
        <v>2.5</v>
      </c>
      <c r="Q99">
        <v>4.0526</v>
      </c>
      <c r="R99">
        <v>23.857099999999999</v>
      </c>
    </row>
    <row r="100" spans="1:18" x14ac:dyDescent="0.25">
      <c r="A100" t="s">
        <v>4843</v>
      </c>
      <c r="B100" t="s">
        <v>2330</v>
      </c>
      <c r="C100" t="s">
        <v>4838</v>
      </c>
      <c r="D100" s="4">
        <v>45594.833333333343</v>
      </c>
      <c r="E100" t="s">
        <v>4708</v>
      </c>
      <c r="F100" t="s">
        <v>4705</v>
      </c>
      <c r="G100" t="s">
        <v>291</v>
      </c>
      <c r="H100">
        <v>8.7606000000000002</v>
      </c>
      <c r="I100">
        <f t="shared" si="3"/>
        <v>-8.7606000000000002</v>
      </c>
      <c r="J100">
        <v>21</v>
      </c>
      <c r="K100">
        <v>-3</v>
      </c>
      <c r="L100">
        <v>56</v>
      </c>
      <c r="M100">
        <v>1</v>
      </c>
      <c r="N100">
        <v>14</v>
      </c>
      <c r="O100">
        <v>-0.29409999999999997</v>
      </c>
      <c r="P100">
        <v>6.1111000000000004</v>
      </c>
      <c r="Q100">
        <v>17.149999999999999</v>
      </c>
      <c r="R100">
        <v>10.875</v>
      </c>
    </row>
    <row r="101" spans="1:18" x14ac:dyDescent="0.25">
      <c r="A101" t="s">
        <v>4844</v>
      </c>
      <c r="B101" t="s">
        <v>2330</v>
      </c>
      <c r="C101" t="s">
        <v>4838</v>
      </c>
      <c r="D101" s="4">
        <v>45596.833333333343</v>
      </c>
      <c r="E101" t="s">
        <v>4732</v>
      </c>
      <c r="F101" t="s">
        <v>4705</v>
      </c>
      <c r="G101" t="s">
        <v>4845</v>
      </c>
      <c r="H101">
        <v>11.8767</v>
      </c>
      <c r="I101">
        <f t="shared" si="3"/>
        <v>-11.8767</v>
      </c>
      <c r="J101">
        <v>29</v>
      </c>
      <c r="K101">
        <v>0</v>
      </c>
      <c r="L101">
        <v>72</v>
      </c>
      <c r="M101">
        <v>1</v>
      </c>
      <c r="N101">
        <v>0</v>
      </c>
      <c r="O101">
        <v>7.6471</v>
      </c>
      <c r="P101">
        <v>9</v>
      </c>
      <c r="Q101">
        <v>10.461499999999999</v>
      </c>
      <c r="R101">
        <v>18.304300000000001</v>
      </c>
    </row>
    <row r="102" spans="1:18" x14ac:dyDescent="0.25">
      <c r="A102" t="s">
        <v>4846</v>
      </c>
      <c r="B102" t="s">
        <v>2330</v>
      </c>
      <c r="C102" t="s">
        <v>4838</v>
      </c>
      <c r="D102" s="4">
        <v>45603.791666666657</v>
      </c>
      <c r="E102" t="s">
        <v>4705</v>
      </c>
      <c r="F102" t="s">
        <v>4726</v>
      </c>
      <c r="G102" t="s">
        <v>3690</v>
      </c>
      <c r="H102">
        <v>22.0548</v>
      </c>
      <c r="I102">
        <f t="shared" si="3"/>
        <v>22.0548</v>
      </c>
      <c r="J102">
        <v>38</v>
      </c>
      <c r="K102">
        <v>0</v>
      </c>
      <c r="L102">
        <v>72</v>
      </c>
      <c r="M102">
        <v>1</v>
      </c>
      <c r="N102">
        <v>0</v>
      </c>
      <c r="O102">
        <v>6.8823999999999996</v>
      </c>
      <c r="P102">
        <v>21.666699999999999</v>
      </c>
      <c r="Q102">
        <v>32.055599999999998</v>
      </c>
      <c r="R102">
        <v>26.3</v>
      </c>
    </row>
    <row r="103" spans="1:18" x14ac:dyDescent="0.25">
      <c r="A103" t="s">
        <v>4847</v>
      </c>
      <c r="B103" t="s">
        <v>2330</v>
      </c>
      <c r="C103" t="s">
        <v>4838</v>
      </c>
      <c r="D103" s="4">
        <v>45607.791666666657</v>
      </c>
      <c r="E103" t="s">
        <v>4705</v>
      </c>
      <c r="F103" t="s">
        <v>4739</v>
      </c>
      <c r="G103" t="s">
        <v>672</v>
      </c>
      <c r="H103">
        <v>1.6234</v>
      </c>
      <c r="I103">
        <f t="shared" si="3"/>
        <v>1.6234</v>
      </c>
      <c r="J103">
        <v>10</v>
      </c>
      <c r="K103">
        <v>-6</v>
      </c>
      <c r="L103">
        <v>44</v>
      </c>
      <c r="M103">
        <v>7</v>
      </c>
      <c r="N103">
        <v>26</v>
      </c>
      <c r="O103">
        <v>2.7273000000000001</v>
      </c>
      <c r="P103">
        <v>-0.9</v>
      </c>
      <c r="Q103">
        <v>3.8635999999999999</v>
      </c>
      <c r="R103">
        <v>-0.15379999999999999</v>
      </c>
    </row>
    <row r="104" spans="1:18" x14ac:dyDescent="0.25">
      <c r="A104" t="s">
        <v>4848</v>
      </c>
      <c r="B104" t="s">
        <v>2330</v>
      </c>
      <c r="C104" t="s">
        <v>4838</v>
      </c>
      <c r="D104" s="4">
        <v>45610.8125</v>
      </c>
      <c r="E104" t="s">
        <v>4716</v>
      </c>
      <c r="F104" t="s">
        <v>4705</v>
      </c>
      <c r="G104" t="s">
        <v>4849</v>
      </c>
      <c r="H104">
        <v>5.6234999999999999</v>
      </c>
      <c r="I104">
        <f t="shared" si="3"/>
        <v>-5.6234999999999999</v>
      </c>
      <c r="J104">
        <v>21</v>
      </c>
      <c r="K104">
        <v>-8</v>
      </c>
      <c r="L104">
        <v>53</v>
      </c>
      <c r="M104">
        <v>1</v>
      </c>
      <c r="N104">
        <v>31</v>
      </c>
      <c r="O104">
        <v>-4.8094999999999999</v>
      </c>
      <c r="P104">
        <v>0.77270000000000005</v>
      </c>
      <c r="Q104">
        <v>8.4091000000000005</v>
      </c>
      <c r="R104">
        <v>18.850000000000001</v>
      </c>
    </row>
    <row r="105" spans="1:18" x14ac:dyDescent="0.25">
      <c r="A105" t="s">
        <v>4850</v>
      </c>
      <c r="B105" t="s">
        <v>2330</v>
      </c>
      <c r="C105" t="s">
        <v>4838</v>
      </c>
      <c r="D105" s="4">
        <v>45612.708333333343</v>
      </c>
      <c r="E105" t="s">
        <v>4714</v>
      </c>
      <c r="F105" t="s">
        <v>4705</v>
      </c>
      <c r="G105" t="s">
        <v>1916</v>
      </c>
      <c r="H105">
        <v>9.6900999999999993</v>
      </c>
      <c r="I105">
        <f t="shared" si="3"/>
        <v>-9.6900999999999993</v>
      </c>
      <c r="J105">
        <v>22</v>
      </c>
      <c r="K105">
        <v>-3</v>
      </c>
      <c r="L105">
        <v>61</v>
      </c>
      <c r="M105">
        <v>4</v>
      </c>
      <c r="N105">
        <v>6</v>
      </c>
      <c r="O105">
        <v>0.1111</v>
      </c>
      <c r="P105">
        <v>8.6667000000000005</v>
      </c>
      <c r="Q105">
        <v>12.5556</v>
      </c>
      <c r="R105">
        <v>17.882400000000001</v>
      </c>
    </row>
    <row r="106" spans="1:18" x14ac:dyDescent="0.25">
      <c r="A106" t="s">
        <v>4851</v>
      </c>
      <c r="B106" t="s">
        <v>2330</v>
      </c>
      <c r="C106" t="s">
        <v>4838</v>
      </c>
      <c r="D106" s="4">
        <v>45626.625</v>
      </c>
      <c r="E106" t="s">
        <v>4706</v>
      </c>
      <c r="F106" t="s">
        <v>4705</v>
      </c>
      <c r="G106" t="s">
        <v>2622</v>
      </c>
      <c r="H106">
        <v>0.49380000000000002</v>
      </c>
      <c r="I106">
        <f t="shared" si="3"/>
        <v>-0.49380000000000002</v>
      </c>
      <c r="J106">
        <v>11</v>
      </c>
      <c r="K106">
        <v>-5</v>
      </c>
      <c r="L106">
        <v>39</v>
      </c>
      <c r="M106">
        <v>4</v>
      </c>
      <c r="N106">
        <v>38</v>
      </c>
      <c r="O106">
        <v>-2.1111</v>
      </c>
      <c r="P106">
        <v>-0.33329999999999999</v>
      </c>
      <c r="Q106">
        <v>-1.4286000000000001</v>
      </c>
      <c r="R106">
        <v>4.75</v>
      </c>
    </row>
    <row r="107" spans="1:18" x14ac:dyDescent="0.25">
      <c r="A107" t="s">
        <v>4852</v>
      </c>
      <c r="B107" t="s">
        <v>2330</v>
      </c>
      <c r="C107" t="s">
        <v>4838</v>
      </c>
      <c r="D107" s="4">
        <v>45628.833333333343</v>
      </c>
      <c r="E107" t="s">
        <v>4776</v>
      </c>
      <c r="F107" t="s">
        <v>4705</v>
      </c>
      <c r="G107" t="s">
        <v>4853</v>
      </c>
      <c r="H107">
        <v>15.037000000000001</v>
      </c>
      <c r="I107">
        <f t="shared" si="3"/>
        <v>-15.037000000000001</v>
      </c>
      <c r="J107">
        <v>30</v>
      </c>
      <c r="K107">
        <v>2</v>
      </c>
      <c r="L107">
        <v>81</v>
      </c>
      <c r="M107">
        <v>0</v>
      </c>
      <c r="N107">
        <v>0</v>
      </c>
      <c r="O107">
        <v>6.5</v>
      </c>
      <c r="P107">
        <v>10.526300000000001</v>
      </c>
      <c r="Q107">
        <v>15.7143</v>
      </c>
      <c r="R107">
        <v>24.8261</v>
      </c>
    </row>
    <row r="108" spans="1:18" x14ac:dyDescent="0.25">
      <c r="A108" t="s">
        <v>4854</v>
      </c>
      <c r="B108" t="s">
        <v>2330</v>
      </c>
      <c r="C108" t="s">
        <v>4838</v>
      </c>
      <c r="D108" s="4">
        <v>45631.791666666657</v>
      </c>
      <c r="E108" t="s">
        <v>4705</v>
      </c>
      <c r="F108" t="s">
        <v>4734</v>
      </c>
      <c r="G108" t="s">
        <v>4096</v>
      </c>
      <c r="H108">
        <v>12.2895</v>
      </c>
      <c r="I108">
        <f t="shared" si="3"/>
        <v>12.2895</v>
      </c>
      <c r="J108">
        <v>29</v>
      </c>
      <c r="K108">
        <v>-10</v>
      </c>
      <c r="L108">
        <v>62</v>
      </c>
      <c r="M108">
        <v>1</v>
      </c>
      <c r="N108">
        <v>13</v>
      </c>
      <c r="O108">
        <v>-1.2174</v>
      </c>
      <c r="P108">
        <v>11.5556</v>
      </c>
      <c r="Q108">
        <v>19.666699999999999</v>
      </c>
      <c r="R108">
        <v>22.95</v>
      </c>
    </row>
    <row r="109" spans="1:18" x14ac:dyDescent="0.25">
      <c r="A109" t="s">
        <v>4855</v>
      </c>
      <c r="B109" t="s">
        <v>2330</v>
      </c>
      <c r="C109" t="s">
        <v>4838</v>
      </c>
      <c r="D109" s="4">
        <v>45635.833333333343</v>
      </c>
      <c r="E109" t="s">
        <v>4779</v>
      </c>
      <c r="F109" t="s">
        <v>4705</v>
      </c>
      <c r="G109" t="s">
        <v>3445</v>
      </c>
      <c r="H109">
        <v>-12.0976</v>
      </c>
      <c r="I109">
        <f t="shared" si="3"/>
        <v>12.0976</v>
      </c>
      <c r="J109">
        <v>-2</v>
      </c>
      <c r="K109">
        <v>-22</v>
      </c>
      <c r="L109">
        <v>0</v>
      </c>
      <c r="M109">
        <v>0</v>
      </c>
      <c r="N109">
        <v>82</v>
      </c>
      <c r="O109">
        <v>-5.7895000000000003</v>
      </c>
      <c r="P109">
        <v>-9.6</v>
      </c>
      <c r="Q109">
        <v>-17.884599999999999</v>
      </c>
      <c r="R109">
        <v>-11.8889</v>
      </c>
    </row>
    <row r="110" spans="1:18" x14ac:dyDescent="0.25">
      <c r="A110" t="s">
        <v>4856</v>
      </c>
      <c r="B110" t="s">
        <v>2330</v>
      </c>
      <c r="C110" t="s">
        <v>4838</v>
      </c>
      <c r="D110" s="4">
        <v>45646.791666666657</v>
      </c>
      <c r="E110" t="s">
        <v>4705</v>
      </c>
      <c r="F110" t="s">
        <v>4728</v>
      </c>
      <c r="G110" t="s">
        <v>3075</v>
      </c>
      <c r="H110">
        <v>-0.41760000000000003</v>
      </c>
      <c r="I110">
        <f t="shared" si="3"/>
        <v>-0.41760000000000003</v>
      </c>
      <c r="J110">
        <v>9</v>
      </c>
      <c r="K110">
        <v>-9</v>
      </c>
      <c r="L110">
        <v>39</v>
      </c>
      <c r="M110">
        <v>4</v>
      </c>
      <c r="N110">
        <v>48</v>
      </c>
      <c r="O110">
        <v>-0.29630000000000001</v>
      </c>
      <c r="P110">
        <v>0</v>
      </c>
      <c r="Q110">
        <v>-5.3913000000000002</v>
      </c>
      <c r="R110">
        <v>4.2727000000000004</v>
      </c>
    </row>
    <row r="111" spans="1:18" x14ac:dyDescent="0.25">
      <c r="A111" t="s">
        <v>4857</v>
      </c>
      <c r="B111" t="s">
        <v>2330</v>
      </c>
      <c r="C111" t="s">
        <v>4838</v>
      </c>
      <c r="D111" s="4">
        <v>45649.8125</v>
      </c>
      <c r="E111" t="s">
        <v>4705</v>
      </c>
      <c r="F111" t="s">
        <v>4736</v>
      </c>
      <c r="G111" t="s">
        <v>2946</v>
      </c>
      <c r="H111">
        <v>-3</v>
      </c>
      <c r="I111">
        <f t="shared" si="3"/>
        <v>-3</v>
      </c>
      <c r="J111">
        <v>18</v>
      </c>
      <c r="K111">
        <v>-15</v>
      </c>
      <c r="L111">
        <v>19</v>
      </c>
      <c r="M111">
        <v>4</v>
      </c>
      <c r="N111">
        <v>48</v>
      </c>
      <c r="O111">
        <v>-2.7059000000000002</v>
      </c>
      <c r="P111">
        <v>-10.470599999999999</v>
      </c>
      <c r="Q111">
        <v>-8.4210999999999991</v>
      </c>
      <c r="R111">
        <v>9.5</v>
      </c>
    </row>
    <row r="112" spans="1:18" x14ac:dyDescent="0.25">
      <c r="A112" t="s">
        <v>4858</v>
      </c>
      <c r="B112" t="s">
        <v>2330</v>
      </c>
      <c r="C112" t="s">
        <v>4838</v>
      </c>
      <c r="D112" s="4">
        <v>45653.791666666657</v>
      </c>
      <c r="E112" t="s">
        <v>4705</v>
      </c>
      <c r="F112" t="s">
        <v>4710</v>
      </c>
      <c r="G112" t="s">
        <v>1853</v>
      </c>
      <c r="H112">
        <v>6.3094999999999999</v>
      </c>
      <c r="I112">
        <f t="shared" si="3"/>
        <v>6.3094999999999999</v>
      </c>
      <c r="J112">
        <v>17</v>
      </c>
      <c r="K112">
        <v>-5</v>
      </c>
      <c r="L112">
        <v>62</v>
      </c>
      <c r="M112">
        <v>4</v>
      </c>
      <c r="N112">
        <v>18</v>
      </c>
      <c r="O112">
        <v>-1.3213999999999999</v>
      </c>
      <c r="P112">
        <v>6.6666999999999996</v>
      </c>
      <c r="Q112">
        <v>13.933299999999999</v>
      </c>
      <c r="R112">
        <v>11.6471</v>
      </c>
    </row>
    <row r="113" spans="1:18" x14ac:dyDescent="0.25">
      <c r="A113" t="s">
        <v>4859</v>
      </c>
      <c r="B113" t="s">
        <v>2330</v>
      </c>
      <c r="C113" t="s">
        <v>4838</v>
      </c>
      <c r="D113" s="4">
        <v>45655.458333333343</v>
      </c>
      <c r="E113" t="s">
        <v>4705</v>
      </c>
      <c r="F113" t="s">
        <v>4712</v>
      </c>
      <c r="G113" t="s">
        <v>1001</v>
      </c>
      <c r="H113">
        <v>14.930999999999999</v>
      </c>
      <c r="I113">
        <f t="shared" si="3"/>
        <v>14.930999999999999</v>
      </c>
      <c r="J113">
        <v>29</v>
      </c>
      <c r="K113">
        <v>-4</v>
      </c>
      <c r="L113">
        <v>82</v>
      </c>
      <c r="M113">
        <v>1</v>
      </c>
      <c r="N113">
        <v>4</v>
      </c>
      <c r="O113">
        <v>2.85</v>
      </c>
      <c r="P113">
        <v>10.8636</v>
      </c>
      <c r="Q113">
        <v>21.944400000000002</v>
      </c>
      <c r="R113">
        <v>22.5185</v>
      </c>
    </row>
    <row r="114" spans="1:18" x14ac:dyDescent="0.25">
      <c r="A114" t="s">
        <v>4860</v>
      </c>
      <c r="B114" t="s">
        <v>2330</v>
      </c>
      <c r="C114" t="s">
        <v>4838</v>
      </c>
      <c r="D114" s="4">
        <v>45677.8125</v>
      </c>
      <c r="E114" t="s">
        <v>4724</v>
      </c>
      <c r="F114" t="s">
        <v>4705</v>
      </c>
      <c r="G114" t="s">
        <v>3719</v>
      </c>
      <c r="H114">
        <v>-10.818199999999999</v>
      </c>
      <c r="I114">
        <f t="shared" si="3"/>
        <v>10.818199999999999</v>
      </c>
      <c r="J114">
        <v>-2</v>
      </c>
      <c r="K114">
        <v>-22</v>
      </c>
      <c r="L114">
        <v>0</v>
      </c>
      <c r="M114">
        <v>0</v>
      </c>
      <c r="N114">
        <v>88</v>
      </c>
      <c r="O114">
        <v>-7.2857000000000003</v>
      </c>
      <c r="P114">
        <v>-9</v>
      </c>
      <c r="Q114">
        <v>-16.850000000000001</v>
      </c>
      <c r="R114">
        <v>-11.428599999999999</v>
      </c>
    </row>
    <row r="115" spans="1:18" x14ac:dyDescent="0.25">
      <c r="A115" t="s">
        <v>4861</v>
      </c>
      <c r="B115" t="s">
        <v>2330</v>
      </c>
      <c r="C115" t="s">
        <v>4838</v>
      </c>
      <c r="D115" s="4">
        <v>45679.833333333343</v>
      </c>
      <c r="E115" t="s">
        <v>4782</v>
      </c>
      <c r="F115" t="s">
        <v>4705</v>
      </c>
      <c r="G115" t="s">
        <v>2773</v>
      </c>
      <c r="H115">
        <v>7.8777999999999997</v>
      </c>
      <c r="I115">
        <f t="shared" si="3"/>
        <v>-7.8777999999999997</v>
      </c>
      <c r="J115">
        <v>15</v>
      </c>
      <c r="K115">
        <v>2</v>
      </c>
      <c r="L115">
        <v>90</v>
      </c>
      <c r="M115">
        <v>0</v>
      </c>
      <c r="N115">
        <v>0</v>
      </c>
      <c r="O115">
        <v>6.1364000000000001</v>
      </c>
      <c r="P115">
        <v>10.222200000000001</v>
      </c>
      <c r="Q115">
        <v>8.3000000000000007</v>
      </c>
      <c r="R115">
        <v>6.2857000000000003</v>
      </c>
    </row>
    <row r="116" spans="1:18" x14ac:dyDescent="0.25">
      <c r="A116" t="s">
        <v>4862</v>
      </c>
      <c r="B116" t="s">
        <v>4863</v>
      </c>
      <c r="C116" t="s">
        <v>4864</v>
      </c>
      <c r="D116" s="4">
        <v>45682.708333333343</v>
      </c>
      <c r="E116" t="s">
        <v>4705</v>
      </c>
      <c r="F116" t="s">
        <v>4736</v>
      </c>
      <c r="G116" t="s">
        <v>2805</v>
      </c>
      <c r="H116">
        <v>1.026</v>
      </c>
      <c r="I116">
        <f t="shared" si="3"/>
        <v>1.026</v>
      </c>
      <c r="J116">
        <v>16</v>
      </c>
      <c r="K116">
        <v>-9</v>
      </c>
      <c r="L116">
        <v>34</v>
      </c>
      <c r="M116">
        <v>2</v>
      </c>
      <c r="N116">
        <v>41</v>
      </c>
      <c r="O116">
        <v>-4.3333000000000004</v>
      </c>
      <c r="P116">
        <v>-4.5237999999999996</v>
      </c>
      <c r="Q116">
        <v>2.9</v>
      </c>
      <c r="R116">
        <v>10.777799999999999</v>
      </c>
    </row>
    <row r="117" spans="1:18" x14ac:dyDescent="0.25">
      <c r="A117" t="s">
        <v>4865</v>
      </c>
      <c r="B117" t="s">
        <v>4863</v>
      </c>
      <c r="C117" t="s">
        <v>4864</v>
      </c>
      <c r="D117" s="4">
        <v>45685.791666666657</v>
      </c>
      <c r="E117" t="s">
        <v>4705</v>
      </c>
      <c r="F117" t="s">
        <v>4721</v>
      </c>
      <c r="G117" t="s">
        <v>393</v>
      </c>
      <c r="H117">
        <v>3.0327999999999999</v>
      </c>
      <c r="I117">
        <f t="shared" si="3"/>
        <v>3.0327999999999999</v>
      </c>
      <c r="J117">
        <v>11</v>
      </c>
      <c r="K117">
        <v>-6</v>
      </c>
      <c r="L117">
        <v>45</v>
      </c>
      <c r="M117">
        <v>4</v>
      </c>
      <c r="N117">
        <v>12</v>
      </c>
      <c r="O117">
        <v>6.25</v>
      </c>
      <c r="P117">
        <v>5.1764999999999999</v>
      </c>
      <c r="Q117">
        <v>0.75</v>
      </c>
      <c r="R117">
        <v>-0.75</v>
      </c>
    </row>
    <row r="118" spans="1:18" x14ac:dyDescent="0.25">
      <c r="A118" t="s">
        <v>4866</v>
      </c>
      <c r="B118" t="s">
        <v>4863</v>
      </c>
      <c r="C118" t="s">
        <v>4864</v>
      </c>
      <c r="D118" s="4">
        <v>45689.708333333343</v>
      </c>
      <c r="E118" t="s">
        <v>4705</v>
      </c>
      <c r="F118" t="s">
        <v>4706</v>
      </c>
      <c r="G118" t="s">
        <v>281</v>
      </c>
      <c r="H118">
        <v>2.6562000000000001</v>
      </c>
      <c r="I118">
        <f t="shared" si="3"/>
        <v>2.6562000000000001</v>
      </c>
      <c r="J118">
        <v>8</v>
      </c>
      <c r="K118">
        <v>-3</v>
      </c>
      <c r="L118">
        <v>50</v>
      </c>
      <c r="M118">
        <v>3</v>
      </c>
      <c r="N118">
        <v>11</v>
      </c>
      <c r="O118">
        <v>1.3846000000000001</v>
      </c>
      <c r="P118">
        <v>5.4</v>
      </c>
      <c r="Q118">
        <v>4.0667</v>
      </c>
      <c r="R118">
        <v>0.47620000000000001</v>
      </c>
    </row>
    <row r="119" spans="1:18" x14ac:dyDescent="0.25">
      <c r="A119" t="s">
        <v>4867</v>
      </c>
      <c r="B119" t="s">
        <v>2330</v>
      </c>
      <c r="C119" t="s">
        <v>4838</v>
      </c>
      <c r="D119" s="4">
        <v>45701.791666666657</v>
      </c>
      <c r="E119" t="s">
        <v>4705</v>
      </c>
      <c r="F119" t="s">
        <v>4732</v>
      </c>
      <c r="G119" t="s">
        <v>2144</v>
      </c>
      <c r="H119">
        <v>-6.9040999999999997</v>
      </c>
      <c r="I119">
        <f t="shared" si="3"/>
        <v>-6.9040999999999997</v>
      </c>
      <c r="J119">
        <v>3</v>
      </c>
      <c r="K119">
        <v>-16</v>
      </c>
      <c r="L119">
        <v>6</v>
      </c>
      <c r="M119">
        <v>4</v>
      </c>
      <c r="N119">
        <v>63</v>
      </c>
      <c r="O119">
        <v>-0.1176</v>
      </c>
      <c r="P119">
        <v>-9.625</v>
      </c>
      <c r="Q119">
        <v>-10.071400000000001</v>
      </c>
      <c r="R119">
        <v>-7.2222</v>
      </c>
    </row>
    <row r="120" spans="1:18" x14ac:dyDescent="0.25">
      <c r="A120" t="s">
        <v>4868</v>
      </c>
      <c r="B120" t="s">
        <v>2330</v>
      </c>
      <c r="C120" t="s">
        <v>4838</v>
      </c>
      <c r="D120" s="4">
        <v>45703.708333333343</v>
      </c>
      <c r="E120" t="s">
        <v>4705</v>
      </c>
      <c r="F120" t="s">
        <v>4708</v>
      </c>
      <c r="G120" t="s">
        <v>3351</v>
      </c>
      <c r="H120">
        <v>3.3651</v>
      </c>
      <c r="I120">
        <f t="shared" si="3"/>
        <v>3.3651</v>
      </c>
      <c r="J120">
        <v>14</v>
      </c>
      <c r="K120">
        <v>-7</v>
      </c>
      <c r="L120">
        <v>44</v>
      </c>
      <c r="M120">
        <v>6</v>
      </c>
      <c r="N120">
        <v>13</v>
      </c>
      <c r="O120">
        <v>2.4666999999999999</v>
      </c>
      <c r="P120">
        <v>-1.25</v>
      </c>
      <c r="Q120">
        <v>3.4706000000000001</v>
      </c>
      <c r="R120">
        <v>9.0667000000000009</v>
      </c>
    </row>
    <row r="121" spans="1:18" x14ac:dyDescent="0.25">
      <c r="A121" t="s">
        <v>4869</v>
      </c>
      <c r="B121" t="s">
        <v>2330</v>
      </c>
      <c r="C121" t="s">
        <v>4838</v>
      </c>
      <c r="D121" s="4">
        <v>45716.8125</v>
      </c>
      <c r="E121" t="s">
        <v>4726</v>
      </c>
      <c r="F121" t="s">
        <v>4705</v>
      </c>
      <c r="G121" t="s">
        <v>2260</v>
      </c>
      <c r="H121">
        <v>0.62770000000000004</v>
      </c>
      <c r="I121">
        <f t="shared" si="3"/>
        <v>-0.62770000000000004</v>
      </c>
      <c r="J121">
        <v>8</v>
      </c>
      <c r="K121">
        <v>-8</v>
      </c>
      <c r="L121">
        <v>45</v>
      </c>
      <c r="M121">
        <v>6</v>
      </c>
      <c r="N121">
        <v>43</v>
      </c>
      <c r="O121">
        <v>-0.61109999999999998</v>
      </c>
      <c r="P121">
        <v>-3.2856999999999998</v>
      </c>
      <c r="Q121">
        <v>-0.95450000000000002</v>
      </c>
      <c r="R121">
        <v>4.8484999999999996</v>
      </c>
    </row>
    <row r="122" spans="1:18" x14ac:dyDescent="0.25">
      <c r="A122" t="s">
        <v>4870</v>
      </c>
      <c r="B122" t="s">
        <v>2330</v>
      </c>
      <c r="C122" t="s">
        <v>4838</v>
      </c>
      <c r="D122" s="4">
        <v>45719.8125</v>
      </c>
      <c r="E122" t="s">
        <v>4739</v>
      </c>
      <c r="F122" t="s">
        <v>4705</v>
      </c>
      <c r="G122" t="s">
        <v>2149</v>
      </c>
      <c r="H122">
        <v>0.21840000000000001</v>
      </c>
      <c r="I122">
        <f t="shared" si="3"/>
        <v>-0.21840000000000001</v>
      </c>
      <c r="J122">
        <v>8</v>
      </c>
      <c r="K122">
        <v>-11</v>
      </c>
      <c r="L122">
        <v>48</v>
      </c>
      <c r="M122">
        <v>8</v>
      </c>
      <c r="N122">
        <v>31</v>
      </c>
      <c r="O122">
        <v>0.62960000000000005</v>
      </c>
      <c r="P122">
        <v>-8.1999999999999993</v>
      </c>
      <c r="Q122">
        <v>1.25</v>
      </c>
      <c r="R122">
        <v>4.5237999999999996</v>
      </c>
    </row>
    <row r="123" spans="1:18" x14ac:dyDescent="0.25">
      <c r="A123" t="s">
        <v>4871</v>
      </c>
      <c r="B123" t="s">
        <v>2330</v>
      </c>
      <c r="C123" t="s">
        <v>4838</v>
      </c>
      <c r="D123" s="4">
        <v>45735.791666666657</v>
      </c>
      <c r="E123" t="s">
        <v>4705</v>
      </c>
      <c r="F123" t="s">
        <v>4706</v>
      </c>
      <c r="G123" t="s">
        <v>4228</v>
      </c>
      <c r="H123">
        <v>7.55</v>
      </c>
      <c r="I123">
        <f t="shared" si="3"/>
        <v>7.55</v>
      </c>
      <c r="J123">
        <v>24</v>
      </c>
      <c r="K123">
        <v>-8</v>
      </c>
      <c r="L123">
        <v>62</v>
      </c>
      <c r="M123">
        <v>2</v>
      </c>
      <c r="N123">
        <v>16</v>
      </c>
      <c r="O123">
        <v>-2.5217000000000001</v>
      </c>
      <c r="P123">
        <v>7.8235000000000001</v>
      </c>
      <c r="Q123">
        <v>10</v>
      </c>
      <c r="R123">
        <v>17.166699999999999</v>
      </c>
    </row>
    <row r="124" spans="1:18" x14ac:dyDescent="0.25">
      <c r="A124" t="s">
        <v>4872</v>
      </c>
      <c r="B124" t="s">
        <v>2330</v>
      </c>
      <c r="C124" t="s">
        <v>4838</v>
      </c>
      <c r="D124" s="4">
        <v>45742.791666666657</v>
      </c>
      <c r="E124" t="s">
        <v>4705</v>
      </c>
      <c r="F124" t="s">
        <v>4714</v>
      </c>
      <c r="G124" t="s">
        <v>4232</v>
      </c>
      <c r="H124">
        <v>13.6875</v>
      </c>
      <c r="I124">
        <f t="shared" si="3"/>
        <v>13.6875</v>
      </c>
      <c r="J124">
        <v>23</v>
      </c>
      <c r="K124">
        <v>2</v>
      </c>
      <c r="L124">
        <v>80</v>
      </c>
      <c r="M124">
        <v>0</v>
      </c>
      <c r="N124">
        <v>0</v>
      </c>
      <c r="O124">
        <v>8.9091000000000005</v>
      </c>
      <c r="P124">
        <v>12.5</v>
      </c>
      <c r="Q124">
        <v>13.263199999999999</v>
      </c>
      <c r="R124">
        <v>20.8947</v>
      </c>
    </row>
    <row r="125" spans="1:18" x14ac:dyDescent="0.25">
      <c r="A125" t="s">
        <v>4873</v>
      </c>
      <c r="B125" t="s">
        <v>2330</v>
      </c>
      <c r="C125" t="s">
        <v>4838</v>
      </c>
      <c r="D125" s="4">
        <v>45745.75</v>
      </c>
      <c r="E125" t="s">
        <v>4705</v>
      </c>
      <c r="F125" t="s">
        <v>4716</v>
      </c>
      <c r="G125" t="s">
        <v>4238</v>
      </c>
      <c r="H125">
        <v>7.7930999999999999</v>
      </c>
      <c r="I125">
        <f t="shared" si="3"/>
        <v>7.7930999999999999</v>
      </c>
      <c r="J125">
        <v>21</v>
      </c>
      <c r="K125">
        <v>-4</v>
      </c>
      <c r="L125">
        <v>73</v>
      </c>
      <c r="M125">
        <v>4</v>
      </c>
      <c r="N125">
        <v>10</v>
      </c>
      <c r="O125">
        <v>-8.6999999999999994E-2</v>
      </c>
      <c r="P125">
        <v>5.2727000000000004</v>
      </c>
      <c r="Q125">
        <v>12.047599999999999</v>
      </c>
      <c r="R125">
        <v>14.8095</v>
      </c>
    </row>
    <row r="126" spans="1:18" x14ac:dyDescent="0.25">
      <c r="A126" t="s">
        <v>4874</v>
      </c>
      <c r="B126" t="s">
        <v>2330</v>
      </c>
      <c r="C126" t="s">
        <v>4838</v>
      </c>
      <c r="D126" s="4">
        <v>45748.833333333343</v>
      </c>
      <c r="E126" t="s">
        <v>4721</v>
      </c>
      <c r="F126" t="s">
        <v>4705</v>
      </c>
      <c r="G126" t="s">
        <v>3097</v>
      </c>
      <c r="H126">
        <v>8.6428999999999991</v>
      </c>
      <c r="I126">
        <f t="shared" si="3"/>
        <v>-8.6428999999999991</v>
      </c>
      <c r="J126">
        <v>23</v>
      </c>
      <c r="K126">
        <v>-6</v>
      </c>
      <c r="L126">
        <v>53</v>
      </c>
      <c r="M126">
        <v>3</v>
      </c>
      <c r="N126">
        <v>14</v>
      </c>
      <c r="O126">
        <v>1</v>
      </c>
      <c r="P126">
        <v>4.9090999999999996</v>
      </c>
      <c r="Q126">
        <v>13.3636</v>
      </c>
      <c r="R126">
        <v>19.411799999999999</v>
      </c>
    </row>
    <row r="127" spans="1:18" x14ac:dyDescent="0.25">
      <c r="A127" t="s">
        <v>4875</v>
      </c>
      <c r="B127" t="s">
        <v>2330</v>
      </c>
      <c r="C127" t="s">
        <v>4838</v>
      </c>
      <c r="D127" s="4">
        <v>45750.8125</v>
      </c>
      <c r="E127" t="s">
        <v>4734</v>
      </c>
      <c r="F127" t="s">
        <v>4705</v>
      </c>
      <c r="G127" t="s">
        <v>523</v>
      </c>
      <c r="H127">
        <v>2.7778</v>
      </c>
      <c r="I127">
        <f t="shared" si="3"/>
        <v>-2.7778</v>
      </c>
      <c r="J127">
        <v>12</v>
      </c>
      <c r="K127">
        <v>-7</v>
      </c>
      <c r="L127">
        <v>47</v>
      </c>
      <c r="M127">
        <v>7</v>
      </c>
      <c r="N127">
        <v>18</v>
      </c>
      <c r="O127">
        <v>3.1905000000000001</v>
      </c>
      <c r="P127">
        <v>7.7691999999999997</v>
      </c>
      <c r="Q127">
        <v>-3</v>
      </c>
      <c r="R127">
        <v>4.3</v>
      </c>
    </row>
    <row r="128" spans="1:18" x14ac:dyDescent="0.25">
      <c r="A128" t="s">
        <v>4876</v>
      </c>
      <c r="B128" t="s">
        <v>2330</v>
      </c>
      <c r="C128" t="s">
        <v>4838</v>
      </c>
      <c r="D128" s="4">
        <v>45754.791666666657</v>
      </c>
      <c r="E128" t="s">
        <v>4705</v>
      </c>
      <c r="F128" t="s">
        <v>4779</v>
      </c>
      <c r="G128" t="s">
        <v>1182</v>
      </c>
      <c r="H128">
        <v>2.7307999999999999</v>
      </c>
      <c r="I128">
        <f t="shared" si="3"/>
        <v>2.7307999999999999</v>
      </c>
      <c r="J128">
        <v>9</v>
      </c>
      <c r="K128">
        <v>-5</v>
      </c>
      <c r="L128">
        <v>57</v>
      </c>
      <c r="M128">
        <v>10</v>
      </c>
      <c r="N128">
        <v>11</v>
      </c>
      <c r="O128">
        <v>4.5293999999999999</v>
      </c>
      <c r="P128">
        <v>1.7778</v>
      </c>
      <c r="Q128">
        <v>3.2222</v>
      </c>
      <c r="R128">
        <v>1.875</v>
      </c>
    </row>
    <row r="129" spans="1:18" x14ac:dyDescent="0.25">
      <c r="A129" t="s">
        <v>4877</v>
      </c>
      <c r="B129" t="s">
        <v>2330</v>
      </c>
      <c r="C129" t="s">
        <v>4838</v>
      </c>
      <c r="D129" s="4">
        <v>45756.791666666657</v>
      </c>
      <c r="E129" t="s">
        <v>4705</v>
      </c>
      <c r="F129" t="s">
        <v>4776</v>
      </c>
      <c r="G129" t="s">
        <v>3145</v>
      </c>
      <c r="H129">
        <v>13.1111</v>
      </c>
      <c r="I129">
        <f t="shared" si="3"/>
        <v>13.1111</v>
      </c>
      <c r="J129">
        <v>31</v>
      </c>
      <c r="K129">
        <v>-4</v>
      </c>
      <c r="L129">
        <v>58</v>
      </c>
      <c r="M129">
        <v>4</v>
      </c>
      <c r="N129">
        <v>10</v>
      </c>
      <c r="O129">
        <v>-0.2727</v>
      </c>
      <c r="P129">
        <v>10.6</v>
      </c>
      <c r="Q129">
        <v>20.928599999999999</v>
      </c>
      <c r="R129">
        <v>29.285699999999999</v>
      </c>
    </row>
    <row r="130" spans="1:18" x14ac:dyDescent="0.25">
      <c r="A130" t="s">
        <v>4878</v>
      </c>
      <c r="B130" t="s">
        <v>2330</v>
      </c>
      <c r="C130" t="s">
        <v>4838</v>
      </c>
      <c r="D130" s="4">
        <v>45759.708333333343</v>
      </c>
      <c r="E130" t="s">
        <v>4736</v>
      </c>
      <c r="F130" t="s">
        <v>4705</v>
      </c>
      <c r="G130" t="s">
        <v>2606</v>
      </c>
      <c r="H130">
        <v>-4.3836000000000004</v>
      </c>
      <c r="I130">
        <f t="shared" ref="I130:I161" si="4">IF(E130="MIN",H130,-H130)</f>
        <v>4.3836000000000004</v>
      </c>
      <c r="J130">
        <v>4</v>
      </c>
      <c r="K130">
        <v>-14</v>
      </c>
      <c r="L130">
        <v>13</v>
      </c>
      <c r="M130">
        <v>4</v>
      </c>
      <c r="N130">
        <v>56</v>
      </c>
      <c r="O130">
        <v>-3.3571</v>
      </c>
      <c r="P130">
        <v>1.5</v>
      </c>
      <c r="Q130">
        <v>-5.0526</v>
      </c>
      <c r="R130">
        <v>-8.375</v>
      </c>
    </row>
    <row r="131" spans="1:18" x14ac:dyDescent="0.25">
      <c r="A131" t="s">
        <v>4879</v>
      </c>
      <c r="B131" t="s">
        <v>2330</v>
      </c>
      <c r="C131" t="s">
        <v>4838</v>
      </c>
      <c r="D131" s="4">
        <v>45761.8125</v>
      </c>
      <c r="E131" t="s">
        <v>4728</v>
      </c>
      <c r="F131" t="s">
        <v>4705</v>
      </c>
      <c r="G131" t="s">
        <v>1546</v>
      </c>
      <c r="H131">
        <v>1.5752999999999999</v>
      </c>
      <c r="I131">
        <f t="shared" si="4"/>
        <v>-1.5752999999999999</v>
      </c>
      <c r="J131">
        <v>11</v>
      </c>
      <c r="K131">
        <v>-5</v>
      </c>
      <c r="L131">
        <v>37</v>
      </c>
      <c r="M131">
        <v>8</v>
      </c>
      <c r="N131">
        <v>28</v>
      </c>
      <c r="O131">
        <v>0.4375</v>
      </c>
      <c r="P131">
        <v>-0.68</v>
      </c>
      <c r="Q131">
        <v>0.8125</v>
      </c>
      <c r="R131">
        <v>7</v>
      </c>
    </row>
    <row r="132" spans="1:18" x14ac:dyDescent="0.25">
      <c r="A132" t="s">
        <v>4880</v>
      </c>
      <c r="B132" t="s">
        <v>2330</v>
      </c>
      <c r="C132" t="s">
        <v>4838</v>
      </c>
      <c r="D132" s="4">
        <v>45773.75</v>
      </c>
      <c r="E132" t="s">
        <v>4782</v>
      </c>
      <c r="F132" t="s">
        <v>4705</v>
      </c>
      <c r="G132" t="s">
        <v>3647</v>
      </c>
      <c r="H132">
        <v>4</v>
      </c>
      <c r="I132">
        <f t="shared" si="4"/>
        <v>-4</v>
      </c>
      <c r="J132">
        <v>15</v>
      </c>
      <c r="K132">
        <v>-4</v>
      </c>
      <c r="L132">
        <v>64</v>
      </c>
      <c r="M132">
        <v>4</v>
      </c>
      <c r="N132">
        <v>16</v>
      </c>
      <c r="O132">
        <v>-0.25</v>
      </c>
      <c r="P132">
        <v>2.5333000000000001</v>
      </c>
      <c r="Q132">
        <v>5.3478000000000003</v>
      </c>
      <c r="R132">
        <v>6.9230999999999998</v>
      </c>
    </row>
    <row r="133" spans="1:18" x14ac:dyDescent="0.25">
      <c r="A133" t="s">
        <v>4881</v>
      </c>
      <c r="B133" t="s">
        <v>2330</v>
      </c>
      <c r="C133" t="s">
        <v>4838</v>
      </c>
      <c r="D133" s="4">
        <v>45776.791666666657</v>
      </c>
      <c r="E133" t="s">
        <v>4705</v>
      </c>
      <c r="F133" t="s">
        <v>4782</v>
      </c>
      <c r="G133" t="s">
        <v>4266</v>
      </c>
      <c r="H133">
        <v>11.476699999999999</v>
      </c>
      <c r="I133">
        <f t="shared" si="4"/>
        <v>11.476699999999999</v>
      </c>
      <c r="J133">
        <v>28</v>
      </c>
      <c r="K133">
        <v>-4</v>
      </c>
      <c r="L133">
        <v>77</v>
      </c>
      <c r="M133">
        <v>1</v>
      </c>
      <c r="N133">
        <v>8</v>
      </c>
      <c r="O133">
        <v>1.1738999999999999</v>
      </c>
      <c r="P133">
        <v>7</v>
      </c>
      <c r="Q133">
        <v>12.6</v>
      </c>
      <c r="R133">
        <v>23.958300000000001</v>
      </c>
    </row>
    <row r="134" spans="1:18" x14ac:dyDescent="0.25">
      <c r="A134" t="s">
        <v>4882</v>
      </c>
      <c r="B134" t="s">
        <v>2330</v>
      </c>
      <c r="C134" t="s">
        <v>4838</v>
      </c>
      <c r="D134" s="4">
        <v>45778.75</v>
      </c>
      <c r="E134" t="s">
        <v>4705</v>
      </c>
      <c r="F134" t="s">
        <v>4782</v>
      </c>
      <c r="G134" t="s">
        <v>2092</v>
      </c>
      <c r="H134">
        <v>5.7680999999999996</v>
      </c>
      <c r="I134">
        <f t="shared" si="4"/>
        <v>5.7680999999999996</v>
      </c>
      <c r="J134">
        <v>19</v>
      </c>
      <c r="K134">
        <v>-5</v>
      </c>
      <c r="L134">
        <v>57</v>
      </c>
      <c r="M134">
        <v>4</v>
      </c>
      <c r="N134">
        <v>8</v>
      </c>
      <c r="O134">
        <v>0.57889999999999997</v>
      </c>
      <c r="P134">
        <v>3.6111</v>
      </c>
      <c r="Q134">
        <v>6.4118000000000004</v>
      </c>
      <c r="R134">
        <v>14.2</v>
      </c>
    </row>
    <row r="135" spans="1:18" x14ac:dyDescent="0.25">
      <c r="A135" t="s">
        <v>4883</v>
      </c>
      <c r="B135" t="s">
        <v>2330</v>
      </c>
      <c r="C135" t="s">
        <v>4838</v>
      </c>
      <c r="D135" s="4">
        <v>45786.833333333343</v>
      </c>
      <c r="E135" t="s">
        <v>4779</v>
      </c>
      <c r="F135" t="s">
        <v>4705</v>
      </c>
      <c r="G135" t="s">
        <v>2258</v>
      </c>
      <c r="H135">
        <v>2.8925000000000001</v>
      </c>
      <c r="I135">
        <f t="shared" si="4"/>
        <v>-2.8925000000000001</v>
      </c>
      <c r="J135">
        <v>14</v>
      </c>
      <c r="K135">
        <v>-5</v>
      </c>
      <c r="L135">
        <v>68</v>
      </c>
      <c r="M135">
        <v>7</v>
      </c>
      <c r="N135">
        <v>18</v>
      </c>
      <c r="O135">
        <v>6.8888999999999996</v>
      </c>
      <c r="P135">
        <v>1.381</v>
      </c>
      <c r="Q135">
        <v>1.6087</v>
      </c>
      <c r="R135">
        <v>2.5484</v>
      </c>
    </row>
    <row r="136" spans="1:18" x14ac:dyDescent="0.25">
      <c r="A136" t="s">
        <v>4884</v>
      </c>
      <c r="B136" t="s">
        <v>2330</v>
      </c>
      <c r="C136" t="s">
        <v>4838</v>
      </c>
      <c r="D136" s="4">
        <v>45789.791666666657</v>
      </c>
      <c r="E136" t="s">
        <v>4705</v>
      </c>
      <c r="F136" t="s">
        <v>4779</v>
      </c>
      <c r="G136" t="s">
        <v>2197</v>
      </c>
      <c r="H136">
        <v>6.6813000000000002</v>
      </c>
      <c r="I136">
        <f t="shared" si="4"/>
        <v>6.6813000000000002</v>
      </c>
      <c r="J136">
        <v>17</v>
      </c>
      <c r="K136">
        <v>-5</v>
      </c>
      <c r="L136">
        <v>80</v>
      </c>
      <c r="M136">
        <v>5</v>
      </c>
      <c r="N136">
        <v>6</v>
      </c>
      <c r="O136">
        <v>0.73329999999999995</v>
      </c>
      <c r="P136">
        <v>12.1111</v>
      </c>
      <c r="Q136">
        <v>7.2759</v>
      </c>
      <c r="R136">
        <v>5.7930999999999999</v>
      </c>
    </row>
    <row r="137" spans="1:18" x14ac:dyDescent="0.25">
      <c r="A137" t="s">
        <v>4885</v>
      </c>
      <c r="B137" t="s">
        <v>2330</v>
      </c>
      <c r="C137" t="s">
        <v>4838</v>
      </c>
      <c r="D137" s="4">
        <v>45791.791666666657</v>
      </c>
      <c r="E137" t="s">
        <v>4705</v>
      </c>
      <c r="F137" t="s">
        <v>4779</v>
      </c>
      <c r="G137" t="s">
        <v>2948</v>
      </c>
      <c r="H137">
        <v>5.9382999999999999</v>
      </c>
      <c r="I137">
        <f t="shared" si="4"/>
        <v>5.9382999999999999</v>
      </c>
      <c r="J137">
        <v>23</v>
      </c>
      <c r="K137">
        <v>-4</v>
      </c>
      <c r="L137">
        <v>62</v>
      </c>
      <c r="M137">
        <v>5</v>
      </c>
      <c r="N137">
        <v>14</v>
      </c>
      <c r="O137">
        <v>-0.57140000000000002</v>
      </c>
      <c r="P137">
        <v>4.8696000000000002</v>
      </c>
      <c r="Q137">
        <v>3.5625</v>
      </c>
      <c r="R137">
        <v>15.428599999999999</v>
      </c>
    </row>
    <row r="138" spans="1:18" x14ac:dyDescent="0.25">
      <c r="A138" t="s">
        <v>4886</v>
      </c>
      <c r="B138" t="s">
        <v>2330</v>
      </c>
      <c r="C138" t="s">
        <v>4838</v>
      </c>
      <c r="D138" s="4">
        <v>45800.833333333343</v>
      </c>
      <c r="E138" t="s">
        <v>4710</v>
      </c>
      <c r="F138" t="s">
        <v>4705</v>
      </c>
      <c r="G138" t="s">
        <v>4887</v>
      </c>
      <c r="H138">
        <v>3.7846000000000002</v>
      </c>
      <c r="I138">
        <f t="shared" si="4"/>
        <v>-3.7846000000000002</v>
      </c>
      <c r="J138">
        <v>14</v>
      </c>
      <c r="K138">
        <v>-7</v>
      </c>
      <c r="L138">
        <v>46</v>
      </c>
      <c r="M138">
        <v>3</v>
      </c>
      <c r="N138">
        <v>16</v>
      </c>
      <c r="O138">
        <v>-1.875</v>
      </c>
      <c r="P138">
        <v>2.1175999999999999</v>
      </c>
      <c r="Q138">
        <v>5.3810000000000002</v>
      </c>
      <c r="R138">
        <v>11.545500000000001</v>
      </c>
    </row>
    <row r="139" spans="1:18" x14ac:dyDescent="0.25">
      <c r="A139" t="s">
        <v>4888</v>
      </c>
      <c r="B139" t="s">
        <v>2330</v>
      </c>
      <c r="C139" t="s">
        <v>4838</v>
      </c>
      <c r="D139" s="4">
        <v>45803.791666666657</v>
      </c>
      <c r="E139" t="s">
        <v>4705</v>
      </c>
      <c r="F139" t="s">
        <v>4710</v>
      </c>
      <c r="G139" t="s">
        <v>1961</v>
      </c>
      <c r="H139">
        <v>1.3635999999999999</v>
      </c>
      <c r="I139">
        <f t="shared" si="4"/>
        <v>1.3635999999999999</v>
      </c>
      <c r="J139">
        <v>10</v>
      </c>
      <c r="K139">
        <v>-8</v>
      </c>
      <c r="L139">
        <v>45</v>
      </c>
      <c r="M139">
        <v>3</v>
      </c>
      <c r="N139">
        <v>29</v>
      </c>
      <c r="O139">
        <v>5.1111000000000004</v>
      </c>
      <c r="P139">
        <v>4.8635999999999999</v>
      </c>
      <c r="Q139">
        <v>-3.1579000000000002</v>
      </c>
      <c r="R139">
        <v>-1.8889</v>
      </c>
    </row>
    <row r="140" spans="1:18" x14ac:dyDescent="0.25">
      <c r="A140" t="s">
        <v>4889</v>
      </c>
      <c r="B140" t="s">
        <v>2330</v>
      </c>
      <c r="C140" t="s">
        <v>4838</v>
      </c>
      <c r="D140" s="4">
        <v>45805.791666666657</v>
      </c>
      <c r="E140" t="s">
        <v>4705</v>
      </c>
      <c r="F140" t="s">
        <v>4710</v>
      </c>
      <c r="G140" t="s">
        <v>2556</v>
      </c>
      <c r="H140">
        <v>5.0713999999999997</v>
      </c>
      <c r="I140">
        <f t="shared" si="4"/>
        <v>5.0713999999999997</v>
      </c>
      <c r="J140">
        <v>15</v>
      </c>
      <c r="K140">
        <v>-6</v>
      </c>
      <c r="L140">
        <v>59</v>
      </c>
      <c r="M140">
        <v>0</v>
      </c>
      <c r="N140">
        <v>11</v>
      </c>
      <c r="O140">
        <v>1.0667</v>
      </c>
      <c r="P140">
        <v>8.5455000000000005</v>
      </c>
      <c r="Q140">
        <v>7.2667000000000002</v>
      </c>
      <c r="R140">
        <v>2.3332999999999999</v>
      </c>
    </row>
    <row r="141" spans="1:18" x14ac:dyDescent="0.25">
      <c r="A141" t="s">
        <v>4890</v>
      </c>
      <c r="B141" t="s">
        <v>2330</v>
      </c>
      <c r="C141" t="s">
        <v>4838</v>
      </c>
      <c r="D141" s="4">
        <v>45815.708333333343</v>
      </c>
      <c r="E141" t="s">
        <v>4712</v>
      </c>
      <c r="F141" t="s">
        <v>4705</v>
      </c>
      <c r="G141" t="s">
        <v>2238</v>
      </c>
      <c r="H141">
        <v>-1.3824000000000001</v>
      </c>
      <c r="I141">
        <f t="shared" si="4"/>
        <v>1.3824000000000001</v>
      </c>
      <c r="J141">
        <v>6</v>
      </c>
      <c r="K141">
        <v>-11</v>
      </c>
      <c r="L141">
        <v>19</v>
      </c>
      <c r="M141">
        <v>7</v>
      </c>
      <c r="N141">
        <v>42</v>
      </c>
      <c r="O141">
        <v>-2.6667000000000001</v>
      </c>
      <c r="P141">
        <v>-3.7894999999999999</v>
      </c>
      <c r="Q141">
        <v>1.0713999999999999</v>
      </c>
      <c r="R141">
        <v>1.3571</v>
      </c>
    </row>
    <row r="142" spans="1:18" x14ac:dyDescent="0.25">
      <c r="A142" t="s">
        <v>4891</v>
      </c>
      <c r="B142" t="s">
        <v>2330</v>
      </c>
      <c r="C142" t="s">
        <v>4838</v>
      </c>
      <c r="D142" s="4">
        <v>45820.8125</v>
      </c>
      <c r="E142" t="s">
        <v>4705</v>
      </c>
      <c r="F142" t="s">
        <v>4712</v>
      </c>
      <c r="G142" t="s">
        <v>4326</v>
      </c>
      <c r="H142">
        <v>-14.0345</v>
      </c>
      <c r="I142">
        <f t="shared" si="4"/>
        <v>-14.0345</v>
      </c>
      <c r="J142">
        <v>2</v>
      </c>
      <c r="K142">
        <v>-30</v>
      </c>
      <c r="L142">
        <v>2</v>
      </c>
      <c r="M142">
        <v>2</v>
      </c>
      <c r="N142">
        <v>83</v>
      </c>
      <c r="O142">
        <v>-4</v>
      </c>
      <c r="P142">
        <v>-15.235300000000001</v>
      </c>
      <c r="Q142">
        <v>-16.84</v>
      </c>
      <c r="R142">
        <v>-19.041699999999999</v>
      </c>
    </row>
    <row r="143" spans="1:18" x14ac:dyDescent="0.25">
      <c r="A143" t="s">
        <v>4892</v>
      </c>
      <c r="B143" t="s">
        <v>2330</v>
      </c>
      <c r="C143" t="s">
        <v>4838</v>
      </c>
      <c r="D143" s="4">
        <v>45822.708333333343</v>
      </c>
      <c r="E143" t="s">
        <v>4705</v>
      </c>
      <c r="F143" t="s">
        <v>4712</v>
      </c>
      <c r="G143" t="s">
        <v>153</v>
      </c>
      <c r="H143">
        <v>-7.4667000000000003</v>
      </c>
      <c r="I143">
        <f t="shared" si="4"/>
        <v>-7.4667000000000003</v>
      </c>
      <c r="J143">
        <v>-2</v>
      </c>
      <c r="K143">
        <v>-14</v>
      </c>
      <c r="L143">
        <v>0</v>
      </c>
      <c r="M143">
        <v>0</v>
      </c>
      <c r="N143">
        <v>90</v>
      </c>
      <c r="O143">
        <v>-4.5833000000000004</v>
      </c>
      <c r="P143">
        <v>-7.4375</v>
      </c>
      <c r="Q143">
        <v>-6.5625</v>
      </c>
      <c r="R143">
        <v>-9.9412000000000003</v>
      </c>
    </row>
    <row r="144" spans="1:18" x14ac:dyDescent="0.25">
      <c r="A144" t="s">
        <v>4893</v>
      </c>
      <c r="B144" t="s">
        <v>2330</v>
      </c>
      <c r="C144" t="s">
        <v>4838</v>
      </c>
      <c r="D144" s="4">
        <v>45826.770833333343</v>
      </c>
      <c r="E144" t="s">
        <v>4712</v>
      </c>
      <c r="F144" t="s">
        <v>4705</v>
      </c>
      <c r="G144" t="s">
        <v>997</v>
      </c>
      <c r="H144">
        <v>-1.2528999999999999</v>
      </c>
      <c r="I144">
        <f t="shared" si="4"/>
        <v>1.2528999999999999</v>
      </c>
      <c r="J144">
        <v>8</v>
      </c>
      <c r="K144">
        <v>-13</v>
      </c>
      <c r="L144">
        <v>24</v>
      </c>
      <c r="M144">
        <v>8</v>
      </c>
      <c r="N144">
        <v>55</v>
      </c>
      <c r="O144">
        <v>-0.30769999999999997</v>
      </c>
      <c r="P144">
        <v>-2.7726999999999999</v>
      </c>
      <c r="Q144">
        <v>1.8695999999999999</v>
      </c>
      <c r="R144">
        <v>-5.1875</v>
      </c>
    </row>
    <row r="145" spans="1:18" x14ac:dyDescent="0.25">
      <c r="A145" t="s">
        <v>4894</v>
      </c>
      <c r="B145" t="s">
        <v>593</v>
      </c>
      <c r="C145" t="s">
        <v>4895</v>
      </c>
      <c r="D145" s="4">
        <v>45948.75</v>
      </c>
      <c r="E145" t="s">
        <v>4705</v>
      </c>
      <c r="F145" t="s">
        <v>4732</v>
      </c>
      <c r="G145" t="s">
        <v>4216</v>
      </c>
      <c r="H145">
        <v>-0.45879999999999999</v>
      </c>
      <c r="I145">
        <f t="shared" si="4"/>
        <v>-0.45879999999999999</v>
      </c>
      <c r="J145">
        <v>6</v>
      </c>
      <c r="K145">
        <v>-8</v>
      </c>
      <c r="L145">
        <v>34</v>
      </c>
      <c r="M145">
        <v>10</v>
      </c>
      <c r="N145">
        <v>41</v>
      </c>
      <c r="O145">
        <v>0.35</v>
      </c>
      <c r="P145">
        <v>1.0909</v>
      </c>
      <c r="Q145">
        <v>0.25</v>
      </c>
      <c r="R145">
        <v>-2.7406999999999999</v>
      </c>
    </row>
    <row r="146" spans="1:18" x14ac:dyDescent="0.25">
      <c r="A146" t="s">
        <v>4896</v>
      </c>
      <c r="B146" t="s">
        <v>593</v>
      </c>
      <c r="C146" t="s">
        <v>4895</v>
      </c>
      <c r="D146" s="4">
        <v>45950.791666666657</v>
      </c>
      <c r="E146" t="s">
        <v>4705</v>
      </c>
      <c r="F146" t="s">
        <v>4724</v>
      </c>
      <c r="G146" t="s">
        <v>1631</v>
      </c>
      <c r="H146">
        <v>0.88780000000000003</v>
      </c>
      <c r="I146">
        <f t="shared" si="4"/>
        <v>0.88780000000000003</v>
      </c>
      <c r="J146">
        <v>11</v>
      </c>
      <c r="K146">
        <v>-9</v>
      </c>
      <c r="L146">
        <v>55</v>
      </c>
      <c r="M146">
        <v>7</v>
      </c>
      <c r="N146">
        <v>36</v>
      </c>
      <c r="O146">
        <v>-3.2368000000000001</v>
      </c>
      <c r="P146">
        <v>1</v>
      </c>
      <c r="Q146">
        <v>5</v>
      </c>
      <c r="R146">
        <v>4.3076999999999996</v>
      </c>
    </row>
    <row r="147" spans="1:18" x14ac:dyDescent="0.25">
      <c r="A147" t="s">
        <v>4897</v>
      </c>
      <c r="B147" t="s">
        <v>593</v>
      </c>
      <c r="C147" t="s">
        <v>4895</v>
      </c>
      <c r="D147" s="4">
        <v>45953.791666666657</v>
      </c>
      <c r="E147" t="s">
        <v>4705</v>
      </c>
      <c r="F147" t="s">
        <v>4782</v>
      </c>
      <c r="G147" t="s">
        <v>1185</v>
      </c>
      <c r="H147">
        <v>1.3293999999999999</v>
      </c>
      <c r="I147">
        <f t="shared" si="4"/>
        <v>1.3293999999999999</v>
      </c>
      <c r="J147">
        <v>10</v>
      </c>
      <c r="K147">
        <v>-7</v>
      </c>
      <c r="L147">
        <v>44</v>
      </c>
      <c r="M147">
        <v>8</v>
      </c>
      <c r="N147">
        <v>33</v>
      </c>
      <c r="O147">
        <v>-2.2778</v>
      </c>
      <c r="P147">
        <v>-9.5200000000000007E-2</v>
      </c>
      <c r="Q147">
        <v>0.72729999999999995</v>
      </c>
      <c r="R147">
        <v>5.8333000000000004</v>
      </c>
    </row>
    <row r="148" spans="1:18" x14ac:dyDescent="0.25">
      <c r="A148" t="s">
        <v>4898</v>
      </c>
      <c r="B148" t="s">
        <v>593</v>
      </c>
      <c r="C148" t="s">
        <v>4895</v>
      </c>
      <c r="D148" s="4">
        <v>45957.8125</v>
      </c>
      <c r="E148" t="s">
        <v>4734</v>
      </c>
      <c r="F148" t="s">
        <v>4705</v>
      </c>
      <c r="G148" t="s">
        <v>3458</v>
      </c>
      <c r="H148">
        <v>2.3866999999999998</v>
      </c>
      <c r="I148">
        <f t="shared" si="4"/>
        <v>-2.3866999999999998</v>
      </c>
      <c r="J148">
        <v>13</v>
      </c>
      <c r="K148">
        <v>-6</v>
      </c>
      <c r="L148">
        <v>46</v>
      </c>
      <c r="M148">
        <v>6</v>
      </c>
      <c r="N148">
        <v>23</v>
      </c>
      <c r="O148">
        <v>7.3333000000000004</v>
      </c>
      <c r="P148">
        <v>1.2941</v>
      </c>
      <c r="Q148">
        <v>-0.77780000000000005</v>
      </c>
      <c r="R148">
        <v>0.89470000000000005</v>
      </c>
    </row>
    <row r="149" spans="1:18" x14ac:dyDescent="0.25">
      <c r="A149" t="s">
        <v>4899</v>
      </c>
      <c r="B149" t="s">
        <v>593</v>
      </c>
      <c r="C149" t="s">
        <v>4895</v>
      </c>
      <c r="D149" s="4">
        <v>45962.458333333343</v>
      </c>
      <c r="E149" t="s">
        <v>4900</v>
      </c>
      <c r="F149" t="s">
        <v>4705</v>
      </c>
      <c r="G149" t="s">
        <v>863</v>
      </c>
      <c r="H149">
        <v>7.3677999999999999</v>
      </c>
      <c r="I149">
        <f t="shared" si="4"/>
        <v>-7.3677999999999999</v>
      </c>
      <c r="J149">
        <v>16</v>
      </c>
      <c r="K149">
        <v>-1</v>
      </c>
      <c r="L149">
        <v>84</v>
      </c>
      <c r="M149">
        <v>2</v>
      </c>
      <c r="N149">
        <v>1</v>
      </c>
      <c r="O149">
        <v>6.2727000000000004</v>
      </c>
      <c r="P149">
        <v>2.8235000000000001</v>
      </c>
      <c r="Q149">
        <v>11.84</v>
      </c>
      <c r="R149">
        <v>6.9130000000000003</v>
      </c>
    </row>
    <row r="150" spans="1:18" x14ac:dyDescent="0.25">
      <c r="A150" t="s">
        <v>4901</v>
      </c>
      <c r="B150" t="s">
        <v>593</v>
      </c>
      <c r="C150" t="s">
        <v>4895</v>
      </c>
      <c r="D150" s="4">
        <v>45965.791666666657</v>
      </c>
      <c r="E150" t="s">
        <v>4705</v>
      </c>
      <c r="F150" t="s">
        <v>4712</v>
      </c>
      <c r="G150" t="s">
        <v>4346</v>
      </c>
      <c r="H150">
        <v>2.75</v>
      </c>
      <c r="I150">
        <f t="shared" si="4"/>
        <v>2.75</v>
      </c>
      <c r="J150">
        <v>17</v>
      </c>
      <c r="K150">
        <v>-7</v>
      </c>
      <c r="L150">
        <v>49</v>
      </c>
      <c r="M150">
        <v>8</v>
      </c>
      <c r="N150">
        <v>27</v>
      </c>
      <c r="O150">
        <v>0.2273</v>
      </c>
      <c r="P150">
        <v>-0.2273</v>
      </c>
      <c r="Q150">
        <v>0.1</v>
      </c>
      <c r="R150">
        <v>11.45</v>
      </c>
    </row>
    <row r="151" spans="1:18" x14ac:dyDescent="0.25">
      <c r="A151" t="s">
        <v>4902</v>
      </c>
      <c r="B151" t="s">
        <v>593</v>
      </c>
      <c r="C151" t="s">
        <v>4895</v>
      </c>
      <c r="D151" s="4">
        <v>45969.75</v>
      </c>
      <c r="E151" t="s">
        <v>4730</v>
      </c>
      <c r="F151" t="s">
        <v>4705</v>
      </c>
      <c r="G151" t="s">
        <v>4903</v>
      </c>
      <c r="H151">
        <v>17.638300000000001</v>
      </c>
      <c r="I151">
        <f t="shared" si="4"/>
        <v>-17.638300000000001</v>
      </c>
      <c r="J151">
        <v>38</v>
      </c>
      <c r="K151">
        <v>-3</v>
      </c>
      <c r="L151">
        <v>90</v>
      </c>
      <c r="M151">
        <v>1</v>
      </c>
      <c r="N151">
        <v>3</v>
      </c>
      <c r="O151">
        <v>4.7916999999999996</v>
      </c>
      <c r="P151">
        <v>17.678599999999999</v>
      </c>
      <c r="Q151">
        <v>17.454499999999999</v>
      </c>
      <c r="R151">
        <v>33.200000000000003</v>
      </c>
    </row>
    <row r="152" spans="1:18" x14ac:dyDescent="0.25">
      <c r="A152" t="s">
        <v>4904</v>
      </c>
      <c r="B152" t="s">
        <v>593</v>
      </c>
      <c r="C152" t="s">
        <v>4895</v>
      </c>
      <c r="D152" s="4">
        <v>45971.84375</v>
      </c>
      <c r="E152" t="s">
        <v>4721</v>
      </c>
      <c r="F152" t="s">
        <v>4705</v>
      </c>
      <c r="G152" t="s">
        <v>2318</v>
      </c>
      <c r="H152">
        <v>3.3214000000000001</v>
      </c>
      <c r="I152">
        <f t="shared" si="4"/>
        <v>-3.3214000000000001</v>
      </c>
      <c r="J152">
        <v>11</v>
      </c>
      <c r="K152">
        <v>-4</v>
      </c>
      <c r="L152">
        <v>60</v>
      </c>
      <c r="M152">
        <v>6</v>
      </c>
      <c r="N152">
        <v>18</v>
      </c>
      <c r="O152">
        <v>0.95</v>
      </c>
      <c r="P152">
        <v>0.26090000000000002</v>
      </c>
      <c r="Q152">
        <v>6.2222</v>
      </c>
      <c r="R152">
        <v>6.1738999999999997</v>
      </c>
    </row>
    <row r="153" spans="1:18" x14ac:dyDescent="0.25">
      <c r="A153" t="s">
        <v>4905</v>
      </c>
      <c r="B153" t="s">
        <v>593</v>
      </c>
      <c r="C153" t="s">
        <v>4895</v>
      </c>
      <c r="D153" s="4">
        <v>45976.583333333343</v>
      </c>
      <c r="E153" t="s">
        <v>4705</v>
      </c>
      <c r="F153" t="s">
        <v>4906</v>
      </c>
      <c r="G153" t="s">
        <v>2322</v>
      </c>
      <c r="H153">
        <v>-3.4022999999999999</v>
      </c>
      <c r="I153">
        <f t="shared" si="4"/>
        <v>-3.4022999999999999</v>
      </c>
      <c r="J153">
        <v>5</v>
      </c>
      <c r="K153">
        <v>-9</v>
      </c>
      <c r="L153">
        <v>11</v>
      </c>
      <c r="M153">
        <v>4</v>
      </c>
      <c r="N153">
        <v>72</v>
      </c>
      <c r="O153">
        <v>-3.9544999999999999</v>
      </c>
      <c r="P153">
        <v>-6.3929</v>
      </c>
      <c r="Q153">
        <v>-1.5</v>
      </c>
      <c r="R153">
        <v>-0.15790000000000001</v>
      </c>
    </row>
    <row r="154" spans="1:18" x14ac:dyDescent="0.25">
      <c r="A154" t="s">
        <v>4907</v>
      </c>
      <c r="B154" t="s">
        <v>593</v>
      </c>
      <c r="C154" t="s">
        <v>4895</v>
      </c>
      <c r="D154" s="4">
        <v>45979.791666666657</v>
      </c>
      <c r="E154" t="s">
        <v>4705</v>
      </c>
      <c r="F154" t="s">
        <v>4728</v>
      </c>
      <c r="G154" t="s">
        <v>4382</v>
      </c>
      <c r="H154">
        <v>14.7294</v>
      </c>
      <c r="I154">
        <f t="shared" si="4"/>
        <v>14.7294</v>
      </c>
      <c r="J154">
        <v>33</v>
      </c>
      <c r="K154">
        <v>2</v>
      </c>
      <c r="L154">
        <v>85</v>
      </c>
      <c r="M154">
        <v>0</v>
      </c>
      <c r="N154">
        <v>0</v>
      </c>
      <c r="O154">
        <v>8.5</v>
      </c>
      <c r="P154">
        <v>10.708299999999999</v>
      </c>
      <c r="Q154">
        <v>16.2</v>
      </c>
      <c r="R154">
        <v>27.470600000000001</v>
      </c>
    </row>
    <row r="155" spans="1:18" x14ac:dyDescent="0.25">
      <c r="A155" t="s">
        <v>4908</v>
      </c>
      <c r="B155" t="s">
        <v>593</v>
      </c>
      <c r="C155" t="s">
        <v>4895</v>
      </c>
      <c r="D155" s="4">
        <v>45982.791666666657</v>
      </c>
      <c r="E155" t="s">
        <v>4705</v>
      </c>
      <c r="F155" t="s">
        <v>4708</v>
      </c>
      <c r="G155" t="s">
        <v>2346</v>
      </c>
      <c r="H155">
        <v>-0.34570000000000001</v>
      </c>
      <c r="I155">
        <f t="shared" si="4"/>
        <v>-0.34570000000000001</v>
      </c>
      <c r="J155">
        <v>7</v>
      </c>
      <c r="K155">
        <v>-8</v>
      </c>
      <c r="L155">
        <v>33</v>
      </c>
      <c r="M155">
        <v>11</v>
      </c>
      <c r="N155">
        <v>37</v>
      </c>
      <c r="O155">
        <v>2.3182</v>
      </c>
      <c r="P155">
        <v>0.43480000000000002</v>
      </c>
      <c r="Q155">
        <v>-0.64710000000000001</v>
      </c>
      <c r="R155">
        <v>-4.1052999999999997</v>
      </c>
    </row>
    <row r="156" spans="1:18" x14ac:dyDescent="0.25">
      <c r="A156" t="s">
        <v>4909</v>
      </c>
      <c r="B156" t="s">
        <v>593</v>
      </c>
      <c r="C156" t="s">
        <v>4895</v>
      </c>
      <c r="D156" s="4">
        <v>45984.458333333343</v>
      </c>
      <c r="E156" t="s">
        <v>4705</v>
      </c>
      <c r="F156" t="s">
        <v>4710</v>
      </c>
      <c r="G156" t="s">
        <v>4396</v>
      </c>
      <c r="H156">
        <v>12.598000000000001</v>
      </c>
      <c r="I156">
        <f t="shared" si="4"/>
        <v>12.598000000000001</v>
      </c>
      <c r="J156">
        <v>25</v>
      </c>
      <c r="K156">
        <v>-3</v>
      </c>
      <c r="L156">
        <v>98</v>
      </c>
      <c r="M156">
        <v>2</v>
      </c>
      <c r="N156">
        <v>2</v>
      </c>
      <c r="O156">
        <v>3.2</v>
      </c>
      <c r="P156">
        <v>19.5</v>
      </c>
      <c r="Q156">
        <v>15.161300000000001</v>
      </c>
      <c r="R156">
        <v>9.76</v>
      </c>
    </row>
    <row r="157" spans="1:18" x14ac:dyDescent="0.25">
      <c r="A157" t="s">
        <v>4910</v>
      </c>
      <c r="B157" t="s">
        <v>593</v>
      </c>
      <c r="C157" t="s">
        <v>4895</v>
      </c>
      <c r="D157" s="4">
        <v>45994.8125</v>
      </c>
      <c r="E157" t="s">
        <v>4714</v>
      </c>
      <c r="F157" t="s">
        <v>4705</v>
      </c>
      <c r="G157" t="s">
        <v>4321</v>
      </c>
      <c r="H157">
        <v>12.057499999999999</v>
      </c>
      <c r="I157">
        <f t="shared" si="4"/>
        <v>-12.057499999999999</v>
      </c>
      <c r="J157">
        <v>22</v>
      </c>
      <c r="K157">
        <v>2</v>
      </c>
      <c r="L157">
        <v>87</v>
      </c>
      <c r="M157">
        <v>0</v>
      </c>
      <c r="N157">
        <v>0</v>
      </c>
      <c r="O157">
        <v>6.1578999999999997</v>
      </c>
      <c r="P157">
        <v>12.3889</v>
      </c>
      <c r="Q157">
        <v>10.347799999999999</v>
      </c>
      <c r="R157">
        <v>17.444400000000002</v>
      </c>
    </row>
    <row r="158" spans="1:18" x14ac:dyDescent="0.25">
      <c r="A158" t="s">
        <v>4911</v>
      </c>
      <c r="B158" t="s">
        <v>593</v>
      </c>
      <c r="C158" t="s">
        <v>4895</v>
      </c>
      <c r="D158" s="4">
        <v>45996.8125</v>
      </c>
      <c r="E158" t="s">
        <v>4716</v>
      </c>
      <c r="F158" t="s">
        <v>4705</v>
      </c>
      <c r="G158" t="s">
        <v>2344</v>
      </c>
      <c r="H158">
        <v>0.1867</v>
      </c>
      <c r="I158">
        <f t="shared" si="4"/>
        <v>-0.1867</v>
      </c>
      <c r="J158">
        <v>11</v>
      </c>
      <c r="K158">
        <v>-7</v>
      </c>
      <c r="L158">
        <v>32</v>
      </c>
      <c r="M158">
        <v>10</v>
      </c>
      <c r="N158">
        <v>33</v>
      </c>
      <c r="O158">
        <v>-4.7058999999999997</v>
      </c>
      <c r="P158">
        <v>-0.23810000000000001</v>
      </c>
      <c r="Q158">
        <v>4.5499999999999999E-2</v>
      </c>
      <c r="R158">
        <v>6.5332999999999997</v>
      </c>
    </row>
    <row r="159" spans="1:18" x14ac:dyDescent="0.25">
      <c r="A159" t="s">
        <v>4912</v>
      </c>
      <c r="B159" t="s">
        <v>593</v>
      </c>
      <c r="C159" t="s">
        <v>4895</v>
      </c>
      <c r="D159" s="4">
        <v>46009.8125</v>
      </c>
      <c r="E159" t="s">
        <v>4705</v>
      </c>
      <c r="F159" t="s">
        <v>4776</v>
      </c>
      <c r="G159" t="s">
        <v>4409</v>
      </c>
      <c r="H159">
        <v>5.7244999999999999</v>
      </c>
      <c r="I159">
        <f t="shared" si="4"/>
        <v>5.7244999999999999</v>
      </c>
      <c r="J159">
        <v>13</v>
      </c>
      <c r="K159">
        <v>-5</v>
      </c>
      <c r="L159">
        <v>88</v>
      </c>
      <c r="M159">
        <v>3</v>
      </c>
      <c r="N159">
        <v>7</v>
      </c>
      <c r="O159">
        <v>0.68179999999999996</v>
      </c>
      <c r="P159">
        <v>8.9544999999999995</v>
      </c>
      <c r="Q159">
        <v>7.25</v>
      </c>
      <c r="R159">
        <v>6</v>
      </c>
    </row>
    <row r="160" spans="1:18" x14ac:dyDescent="0.25">
      <c r="A160" t="s">
        <v>4913</v>
      </c>
      <c r="B160" t="s">
        <v>593</v>
      </c>
      <c r="C160" t="s">
        <v>4895</v>
      </c>
      <c r="D160" s="4">
        <v>46012.458333333343</v>
      </c>
      <c r="E160" t="s">
        <v>4705</v>
      </c>
      <c r="F160" t="s">
        <v>4779</v>
      </c>
      <c r="G160" t="s">
        <v>1471</v>
      </c>
      <c r="H160">
        <v>12.75</v>
      </c>
      <c r="I160">
        <f t="shared" si="4"/>
        <v>12.75</v>
      </c>
      <c r="J160">
        <v>24</v>
      </c>
      <c r="K160">
        <v>0</v>
      </c>
      <c r="L160">
        <v>71</v>
      </c>
      <c r="M160">
        <v>1</v>
      </c>
      <c r="N160">
        <v>0</v>
      </c>
      <c r="O160">
        <v>5.2941000000000003</v>
      </c>
      <c r="P160">
        <v>13.4762</v>
      </c>
      <c r="Q160">
        <v>18.954499999999999</v>
      </c>
      <c r="R160">
        <v>10.666700000000001</v>
      </c>
    </row>
    <row r="161" spans="1:18" x14ac:dyDescent="0.25">
      <c r="A161" t="s">
        <v>4914</v>
      </c>
      <c r="B161" t="s">
        <v>593</v>
      </c>
      <c r="C161" t="s">
        <v>4895</v>
      </c>
      <c r="D161" s="4">
        <v>46014.791666666657</v>
      </c>
      <c r="E161" t="s">
        <v>4705</v>
      </c>
      <c r="F161" t="s">
        <v>4706</v>
      </c>
      <c r="G161" t="s">
        <v>545</v>
      </c>
      <c r="H161">
        <v>-0.40699999999999997</v>
      </c>
      <c r="I161">
        <f t="shared" si="4"/>
        <v>-0.40699999999999997</v>
      </c>
      <c r="J161">
        <v>7</v>
      </c>
      <c r="K161">
        <v>-8</v>
      </c>
      <c r="L161">
        <v>32</v>
      </c>
      <c r="M161">
        <v>16</v>
      </c>
      <c r="N161">
        <v>38</v>
      </c>
      <c r="O161">
        <v>0.77270000000000005</v>
      </c>
      <c r="P161">
        <v>-2.2174</v>
      </c>
      <c r="Q161">
        <v>9.5200000000000007E-2</v>
      </c>
      <c r="R161">
        <v>-0.15</v>
      </c>
    </row>
    <row r="162" spans="1:18" x14ac:dyDescent="0.25">
      <c r="A162" t="s">
        <v>4915</v>
      </c>
      <c r="B162" t="s">
        <v>593</v>
      </c>
      <c r="C162" t="s">
        <v>4895</v>
      </c>
      <c r="D162" s="4">
        <v>46018.666666666657</v>
      </c>
      <c r="E162" t="s">
        <v>4726</v>
      </c>
      <c r="F162" t="s">
        <v>4705</v>
      </c>
      <c r="G162" t="s">
        <v>4916</v>
      </c>
      <c r="H162">
        <v>4.4314</v>
      </c>
      <c r="I162">
        <f t="shared" ref="I162:I193" si="5">IF(E162="MIN",H162,-H162)</f>
        <v>-4.4314</v>
      </c>
      <c r="J162">
        <v>18</v>
      </c>
      <c r="K162">
        <v>-6</v>
      </c>
      <c r="L162">
        <v>72</v>
      </c>
      <c r="M162">
        <v>7</v>
      </c>
      <c r="N162">
        <v>23</v>
      </c>
      <c r="O162">
        <v>4.6923000000000004</v>
      </c>
      <c r="P162">
        <v>-0.30769999999999997</v>
      </c>
      <c r="Q162">
        <v>2.3462000000000001</v>
      </c>
      <c r="R162">
        <v>11.541700000000001</v>
      </c>
    </row>
    <row r="163" spans="1:18" x14ac:dyDescent="0.25">
      <c r="A163" t="s">
        <v>4917</v>
      </c>
      <c r="B163" t="s">
        <v>593</v>
      </c>
      <c r="C163" t="s">
        <v>4895</v>
      </c>
      <c r="D163" s="4">
        <v>46020.8125</v>
      </c>
      <c r="E163" t="s">
        <v>4739</v>
      </c>
      <c r="F163" t="s">
        <v>4705</v>
      </c>
      <c r="G163" t="s">
        <v>4918</v>
      </c>
      <c r="H163">
        <v>-6.2743000000000002</v>
      </c>
      <c r="I163">
        <f t="shared" si="5"/>
        <v>6.2743000000000002</v>
      </c>
      <c r="J163">
        <v>5</v>
      </c>
      <c r="K163">
        <v>-14</v>
      </c>
      <c r="L163">
        <v>14</v>
      </c>
      <c r="M163">
        <v>3</v>
      </c>
      <c r="N163">
        <v>96</v>
      </c>
      <c r="O163">
        <v>-2.7837999999999998</v>
      </c>
      <c r="P163">
        <v>-10.6296</v>
      </c>
      <c r="Q163">
        <v>-9.4230999999999998</v>
      </c>
      <c r="R163">
        <v>-3.2174</v>
      </c>
    </row>
    <row r="164" spans="1:18" x14ac:dyDescent="0.25">
      <c r="A164" t="s">
        <v>4919</v>
      </c>
      <c r="B164" t="s">
        <v>593</v>
      </c>
      <c r="C164" t="s">
        <v>4895</v>
      </c>
      <c r="D164" s="4">
        <v>46030.833333333343</v>
      </c>
      <c r="E164" t="s">
        <v>4732</v>
      </c>
      <c r="F164" t="s">
        <v>4705</v>
      </c>
      <c r="G164" t="s">
        <v>4920</v>
      </c>
      <c r="H164">
        <v>1.6353</v>
      </c>
      <c r="I164">
        <f t="shared" si="5"/>
        <v>-1.6353</v>
      </c>
      <c r="J164">
        <v>19</v>
      </c>
      <c r="K164">
        <v>-13</v>
      </c>
      <c r="L164">
        <v>39</v>
      </c>
      <c r="M164">
        <v>3</v>
      </c>
      <c r="N164">
        <v>43</v>
      </c>
      <c r="O164">
        <v>-5.6</v>
      </c>
      <c r="P164">
        <v>-7.7895000000000003</v>
      </c>
      <c r="Q164">
        <v>7.1429</v>
      </c>
      <c r="R164">
        <v>17.461500000000001</v>
      </c>
    </row>
    <row r="165" spans="1:18" x14ac:dyDescent="0.25">
      <c r="A165" t="s">
        <v>4921</v>
      </c>
      <c r="B165" t="s">
        <v>593</v>
      </c>
      <c r="C165" t="s">
        <v>4895</v>
      </c>
      <c r="D165" s="4">
        <v>46032.708333333343</v>
      </c>
      <c r="E165" t="s">
        <v>4782</v>
      </c>
      <c r="F165" t="s">
        <v>4705</v>
      </c>
      <c r="G165" t="s">
        <v>4648</v>
      </c>
      <c r="H165">
        <v>-8.5532000000000004</v>
      </c>
      <c r="I165">
        <f t="shared" si="5"/>
        <v>8.5532000000000004</v>
      </c>
      <c r="J165">
        <v>2</v>
      </c>
      <c r="K165">
        <v>-21</v>
      </c>
      <c r="L165">
        <v>1</v>
      </c>
      <c r="M165">
        <v>1</v>
      </c>
      <c r="N165">
        <v>92</v>
      </c>
      <c r="O165">
        <v>-5.6285999999999996</v>
      </c>
      <c r="P165">
        <v>-5.4</v>
      </c>
      <c r="Q165">
        <v>-9.7619000000000007</v>
      </c>
      <c r="R165">
        <v>-16.333300000000001</v>
      </c>
    </row>
    <row r="166" spans="1:18" x14ac:dyDescent="0.25">
      <c r="A166" t="s">
        <v>4922</v>
      </c>
      <c r="B166" t="s">
        <v>593</v>
      </c>
      <c r="C166" t="s">
        <v>4895</v>
      </c>
      <c r="D166" s="4">
        <v>46041.8125</v>
      </c>
      <c r="E166" t="s">
        <v>4724</v>
      </c>
      <c r="F166" t="s">
        <v>4705</v>
      </c>
      <c r="G166" t="s">
        <v>2720</v>
      </c>
      <c r="H166">
        <v>5.5354000000000001</v>
      </c>
      <c r="I166">
        <f t="shared" si="5"/>
        <v>-5.5354000000000001</v>
      </c>
      <c r="J166">
        <v>15</v>
      </c>
      <c r="K166">
        <v>-3</v>
      </c>
      <c r="L166">
        <v>89</v>
      </c>
      <c r="M166">
        <v>7</v>
      </c>
      <c r="N166">
        <v>3</v>
      </c>
      <c r="O166">
        <v>2</v>
      </c>
      <c r="P166">
        <v>8.1818000000000008</v>
      </c>
      <c r="Q166">
        <v>8.4614999999999991</v>
      </c>
      <c r="R166">
        <v>3.9167000000000001</v>
      </c>
    </row>
    <row r="167" spans="1:18" x14ac:dyDescent="0.25">
      <c r="A167" t="s">
        <v>4923</v>
      </c>
      <c r="B167" t="s">
        <v>593</v>
      </c>
      <c r="C167" t="s">
        <v>4895</v>
      </c>
      <c r="D167" s="4">
        <v>46043.791666666657</v>
      </c>
      <c r="E167" t="s">
        <v>4705</v>
      </c>
      <c r="F167" t="s">
        <v>4734</v>
      </c>
      <c r="G167" t="s">
        <v>413</v>
      </c>
      <c r="H167">
        <v>-4.0500000000000001E-2</v>
      </c>
      <c r="I167">
        <f t="shared" si="5"/>
        <v>-4.0500000000000001E-2</v>
      </c>
      <c r="J167">
        <v>13</v>
      </c>
      <c r="K167">
        <v>-14</v>
      </c>
      <c r="L167">
        <v>34</v>
      </c>
      <c r="M167">
        <v>2</v>
      </c>
      <c r="N167">
        <v>38</v>
      </c>
      <c r="O167">
        <v>-3.75</v>
      </c>
      <c r="P167">
        <v>-4.9565000000000001</v>
      </c>
      <c r="Q167">
        <v>2.7273000000000001</v>
      </c>
      <c r="R167">
        <v>7.8</v>
      </c>
    </row>
    <row r="168" spans="1:18" x14ac:dyDescent="0.25">
      <c r="A168" t="s">
        <v>4924</v>
      </c>
      <c r="B168" t="s">
        <v>4925</v>
      </c>
      <c r="C168" t="s">
        <v>4926</v>
      </c>
      <c r="D168" s="4">
        <v>46047.458333333343</v>
      </c>
      <c r="E168" t="s">
        <v>4705</v>
      </c>
      <c r="F168" t="s">
        <v>4732</v>
      </c>
      <c r="G168" t="s">
        <v>4471</v>
      </c>
      <c r="H168">
        <v>-1.3655999999999999</v>
      </c>
      <c r="I168">
        <f t="shared" si="5"/>
        <v>-1.3655999999999999</v>
      </c>
      <c r="J168">
        <v>8</v>
      </c>
      <c r="K168">
        <v>-11</v>
      </c>
      <c r="L168">
        <v>37</v>
      </c>
      <c r="M168">
        <v>3</v>
      </c>
      <c r="N168">
        <v>53</v>
      </c>
      <c r="O168">
        <v>1.0625</v>
      </c>
      <c r="P168">
        <v>-4.8333000000000004</v>
      </c>
      <c r="Q168">
        <v>-3.6957</v>
      </c>
      <c r="R168">
        <v>3.5832999999999999</v>
      </c>
    </row>
    <row r="169" spans="1:18" x14ac:dyDescent="0.25">
      <c r="A169" t="s">
        <v>4927</v>
      </c>
      <c r="B169" t="s">
        <v>4925</v>
      </c>
      <c r="C169" t="s">
        <v>4926</v>
      </c>
      <c r="D169" s="4">
        <v>46049.791666666657</v>
      </c>
      <c r="E169" t="s">
        <v>4706</v>
      </c>
      <c r="F169" t="s">
        <v>4705</v>
      </c>
      <c r="G169" t="s">
        <v>4928</v>
      </c>
      <c r="H169">
        <v>13.0235</v>
      </c>
      <c r="I169">
        <f t="shared" si="5"/>
        <v>-13.0235</v>
      </c>
      <c r="J169">
        <v>25</v>
      </c>
      <c r="K169">
        <v>2</v>
      </c>
      <c r="L169">
        <v>85</v>
      </c>
      <c r="M169">
        <v>0</v>
      </c>
      <c r="N169">
        <v>0</v>
      </c>
      <c r="O169">
        <v>6.6841999999999997</v>
      </c>
      <c r="P169">
        <v>11.7333</v>
      </c>
      <c r="Q169">
        <v>17.2</v>
      </c>
      <c r="R169">
        <v>17.619</v>
      </c>
    </row>
    <row r="170" spans="1:18" x14ac:dyDescent="0.25">
      <c r="A170" t="s">
        <v>4929</v>
      </c>
      <c r="B170" t="s">
        <v>4925</v>
      </c>
      <c r="C170" t="s">
        <v>4926</v>
      </c>
      <c r="D170" s="4">
        <v>46053.708333333343</v>
      </c>
      <c r="E170" t="s">
        <v>4708</v>
      </c>
      <c r="F170" t="s">
        <v>4705</v>
      </c>
      <c r="G170" t="s">
        <v>4930</v>
      </c>
      <c r="H170">
        <v>10.4125</v>
      </c>
      <c r="I170">
        <f t="shared" si="5"/>
        <v>-10.4125</v>
      </c>
      <c r="J170">
        <v>24</v>
      </c>
      <c r="K170">
        <v>-5</v>
      </c>
      <c r="L170">
        <v>64</v>
      </c>
      <c r="M170">
        <v>7</v>
      </c>
      <c r="N170">
        <v>9</v>
      </c>
      <c r="O170">
        <v>-0.73680000000000001</v>
      </c>
      <c r="P170">
        <v>4.4118000000000004</v>
      </c>
      <c r="Q170">
        <v>15.954499999999999</v>
      </c>
      <c r="R170">
        <v>19.136399999999998</v>
      </c>
    </row>
    <row r="171" spans="1:18" x14ac:dyDescent="0.25">
      <c r="A171" t="s">
        <v>4931</v>
      </c>
      <c r="B171" t="s">
        <v>593</v>
      </c>
      <c r="C171" t="s">
        <v>4895</v>
      </c>
      <c r="D171" s="4">
        <v>46063.854166666657</v>
      </c>
      <c r="E171" t="s">
        <v>4710</v>
      </c>
      <c r="F171" t="s">
        <v>4705</v>
      </c>
      <c r="G171" t="s">
        <v>4932</v>
      </c>
      <c r="H171">
        <v>-4.4615</v>
      </c>
      <c r="I171">
        <f t="shared" si="5"/>
        <v>4.4615</v>
      </c>
      <c r="J171">
        <v>5</v>
      </c>
      <c r="K171">
        <v>-17</v>
      </c>
      <c r="L171">
        <v>26</v>
      </c>
      <c r="M171">
        <v>9</v>
      </c>
      <c r="N171">
        <v>69</v>
      </c>
      <c r="O171">
        <v>-5.2083000000000004</v>
      </c>
      <c r="P171">
        <v>0.29409999999999997</v>
      </c>
      <c r="Q171">
        <v>-4.9615</v>
      </c>
      <c r="R171">
        <v>-11</v>
      </c>
    </row>
    <row r="172" spans="1:18" x14ac:dyDescent="0.25">
      <c r="A172" t="s">
        <v>4933</v>
      </c>
      <c r="B172" t="s">
        <v>593</v>
      </c>
      <c r="C172" t="s">
        <v>4895</v>
      </c>
      <c r="D172" s="4">
        <v>46065.833333333343</v>
      </c>
      <c r="E172" t="s">
        <v>4712</v>
      </c>
      <c r="F172" t="s">
        <v>4705</v>
      </c>
      <c r="G172" t="s">
        <v>4934</v>
      </c>
      <c r="H172">
        <v>-5.6826999999999996</v>
      </c>
      <c r="I172">
        <f t="shared" si="5"/>
        <v>5.6826999999999996</v>
      </c>
      <c r="J172">
        <v>7</v>
      </c>
      <c r="K172">
        <v>-19</v>
      </c>
      <c r="L172">
        <v>19</v>
      </c>
      <c r="M172">
        <v>3</v>
      </c>
      <c r="N172">
        <v>82</v>
      </c>
      <c r="O172">
        <v>-2.25</v>
      </c>
      <c r="P172">
        <v>-0.7097</v>
      </c>
      <c r="Q172">
        <v>-7.6786000000000003</v>
      </c>
      <c r="R172">
        <v>-14.2857</v>
      </c>
    </row>
    <row r="173" spans="1:18" x14ac:dyDescent="0.25">
      <c r="A173" t="s">
        <v>4935</v>
      </c>
      <c r="B173" t="s">
        <v>593</v>
      </c>
      <c r="C173" t="s">
        <v>4895</v>
      </c>
      <c r="D173" s="4">
        <v>46070.791666666657</v>
      </c>
      <c r="E173" t="s">
        <v>4705</v>
      </c>
      <c r="F173" t="s">
        <v>4721</v>
      </c>
      <c r="G173" t="s">
        <v>878</v>
      </c>
      <c r="H173">
        <v>12.538500000000001</v>
      </c>
      <c r="I173">
        <f t="shared" si="5"/>
        <v>12.538500000000001</v>
      </c>
      <c r="J173">
        <v>26</v>
      </c>
      <c r="K173">
        <v>-2</v>
      </c>
      <c r="L173">
        <v>87</v>
      </c>
      <c r="M173">
        <v>2</v>
      </c>
      <c r="N173">
        <v>2</v>
      </c>
      <c r="O173">
        <v>4.4348000000000001</v>
      </c>
      <c r="P173">
        <v>16.178599999999999</v>
      </c>
      <c r="Q173">
        <v>17.666699999999999</v>
      </c>
      <c r="R173">
        <v>11.315799999999999</v>
      </c>
    </row>
    <row r="174" spans="1:18" x14ac:dyDescent="0.25">
      <c r="A174" t="s">
        <v>4936</v>
      </c>
      <c r="B174" t="s">
        <v>593</v>
      </c>
      <c r="C174" t="s">
        <v>4895</v>
      </c>
      <c r="D174" s="4">
        <v>46072.791666666657</v>
      </c>
      <c r="E174" t="s">
        <v>4705</v>
      </c>
      <c r="F174" t="s">
        <v>4730</v>
      </c>
      <c r="G174" t="s">
        <v>4515</v>
      </c>
      <c r="H174">
        <v>0.82410000000000005</v>
      </c>
      <c r="I174">
        <f t="shared" si="5"/>
        <v>0.82410000000000005</v>
      </c>
      <c r="J174">
        <v>9</v>
      </c>
      <c r="K174">
        <v>-9</v>
      </c>
      <c r="L174">
        <v>67</v>
      </c>
      <c r="M174">
        <v>6</v>
      </c>
      <c r="N174">
        <v>35</v>
      </c>
      <c r="O174">
        <v>2.1429</v>
      </c>
      <c r="P174">
        <v>5.7222</v>
      </c>
      <c r="Q174">
        <v>1.0952</v>
      </c>
      <c r="R174">
        <v>-4.7037000000000004</v>
      </c>
    </row>
    <row r="175" spans="1:18" x14ac:dyDescent="0.25">
      <c r="A175" t="s">
        <v>4937</v>
      </c>
      <c r="B175" t="s">
        <v>593</v>
      </c>
      <c r="C175" t="s">
        <v>4895</v>
      </c>
      <c r="D175" s="4">
        <v>46075.458333333343</v>
      </c>
      <c r="E175" t="s">
        <v>4728</v>
      </c>
      <c r="F175" t="s">
        <v>4705</v>
      </c>
      <c r="G175" t="s">
        <v>4938</v>
      </c>
      <c r="H175">
        <v>-15.1616</v>
      </c>
      <c r="I175">
        <f t="shared" si="5"/>
        <v>15.1616</v>
      </c>
      <c r="J175">
        <v>7</v>
      </c>
      <c r="K175">
        <v>-31</v>
      </c>
      <c r="L175">
        <v>7</v>
      </c>
      <c r="M175">
        <v>1</v>
      </c>
      <c r="N175">
        <v>91</v>
      </c>
      <c r="O175">
        <v>-2.9582999999999999</v>
      </c>
      <c r="P175">
        <v>-12.6129</v>
      </c>
      <c r="Q175">
        <v>-21.92</v>
      </c>
      <c r="R175">
        <v>-25.842099999999999</v>
      </c>
    </row>
    <row r="176" spans="1:18" x14ac:dyDescent="0.25">
      <c r="A176" t="s">
        <v>4939</v>
      </c>
      <c r="B176" t="s">
        <v>593</v>
      </c>
      <c r="C176" t="s">
        <v>4895</v>
      </c>
      <c r="D176" s="4">
        <v>46098.840277777781</v>
      </c>
      <c r="E176" t="s">
        <v>4705</v>
      </c>
      <c r="F176" t="s">
        <v>4716</v>
      </c>
      <c r="G176" t="s">
        <v>1860</v>
      </c>
      <c r="H176">
        <v>6.8297999999999996</v>
      </c>
      <c r="I176">
        <f t="shared" si="5"/>
        <v>6.8297999999999996</v>
      </c>
      <c r="J176">
        <v>26</v>
      </c>
      <c r="K176">
        <v>-5</v>
      </c>
      <c r="L176">
        <v>76</v>
      </c>
      <c r="M176">
        <v>8</v>
      </c>
      <c r="N176">
        <v>10</v>
      </c>
      <c r="O176">
        <v>0.20830000000000001</v>
      </c>
      <c r="P176">
        <v>2.9655</v>
      </c>
      <c r="Q176">
        <v>11.307700000000001</v>
      </c>
      <c r="R176">
        <v>17.133299999999998</v>
      </c>
    </row>
    <row r="177" spans="1:18" x14ac:dyDescent="0.25">
      <c r="A177" t="s">
        <v>4940</v>
      </c>
      <c r="B177" t="s">
        <v>593</v>
      </c>
      <c r="C177" t="s">
        <v>4895</v>
      </c>
      <c r="D177" s="4">
        <v>46100.791666666657</v>
      </c>
      <c r="E177" t="s">
        <v>4705</v>
      </c>
      <c r="F177" t="s">
        <v>4714</v>
      </c>
      <c r="G177" t="s">
        <v>774</v>
      </c>
      <c r="H177">
        <v>0.1163</v>
      </c>
      <c r="I177">
        <f t="shared" si="5"/>
        <v>0.1163</v>
      </c>
      <c r="J177">
        <v>9</v>
      </c>
      <c r="K177">
        <v>-8</v>
      </c>
      <c r="L177">
        <v>40</v>
      </c>
      <c r="M177">
        <v>3</v>
      </c>
      <c r="N177">
        <v>43</v>
      </c>
      <c r="O177">
        <v>-2.1111</v>
      </c>
      <c r="P177">
        <v>-5.2778</v>
      </c>
      <c r="Q177">
        <v>1.3332999999999999</v>
      </c>
      <c r="R177">
        <v>6</v>
      </c>
    </row>
    <row r="178" spans="1:18" x14ac:dyDescent="0.25">
      <c r="A178" t="s">
        <v>4941</v>
      </c>
      <c r="B178" t="s">
        <v>593</v>
      </c>
      <c r="C178" t="s">
        <v>4895</v>
      </c>
      <c r="D178" s="4">
        <v>46103.708333333343</v>
      </c>
      <c r="E178" t="s">
        <v>4906</v>
      </c>
      <c r="F178" t="s">
        <v>4705</v>
      </c>
      <c r="G178" t="s">
        <v>1548</v>
      </c>
      <c r="H178">
        <v>8.1493000000000002</v>
      </c>
      <c r="I178">
        <f t="shared" si="5"/>
        <v>-8.1493000000000002</v>
      </c>
      <c r="J178">
        <v>16</v>
      </c>
      <c r="K178">
        <v>-2</v>
      </c>
      <c r="L178">
        <v>66</v>
      </c>
      <c r="M178">
        <v>0</v>
      </c>
      <c r="N178">
        <v>1</v>
      </c>
      <c r="O178">
        <v>8.375</v>
      </c>
      <c r="P178">
        <v>5</v>
      </c>
      <c r="Q178">
        <v>6.5332999999999997</v>
      </c>
      <c r="R178">
        <v>12.642899999999999</v>
      </c>
    </row>
    <row r="179" spans="1:18" x14ac:dyDescent="0.25">
      <c r="A179" t="s">
        <v>4942</v>
      </c>
      <c r="B179" t="s">
        <v>593</v>
      </c>
      <c r="C179" t="s">
        <v>4895</v>
      </c>
      <c r="D179" s="4">
        <v>46105.833333333343</v>
      </c>
      <c r="E179" t="s">
        <v>4708</v>
      </c>
      <c r="F179" t="s">
        <v>4705</v>
      </c>
      <c r="G179" t="s">
        <v>2471</v>
      </c>
      <c r="H179">
        <v>-6.0526</v>
      </c>
      <c r="I179">
        <f t="shared" si="5"/>
        <v>6.0526</v>
      </c>
      <c r="J179">
        <v>5</v>
      </c>
      <c r="K179">
        <v>-13</v>
      </c>
      <c r="L179">
        <v>12</v>
      </c>
      <c r="M179">
        <v>2</v>
      </c>
      <c r="N179">
        <v>81</v>
      </c>
      <c r="O179">
        <v>-1.64</v>
      </c>
      <c r="P179">
        <v>-6.8148</v>
      </c>
      <c r="Q179">
        <v>-7</v>
      </c>
      <c r="R179">
        <v>-8.8846000000000007</v>
      </c>
    </row>
    <row r="180" spans="1:18" x14ac:dyDescent="0.25">
      <c r="A180" t="s">
        <v>4943</v>
      </c>
      <c r="B180" t="s">
        <v>593</v>
      </c>
      <c r="C180" t="s">
        <v>4895</v>
      </c>
      <c r="D180" s="4">
        <v>46113.791666666657</v>
      </c>
      <c r="E180" t="s">
        <v>4705</v>
      </c>
      <c r="F180" t="s">
        <v>4900</v>
      </c>
      <c r="G180" t="s">
        <v>4569</v>
      </c>
      <c r="H180">
        <v>11.3918</v>
      </c>
      <c r="I180">
        <f t="shared" si="5"/>
        <v>11.3918</v>
      </c>
      <c r="J180">
        <v>22</v>
      </c>
      <c r="K180">
        <v>-3</v>
      </c>
      <c r="L180">
        <v>85</v>
      </c>
      <c r="M180">
        <v>4</v>
      </c>
      <c r="N180">
        <v>8</v>
      </c>
      <c r="O180">
        <v>0.30430000000000001</v>
      </c>
      <c r="P180">
        <v>9.6189999999999998</v>
      </c>
      <c r="Q180">
        <v>18.48</v>
      </c>
      <c r="R180">
        <v>15.5</v>
      </c>
    </row>
    <row r="181" spans="1:18" x14ac:dyDescent="0.25">
      <c r="A181" t="s">
        <v>4944</v>
      </c>
      <c r="B181" t="s">
        <v>593</v>
      </c>
      <c r="C181" t="s">
        <v>4895</v>
      </c>
      <c r="D181" s="4">
        <v>46116.666666666657</v>
      </c>
      <c r="E181" t="s">
        <v>4779</v>
      </c>
      <c r="F181" t="s">
        <v>4705</v>
      </c>
      <c r="G181" t="s">
        <v>4945</v>
      </c>
      <c r="H181">
        <v>10.5566</v>
      </c>
      <c r="I181">
        <f t="shared" si="5"/>
        <v>-10.5566</v>
      </c>
      <c r="J181">
        <v>23</v>
      </c>
      <c r="K181">
        <v>-3</v>
      </c>
      <c r="L181">
        <v>93</v>
      </c>
      <c r="M181">
        <v>6</v>
      </c>
      <c r="N181">
        <v>7</v>
      </c>
      <c r="O181">
        <v>1.9286000000000001</v>
      </c>
      <c r="P181">
        <v>6.1923000000000004</v>
      </c>
      <c r="Q181">
        <v>15.428599999999999</v>
      </c>
      <c r="R181">
        <v>19.666699999999999</v>
      </c>
    </row>
    <row r="182" spans="1:18" x14ac:dyDescent="0.25">
      <c r="A182" t="s">
        <v>4946</v>
      </c>
      <c r="B182" t="s">
        <v>593</v>
      </c>
      <c r="C182" t="s">
        <v>4895</v>
      </c>
      <c r="D182" s="4">
        <v>46118.833333333343</v>
      </c>
      <c r="E182" t="s">
        <v>4706</v>
      </c>
      <c r="F182" t="s">
        <v>4705</v>
      </c>
      <c r="G182" t="s">
        <v>3549</v>
      </c>
      <c r="H182">
        <v>-3.5489999999999999</v>
      </c>
      <c r="I182">
        <f t="shared" si="5"/>
        <v>3.5489999999999999</v>
      </c>
      <c r="J182">
        <v>7</v>
      </c>
      <c r="K182">
        <v>-12</v>
      </c>
      <c r="L182">
        <v>19</v>
      </c>
      <c r="M182">
        <v>7</v>
      </c>
      <c r="N182">
        <v>76</v>
      </c>
      <c r="O182">
        <v>0.45829999999999999</v>
      </c>
      <c r="P182">
        <v>-3.5217000000000001</v>
      </c>
      <c r="Q182">
        <v>-8.5333000000000006</v>
      </c>
      <c r="R182">
        <v>-1.44</v>
      </c>
    </row>
    <row r="183" spans="1:18" x14ac:dyDescent="0.25">
      <c r="A183" t="s">
        <v>4947</v>
      </c>
      <c r="B183" t="s">
        <v>593</v>
      </c>
      <c r="C183" t="s">
        <v>4895</v>
      </c>
      <c r="D183" s="4">
        <v>46121.791666666657</v>
      </c>
      <c r="E183" t="s">
        <v>4776</v>
      </c>
      <c r="F183" t="s">
        <v>4705</v>
      </c>
      <c r="G183" t="s">
        <v>4948</v>
      </c>
      <c r="H183">
        <v>14.833299999999999</v>
      </c>
      <c r="I183">
        <f t="shared" si="5"/>
        <v>-14.833299999999999</v>
      </c>
      <c r="J183">
        <v>39</v>
      </c>
      <c r="K183">
        <v>-8</v>
      </c>
      <c r="L183">
        <v>67</v>
      </c>
      <c r="M183">
        <v>4</v>
      </c>
      <c r="N183">
        <v>13</v>
      </c>
      <c r="O183">
        <v>-1.2</v>
      </c>
      <c r="P183">
        <v>10.8</v>
      </c>
      <c r="Q183">
        <v>25.2941</v>
      </c>
      <c r="R183">
        <v>33.882399999999997</v>
      </c>
    </row>
    <row r="184" spans="1:18" x14ac:dyDescent="0.25">
      <c r="A184" t="s">
        <v>4949</v>
      </c>
      <c r="B184" t="s">
        <v>593</v>
      </c>
      <c r="C184" t="s">
        <v>4895</v>
      </c>
      <c r="D184" s="4">
        <v>46124.458333333343</v>
      </c>
      <c r="E184" t="s">
        <v>4705</v>
      </c>
      <c r="F184" t="s">
        <v>4739</v>
      </c>
      <c r="G184" t="s">
        <v>4586</v>
      </c>
      <c r="H184">
        <v>-4.9539999999999997</v>
      </c>
      <c r="I184">
        <f t="shared" si="5"/>
        <v>-4.9539999999999997</v>
      </c>
      <c r="J184">
        <v>2</v>
      </c>
      <c r="K184">
        <v>-16</v>
      </c>
      <c r="L184">
        <v>9</v>
      </c>
      <c r="M184">
        <v>8</v>
      </c>
      <c r="N184">
        <v>70</v>
      </c>
      <c r="O184">
        <v>-0.47370000000000001</v>
      </c>
      <c r="P184">
        <v>-5.35</v>
      </c>
      <c r="Q184">
        <v>-10.92</v>
      </c>
      <c r="R184">
        <v>-1.8261000000000001</v>
      </c>
    </row>
    <row r="185" spans="1:18" x14ac:dyDescent="0.25">
      <c r="A185" t="s">
        <v>4950</v>
      </c>
      <c r="B185" t="s">
        <v>593</v>
      </c>
      <c r="C185" t="s">
        <v>4895</v>
      </c>
      <c r="D185" s="4">
        <v>46126.791666666657</v>
      </c>
      <c r="E185" t="s">
        <v>4705</v>
      </c>
      <c r="F185" t="s">
        <v>4726</v>
      </c>
      <c r="G185" t="s">
        <v>1419</v>
      </c>
      <c r="H185">
        <v>18.575299999999999</v>
      </c>
      <c r="I185">
        <f t="shared" si="5"/>
        <v>18.575299999999999</v>
      </c>
      <c r="J185">
        <v>33</v>
      </c>
      <c r="K185">
        <v>3</v>
      </c>
      <c r="L185">
        <v>73</v>
      </c>
      <c r="M185">
        <v>0</v>
      </c>
      <c r="N185">
        <v>0</v>
      </c>
      <c r="O185">
        <v>10.8</v>
      </c>
      <c r="P185">
        <v>14.916700000000001</v>
      </c>
      <c r="Q185">
        <v>20.2941</v>
      </c>
      <c r="R185">
        <v>28.882400000000001</v>
      </c>
    </row>
    <row r="186" spans="1:18" x14ac:dyDescent="0.25">
      <c r="A186" t="s">
        <v>4951</v>
      </c>
      <c r="B186" t="s">
        <v>593</v>
      </c>
      <c r="C186" t="s">
        <v>4895</v>
      </c>
      <c r="D186" s="4">
        <v>46133.75</v>
      </c>
      <c r="E186" t="s">
        <v>4705</v>
      </c>
      <c r="F186" t="s">
        <v>4900</v>
      </c>
      <c r="G186" t="s">
        <v>4617</v>
      </c>
      <c r="H186">
        <v>3.4762</v>
      </c>
      <c r="I186">
        <f t="shared" si="5"/>
        <v>3.4762</v>
      </c>
      <c r="J186">
        <v>11</v>
      </c>
      <c r="K186">
        <v>-4</v>
      </c>
      <c r="L186">
        <v>86</v>
      </c>
      <c r="M186">
        <v>9</v>
      </c>
      <c r="N186">
        <v>10</v>
      </c>
      <c r="O186">
        <v>4.6315999999999997</v>
      </c>
      <c r="P186">
        <v>1.1220000000000001</v>
      </c>
      <c r="Q186">
        <v>4.84</v>
      </c>
      <c r="R186">
        <v>5.5</v>
      </c>
    </row>
    <row r="187" spans="1:18" x14ac:dyDescent="0.25">
      <c r="A187" t="s">
        <v>4952</v>
      </c>
      <c r="B187" t="s">
        <v>593</v>
      </c>
      <c r="C187" t="s">
        <v>4895</v>
      </c>
      <c r="D187" s="4">
        <v>46136.833333333343</v>
      </c>
      <c r="E187" t="s">
        <v>4900</v>
      </c>
      <c r="F187" t="s">
        <v>4705</v>
      </c>
      <c r="G187" t="s">
        <v>3716</v>
      </c>
      <c r="H187">
        <v>-2.9167000000000001</v>
      </c>
      <c r="I187">
        <f t="shared" si="5"/>
        <v>2.9167000000000001</v>
      </c>
      <c r="J187">
        <v>9</v>
      </c>
      <c r="K187">
        <v>-19</v>
      </c>
      <c r="L187">
        <v>41</v>
      </c>
      <c r="M187">
        <v>5</v>
      </c>
      <c r="N187">
        <v>50</v>
      </c>
      <c r="O187">
        <v>-7.7857000000000003</v>
      </c>
      <c r="P187">
        <v>4</v>
      </c>
      <c r="Q187">
        <v>3.7143000000000002</v>
      </c>
      <c r="R187">
        <v>-9.1199999999999992</v>
      </c>
    </row>
    <row r="188" spans="1:18" x14ac:dyDescent="0.25">
      <c r="A188" t="s">
        <v>4953</v>
      </c>
      <c r="B188" t="s">
        <v>593</v>
      </c>
      <c r="C188" t="s">
        <v>4895</v>
      </c>
      <c r="D188" s="4">
        <v>46138.479166666657</v>
      </c>
      <c r="E188" t="s">
        <v>4900</v>
      </c>
      <c r="F188" t="s">
        <v>4705</v>
      </c>
      <c r="G188" t="s">
        <v>4954</v>
      </c>
      <c r="H188">
        <v>21.219799999999999</v>
      </c>
      <c r="I188">
        <f t="shared" si="5"/>
        <v>-21.219799999999999</v>
      </c>
      <c r="J188">
        <v>35</v>
      </c>
      <c r="K188">
        <v>2</v>
      </c>
      <c r="L188">
        <v>91</v>
      </c>
      <c r="M188">
        <v>0</v>
      </c>
      <c r="N188">
        <v>0</v>
      </c>
      <c r="O188">
        <v>11.8</v>
      </c>
      <c r="P188">
        <v>17.428599999999999</v>
      </c>
      <c r="Q188">
        <v>24.869599999999998</v>
      </c>
      <c r="R188">
        <v>27.76</v>
      </c>
    </row>
    <row r="189" spans="1:18" x14ac:dyDescent="0.25">
      <c r="A189" t="s">
        <v>4955</v>
      </c>
      <c r="B189" t="s">
        <v>593</v>
      </c>
      <c r="C189" t="s">
        <v>4895</v>
      </c>
      <c r="D189" s="4">
        <v>46141.791666666657</v>
      </c>
      <c r="E189" t="s">
        <v>4705</v>
      </c>
      <c r="F189" t="s">
        <v>4900</v>
      </c>
      <c r="G189" t="s">
        <v>4658</v>
      </c>
      <c r="H189">
        <v>7.6161000000000003</v>
      </c>
      <c r="I189">
        <f t="shared" si="5"/>
        <v>7.6161000000000003</v>
      </c>
      <c r="J189">
        <v>21</v>
      </c>
      <c r="K189">
        <v>-5</v>
      </c>
      <c r="L189">
        <v>99</v>
      </c>
      <c r="M189">
        <v>8</v>
      </c>
      <c r="N189">
        <v>5</v>
      </c>
      <c r="O189">
        <v>7.5454999999999997</v>
      </c>
      <c r="P189">
        <v>1.68</v>
      </c>
      <c r="Q189">
        <v>4.5</v>
      </c>
      <c r="R189">
        <v>13.0976</v>
      </c>
    </row>
    <row r="190" spans="1:18" x14ac:dyDescent="0.25">
      <c r="A190" t="s">
        <v>4956</v>
      </c>
      <c r="B190" t="s">
        <v>593</v>
      </c>
      <c r="C190" t="s">
        <v>4895</v>
      </c>
      <c r="D190" s="4">
        <v>46146.791666666657</v>
      </c>
      <c r="E190" t="s">
        <v>4705</v>
      </c>
      <c r="F190" t="s">
        <v>4732</v>
      </c>
      <c r="G190" t="s">
        <v>4669</v>
      </c>
      <c r="H190">
        <v>-5.75</v>
      </c>
      <c r="I190">
        <f t="shared" si="5"/>
        <v>-5.75</v>
      </c>
      <c r="J190">
        <v>1</v>
      </c>
      <c r="K190">
        <v>-14</v>
      </c>
      <c r="L190">
        <v>2</v>
      </c>
      <c r="M190">
        <v>5</v>
      </c>
      <c r="N190">
        <v>97</v>
      </c>
      <c r="O190">
        <v>-2.5651999999999999</v>
      </c>
      <c r="P190">
        <v>-5.4687999999999999</v>
      </c>
      <c r="Q190">
        <v>-4.7916999999999996</v>
      </c>
      <c r="R190">
        <v>-9.9600000000000009</v>
      </c>
    </row>
    <row r="191" spans="1:18" x14ac:dyDescent="0.25">
      <c r="A191" t="s">
        <v>4957</v>
      </c>
      <c r="B191" t="s">
        <v>593</v>
      </c>
      <c r="C191" t="s">
        <v>4895</v>
      </c>
      <c r="D191" s="4">
        <v>46149.833333333343</v>
      </c>
      <c r="E191" t="s">
        <v>4732</v>
      </c>
      <c r="F191" t="s">
        <v>4705</v>
      </c>
      <c r="G191" t="s">
        <v>4958</v>
      </c>
      <c r="H191">
        <v>5.3333000000000004</v>
      </c>
      <c r="I191">
        <f t="shared" si="5"/>
        <v>-5.3333000000000004</v>
      </c>
      <c r="J191">
        <v>15</v>
      </c>
      <c r="K191">
        <v>-5</v>
      </c>
      <c r="L191">
        <v>78</v>
      </c>
      <c r="M191">
        <v>4</v>
      </c>
      <c r="N191">
        <v>11</v>
      </c>
      <c r="O191">
        <v>3.75</v>
      </c>
      <c r="P191">
        <v>1.2104999999999999</v>
      </c>
      <c r="Q191">
        <v>6.4615</v>
      </c>
      <c r="R191">
        <v>8.2142999999999997</v>
      </c>
    </row>
    <row r="192" spans="1:18" x14ac:dyDescent="0.25">
      <c r="A192" t="s">
        <v>4959</v>
      </c>
      <c r="B192" t="s">
        <v>593</v>
      </c>
      <c r="C192" t="s">
        <v>4895</v>
      </c>
      <c r="D192" s="4">
        <v>46151.791666666657</v>
      </c>
      <c r="E192" t="s">
        <v>4732</v>
      </c>
      <c r="F192" t="s">
        <v>4705</v>
      </c>
      <c r="G192" t="s">
        <v>4960</v>
      </c>
      <c r="H192">
        <v>-2.4643000000000002</v>
      </c>
      <c r="I192">
        <f t="shared" si="5"/>
        <v>2.4643000000000002</v>
      </c>
      <c r="J192">
        <v>6</v>
      </c>
      <c r="K192">
        <v>-10</v>
      </c>
      <c r="L192">
        <v>21</v>
      </c>
      <c r="M192">
        <v>9</v>
      </c>
      <c r="N192">
        <v>82</v>
      </c>
      <c r="O192">
        <v>-2.6757</v>
      </c>
      <c r="P192">
        <v>-2.4544999999999999</v>
      </c>
      <c r="Q192">
        <v>-2.0937999999999999</v>
      </c>
      <c r="R192">
        <v>-2.6667000000000001</v>
      </c>
    </row>
    <row r="193" spans="1:18" x14ac:dyDescent="0.25">
      <c r="A193" t="s">
        <v>4961</v>
      </c>
      <c r="B193" t="s">
        <v>593</v>
      </c>
      <c r="C193" t="s">
        <v>4895</v>
      </c>
      <c r="D193" s="4">
        <v>46154.791666666657</v>
      </c>
      <c r="E193" t="s">
        <v>4705</v>
      </c>
      <c r="F193" t="s">
        <v>4732</v>
      </c>
      <c r="G193" t="s">
        <v>1562</v>
      </c>
      <c r="H193">
        <v>-3.1522000000000001</v>
      </c>
      <c r="I193">
        <f t="shared" si="5"/>
        <v>-3.1522000000000001</v>
      </c>
      <c r="J193">
        <v>12</v>
      </c>
      <c r="K193">
        <v>-18</v>
      </c>
      <c r="L193">
        <v>34</v>
      </c>
      <c r="M193">
        <v>2</v>
      </c>
      <c r="N193">
        <v>56</v>
      </c>
      <c r="O193">
        <v>7.0952000000000002</v>
      </c>
      <c r="P193">
        <v>1.0455000000000001</v>
      </c>
      <c r="Q193">
        <v>-6.1818</v>
      </c>
      <c r="R193">
        <v>-12.0741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193</vt:i4>
      </vt:variant>
    </vt:vector>
  </HeadingPairs>
  <TitlesOfParts>
    <vt:vector size="193" baseType="lpstr">
      <vt:lpstr>001_MIN-C R_22-23</vt:lpstr>
      <vt:lpstr>002_MIN-ESP_22-23</vt:lpstr>
      <vt:lpstr>003_MIN-ZOP_22-23</vt:lpstr>
      <vt:lpstr>004_MIN-FRA_22-23</vt:lpstr>
      <vt:lpstr>005_MIN-CAX_22-23</vt:lpstr>
      <vt:lpstr>006_MIN-UNC_22-23</vt:lpstr>
      <vt:lpstr>007_MIN-CER_22-23</vt:lpstr>
      <vt:lpstr>008_MIN-BRA_22-23</vt:lpstr>
      <vt:lpstr>009_MIN-SJB_22-23</vt:lpstr>
      <vt:lpstr>010_MIN-FOR_22-23</vt:lpstr>
      <vt:lpstr>011_MIN-PAU_22-23</vt:lpstr>
      <vt:lpstr>012_MIN-RIO_22-23</vt:lpstr>
      <vt:lpstr>013_MIN-COR_22-23</vt:lpstr>
      <vt:lpstr>014_MIN-PAT_22-23</vt:lpstr>
      <vt:lpstr>015_MIN-SPA_22-23</vt:lpstr>
      <vt:lpstr>016_MIN-UNI_22-23</vt:lpstr>
      <vt:lpstr>017_MIN-BAU_22-23</vt:lpstr>
      <vt:lpstr>018_MIN-PIN_22-23</vt:lpstr>
      <vt:lpstr>019_MIN-COR_S8-23</vt:lpstr>
      <vt:lpstr>020_MIN-SJB_22-23</vt:lpstr>
      <vt:lpstr>021_MIN-CAX_22-23</vt:lpstr>
      <vt:lpstr>022_MIN-UNC_22-23</vt:lpstr>
      <vt:lpstr>023_MIN-CER_22-23</vt:lpstr>
      <vt:lpstr>024_MIN-BRB_22-23</vt:lpstr>
      <vt:lpstr>025_MIN-FLA_22-23</vt:lpstr>
      <vt:lpstr>026_MIN-SPA_22-23</vt:lpstr>
      <vt:lpstr>027_MIN-FRA_22-23</vt:lpstr>
      <vt:lpstr>028_MIN-RIO_22-23</vt:lpstr>
      <vt:lpstr>029_MIN-COR_22-23</vt:lpstr>
      <vt:lpstr>030_MIN-PAT_22-23</vt:lpstr>
      <vt:lpstr>031_MIN-PAU_22-23</vt:lpstr>
      <vt:lpstr>032_MIN-UNI_22-23</vt:lpstr>
      <vt:lpstr>033_MIN-FOR_22-23</vt:lpstr>
      <vt:lpstr>034_MIN-PAU_22-23</vt:lpstr>
      <vt:lpstr>035_MIN-PAU_22-23</vt:lpstr>
      <vt:lpstr>036_MIN-PAU_22-23</vt:lpstr>
      <vt:lpstr>037_MIN-PAU_22-23</vt:lpstr>
      <vt:lpstr>038_MIN-PAU_22-23</vt:lpstr>
      <vt:lpstr>039_MIN-FRA_22-23</vt:lpstr>
      <vt:lpstr>040_MIN-FRA_22-23</vt:lpstr>
      <vt:lpstr>041_MIN-FRA_22-23</vt:lpstr>
      <vt:lpstr>042_MIN-FRA_22-23</vt:lpstr>
      <vt:lpstr>043_MIN-FRA_22-23</vt:lpstr>
      <vt:lpstr>044_MIN-FLA_23-24</vt:lpstr>
      <vt:lpstr>045_MIN-BOT_23-24</vt:lpstr>
      <vt:lpstr>046_MIN-R10_23-24</vt:lpstr>
      <vt:lpstr>047_MIN-COO_23-24</vt:lpstr>
      <vt:lpstr>048_MIN-MOG_23-24</vt:lpstr>
      <vt:lpstr>049_MIN-BAU_23-24</vt:lpstr>
      <vt:lpstr>050_MIN-FRA_23-24</vt:lpstr>
      <vt:lpstr>051_MIN-SPA_23-24</vt:lpstr>
      <vt:lpstr>052_MIN-PAU_23-24</vt:lpstr>
      <vt:lpstr>053_MIN-UNI_23-24</vt:lpstr>
      <vt:lpstr>054_MIN-FOR_23-24</vt:lpstr>
      <vt:lpstr>055_MIN-CER_23-24</vt:lpstr>
      <vt:lpstr>056_MIN-COR_23-24</vt:lpstr>
      <vt:lpstr>057_MIN-PIN_23-24</vt:lpstr>
      <vt:lpstr>058_MIN-BRB_23-24</vt:lpstr>
      <vt:lpstr>059_MIN-PAT_23-24</vt:lpstr>
      <vt:lpstr>060_MIN-CAX_23-24</vt:lpstr>
      <vt:lpstr>061_MIN-UNC_23-24</vt:lpstr>
      <vt:lpstr>062_MIN-BOT_23-24</vt:lpstr>
      <vt:lpstr>063_MIN-FLA_23-24</vt:lpstr>
      <vt:lpstr>064_MIN-R10_23-24</vt:lpstr>
      <vt:lpstr>065_MIN-BRB_23-24</vt:lpstr>
      <vt:lpstr>066_MIN-CER_23-24</vt:lpstr>
      <vt:lpstr>067_MIN-FOR_S8-24</vt:lpstr>
      <vt:lpstr>068_MIN-UNI_S8-24</vt:lpstr>
      <vt:lpstr>069_MIN-MOG_23-24</vt:lpstr>
      <vt:lpstr>070_MIN-SPA_23-24</vt:lpstr>
      <vt:lpstr>071_MIN-FRA_23-24</vt:lpstr>
      <vt:lpstr>072_MIN-BAU_23-24</vt:lpstr>
      <vt:lpstr>073_MIN-PAU_23-24</vt:lpstr>
      <vt:lpstr>074_MIN-FOR_23-24</vt:lpstr>
      <vt:lpstr>075_MIN-UNI_23-24</vt:lpstr>
      <vt:lpstr>076_MIN-COO_23-24</vt:lpstr>
      <vt:lpstr>077_MIN-PIN_23-24</vt:lpstr>
      <vt:lpstr>078_MIN-COR_23-24</vt:lpstr>
      <vt:lpstr>079_MIN-PAT_23-24</vt:lpstr>
      <vt:lpstr>080_MIN-CAX_23-24</vt:lpstr>
      <vt:lpstr>081_MIN-UNC_23-24</vt:lpstr>
      <vt:lpstr>082_MIN-UNC_23-24</vt:lpstr>
      <vt:lpstr>083_MIN-UNC_23-24</vt:lpstr>
      <vt:lpstr>084_MIN-SPA_23-24</vt:lpstr>
      <vt:lpstr>085_MIN-SPA_23-24</vt:lpstr>
      <vt:lpstr>086_MIN-SPA_23-24</vt:lpstr>
      <vt:lpstr>087_MIN-SPA_23-24</vt:lpstr>
      <vt:lpstr>088_MIN-SPA_23-24</vt:lpstr>
      <vt:lpstr>089_MIN-FRA_23-24</vt:lpstr>
      <vt:lpstr>090_MIN-FRA_23-24</vt:lpstr>
      <vt:lpstr>091_MIN-FRA_23-24</vt:lpstr>
      <vt:lpstr>092_MIN-FRA_23-24</vt:lpstr>
      <vt:lpstr>093_MIN-FRA_23-24</vt:lpstr>
      <vt:lpstr>094_MIN-CAI_24-25</vt:lpstr>
      <vt:lpstr>095_MIN-FRA_24-25</vt:lpstr>
      <vt:lpstr>096_MIN-BAU_24-25</vt:lpstr>
      <vt:lpstr>097_MIN-FAR_24-25</vt:lpstr>
      <vt:lpstr>098_MIN-MOG_24-25</vt:lpstr>
      <vt:lpstr>099_MIN-PIN_24-25</vt:lpstr>
      <vt:lpstr>100_MIN-COR_24-25</vt:lpstr>
      <vt:lpstr>101_MIN-FOR_24-25</vt:lpstr>
      <vt:lpstr>102_MIN-UNI_24-25</vt:lpstr>
      <vt:lpstr>103_MIN-UNC_24-25</vt:lpstr>
      <vt:lpstr>104_MIN-CAX_24-25</vt:lpstr>
      <vt:lpstr>105_MIN-FLA_24-25</vt:lpstr>
      <vt:lpstr>106_MIN-BOT_24-25</vt:lpstr>
      <vt:lpstr>107_MIN-PAT_24-25</vt:lpstr>
      <vt:lpstr>108_MIN-R10_24-25</vt:lpstr>
      <vt:lpstr>109_MIN-PAU_24-25</vt:lpstr>
      <vt:lpstr>110_MIN-SPA_24-25</vt:lpstr>
      <vt:lpstr>111_MIN-BAU_24-25</vt:lpstr>
      <vt:lpstr>112_MIN-FRA_24-25</vt:lpstr>
      <vt:lpstr>113_MIN-FAR_24-25</vt:lpstr>
      <vt:lpstr>114_MIN-MOG_24-25</vt:lpstr>
      <vt:lpstr>115_MIN-SPA_S8-25</vt:lpstr>
      <vt:lpstr>116_MIN-CAI_S8-25</vt:lpstr>
      <vt:lpstr>117_MIN-FLA_S8-25</vt:lpstr>
      <vt:lpstr>118_MIN-COR_24-25</vt:lpstr>
      <vt:lpstr>119_MIN-PIN_24-25</vt:lpstr>
      <vt:lpstr>120_MIN-FOR_24-25</vt:lpstr>
      <vt:lpstr>121_MIN-UNI_24-25</vt:lpstr>
      <vt:lpstr>122_MIN-FLA_24-25</vt:lpstr>
      <vt:lpstr>123_MIN-CAX_24-25</vt:lpstr>
      <vt:lpstr>124_MIN-UNC_24-25</vt:lpstr>
      <vt:lpstr>125_MIN-CAI_24-25</vt:lpstr>
      <vt:lpstr>126_MIN-PAT_24-25</vt:lpstr>
      <vt:lpstr>127_MIN-R10_24-25</vt:lpstr>
      <vt:lpstr>128_MIN-BOT_24-25</vt:lpstr>
      <vt:lpstr>129_MIN-SPA_24-25</vt:lpstr>
      <vt:lpstr>130_MIN-PAU_24-25</vt:lpstr>
      <vt:lpstr>131_MIN-MOG_24-25</vt:lpstr>
      <vt:lpstr>132_MIN-MOG_24-25</vt:lpstr>
      <vt:lpstr>133_MIN-MOG_24-25</vt:lpstr>
      <vt:lpstr>134_MIN-R10_24-25</vt:lpstr>
      <vt:lpstr>135_MIN-R10_24-25</vt:lpstr>
      <vt:lpstr>136_MIN-R10_24-25</vt:lpstr>
      <vt:lpstr>137_MIN-BAU_24-25</vt:lpstr>
      <vt:lpstr>138_MIN-BAU_24-25</vt:lpstr>
      <vt:lpstr>139_MIN-BAU_24-25</vt:lpstr>
      <vt:lpstr>140_MIN-FRA_24-25</vt:lpstr>
      <vt:lpstr>141_MIN-FRA_24-25</vt:lpstr>
      <vt:lpstr>142_MIN-FRA_24-25</vt:lpstr>
      <vt:lpstr>143_MIN-FRA_24-25</vt:lpstr>
      <vt:lpstr>144_MIN-COR_25-26</vt:lpstr>
      <vt:lpstr>145_MIN-SJB_25-26</vt:lpstr>
      <vt:lpstr>146_MIN-MOG_25-26</vt:lpstr>
      <vt:lpstr>147_MIN-PAT_25-26</vt:lpstr>
      <vt:lpstr>148_MIN-CRU_25-26</vt:lpstr>
      <vt:lpstr>149_MIN-FRA_25-26</vt:lpstr>
      <vt:lpstr>150_MIN-RIO_25-26</vt:lpstr>
      <vt:lpstr>151_MIN-CAI_25-26</vt:lpstr>
      <vt:lpstr>152_MIN-OSA_25-26</vt:lpstr>
      <vt:lpstr>153_MIN-PAU_25-26</vt:lpstr>
      <vt:lpstr>154_MIN-PIN_25-26</vt:lpstr>
      <vt:lpstr>155_MIN-BAU_25-26</vt:lpstr>
      <vt:lpstr>156_MIN-CAX_25-26</vt:lpstr>
      <vt:lpstr>157_MIN-CEI_25-26</vt:lpstr>
      <vt:lpstr>158_MIN-BOT_25-26</vt:lpstr>
      <vt:lpstr>159_MIN-VAS_25-26</vt:lpstr>
      <vt:lpstr>160_MIN-FLA_25-26</vt:lpstr>
      <vt:lpstr>161_MIN-FOR_25-26</vt:lpstr>
      <vt:lpstr>162_MIN-UNI_25-26</vt:lpstr>
      <vt:lpstr>163_MIN-COR_25-26</vt:lpstr>
      <vt:lpstr>164_MIN-MOG_25-26</vt:lpstr>
      <vt:lpstr>165_MIN-SJB_25-26</vt:lpstr>
      <vt:lpstr>166_MIN-PAT_25-26</vt:lpstr>
      <vt:lpstr>167_MIN-COR_S8-26</vt:lpstr>
      <vt:lpstr>168_MIN-FLA_S8-26</vt:lpstr>
      <vt:lpstr>169_MIN-PIN_S8-26</vt:lpstr>
      <vt:lpstr>170_MIN-BAU_25-26</vt:lpstr>
      <vt:lpstr>171_MIN-FRA_25-26</vt:lpstr>
      <vt:lpstr>172_MIN-CAI_25-26</vt:lpstr>
      <vt:lpstr>173_MIN-RIO_25-26</vt:lpstr>
      <vt:lpstr>174_MIN-PAU_25-26</vt:lpstr>
      <vt:lpstr>175_MIN-CEI_25-26</vt:lpstr>
      <vt:lpstr>176_MIN-CAX_25-26</vt:lpstr>
      <vt:lpstr>177_MIN-OSA_25-26</vt:lpstr>
      <vt:lpstr>178_MIN-PIN_25-26</vt:lpstr>
      <vt:lpstr>179_MIN-CRU_25-26</vt:lpstr>
      <vt:lpstr>180_MIN-VAS_25-26</vt:lpstr>
      <vt:lpstr>181_MIN-FLA_25-26</vt:lpstr>
      <vt:lpstr>182_MIN-BOT_25-26</vt:lpstr>
      <vt:lpstr>183_MIN-UNI_25-26</vt:lpstr>
      <vt:lpstr>184_MIN-FOR_25-26</vt:lpstr>
      <vt:lpstr>185_MIN-CRU_25-26</vt:lpstr>
      <vt:lpstr>186_MIN-CRU_25-26</vt:lpstr>
      <vt:lpstr>187_MIN-CRU_25-26</vt:lpstr>
      <vt:lpstr>188_MIN-CRU_25-26</vt:lpstr>
      <vt:lpstr>189_MIN-COR_25-26</vt:lpstr>
      <vt:lpstr>190_MIN-COR_25-26</vt:lpstr>
      <vt:lpstr>191_MIN-COR_25-26</vt:lpstr>
      <vt:lpstr>192_MIN-COR_25-26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Vitor Fialho</cp:lastModifiedBy>
  <dcterms:created xsi:type="dcterms:W3CDTF">2026-07-07T13:54:23Z</dcterms:created>
  <dcterms:modified xsi:type="dcterms:W3CDTF">2026-07-07T13:58:39Z</dcterms:modified>
</cp:coreProperties>
</file>